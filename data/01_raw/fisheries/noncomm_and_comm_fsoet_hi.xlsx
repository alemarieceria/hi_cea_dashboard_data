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" sheetId="1" r:id="rId4"/>
    <sheet state="visible" name="Non-comm" sheetId="2" r:id="rId5"/>
  </sheets>
  <definedNames/>
  <calcPr/>
  <extLst>
    <ext uri="GoogleSheetsCustomDataVersion2">
      <go:sheetsCustomData xmlns:go="http://customooxmlschemas.google.com/" r:id="rId6" roundtripDataChecksum="8uKhEobrehhzP5dB3DCTcsol9/axx/lecQDGe5N+/qc="/>
    </ext>
  </extLst>
</workbook>
</file>

<file path=xl/sharedStrings.xml><?xml version="1.0" encoding="utf-8"?>
<sst xmlns="http://schemas.openxmlformats.org/spreadsheetml/2006/main" count="5306" uniqueCount="27">
  <si>
    <t>year</t>
  </si>
  <si>
    <t>area</t>
  </si>
  <si>
    <t>county</t>
  </si>
  <si>
    <t>ev.deep7</t>
  </si>
  <si>
    <t>ev.deep7.REEF</t>
  </si>
  <si>
    <t>ev.deep7.OO</t>
  </si>
  <si>
    <t>ev.sbf</t>
  </si>
  <si>
    <t>ev.sbf.REEF</t>
  </si>
  <si>
    <t>ev.sbf.OO</t>
  </si>
  <si>
    <t>ev.reef</t>
  </si>
  <si>
    <t>ev.reef.REEF</t>
  </si>
  <si>
    <t>ev.reef.OO</t>
  </si>
  <si>
    <t>ev.pelagic</t>
  </si>
  <si>
    <t>ev.pelagic.REEF</t>
  </si>
  <si>
    <t>eg.pelagic.OO</t>
  </si>
  <si>
    <t>ev.TOTAL</t>
  </si>
  <si>
    <t>ev.total.OO</t>
  </si>
  <si>
    <t>ev.total.REEF</t>
  </si>
  <si>
    <t>hawaii</t>
  </si>
  <si>
    <t/>
  </si>
  <si>
    <t>maui</t>
  </si>
  <si>
    <t>oahu</t>
  </si>
  <si>
    <t>kauai</t>
  </si>
  <si>
    <t>island</t>
  </si>
  <si>
    <t>ev.total</t>
  </si>
  <si>
    <t>lanai</t>
  </si>
  <si>
    <t>molokai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</si>
</sst>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4">
    <font>
      <sz val="12.0"/>
      <color theme="1"/>
      <name val="Aptos Narrow"/>
      <scheme val="minor"/>
    </font>
    <font>
      <b/>
      <sz val="12.0"/>
      <color theme="1"/>
      <name val="Aptos Narrow"/>
    </font>
    <font>
      <sz val="12.0"/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Font="1" applyNumberFormat="1"/>
    <xf borderId="0" fillId="0" fontId="1" numFmtId="0" xfId="0" applyFont="1"/>
    <xf borderId="0" fillId="0" fontId="2" numFmtId="0" xfId="0" applyFont="1"/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5.33"/>
    <col customWidth="1" min="2" max="2" width="4.67"/>
    <col customWidth="1" min="3" max="3" width="6.67"/>
    <col customWidth="1" min="4" max="4" width="12.44"/>
    <col customWidth="1" min="5" max="5" width="14.44"/>
    <col customWidth="1" min="6" max="7" width="12.44"/>
    <col customWidth="1" min="8" max="8" width="13.67"/>
    <col customWidth="1" min="9" max="9" width="17.78"/>
    <col customWidth="1" min="10" max="18" width="14.0"/>
    <col customWidth="1" min="19" max="19" width="10.56"/>
    <col customWidth="1" min="20" max="20" width="15.0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3"/>
      <c r="T1" s="3"/>
    </row>
    <row r="2" ht="15.75" customHeight="1">
      <c r="A2" s="4">
        <v>2021.0</v>
      </c>
      <c r="B2" s="4">
        <v>100.0</v>
      </c>
      <c r="C2" s="4" t="s">
        <v>18</v>
      </c>
      <c r="D2" s="5">
        <v>10288.891299999996</v>
      </c>
      <c r="E2" s="5">
        <f t="shared" ref="E2:E2076" si="1">IF(D2="","", 0)</f>
        <v>0</v>
      </c>
      <c r="F2" s="5">
        <f t="shared" ref="F2:F2076" si="2">D2</f>
        <v>10288.8913</v>
      </c>
      <c r="G2" s="5">
        <v>4314.432000000001</v>
      </c>
      <c r="H2" s="5">
        <v>1188.7872000000004</v>
      </c>
      <c r="I2" s="5">
        <v>3125.6448</v>
      </c>
      <c r="J2" s="5">
        <v>1139.71</v>
      </c>
      <c r="K2" s="5">
        <f t="shared" ref="K2:K2076" si="3">J2</f>
        <v>1139.71</v>
      </c>
      <c r="L2" s="5">
        <f t="shared" ref="L2:L2076" si="4">IF(J2="","",0)</f>
        <v>0</v>
      </c>
      <c r="M2" s="5">
        <v>24573.441299999984</v>
      </c>
      <c r="N2" s="5">
        <f t="shared" ref="N2:N2076" si="5">IF(M2="","",0)</f>
        <v>0</v>
      </c>
      <c r="O2" s="5">
        <f t="shared" ref="O2:O2076" si="6">M2</f>
        <v>24573.4413</v>
      </c>
      <c r="P2" s="5">
        <f>IF(OR(D2="", G2="", J2="", M2=""), "", SUM(D2,G2,J2,M2))</f>
        <v>40316.4746</v>
      </c>
      <c r="Q2" s="5">
        <f t="shared" ref="Q2:Q2076" si="7">IF(P2="","", SUM(F2,I2,L2,O2))</f>
        <v>37987.9774</v>
      </c>
      <c r="R2" s="5">
        <f t="shared" ref="R2:R2076" si="8">IF(P2="","",SUM(E2,H2,K2,N2))</f>
        <v>2328.4972</v>
      </c>
    </row>
    <row r="3" ht="15.75" customHeight="1">
      <c r="A3" s="4">
        <v>2021.0</v>
      </c>
      <c r="B3" s="4">
        <v>101.0</v>
      </c>
      <c r="C3" s="4" t="s">
        <v>18</v>
      </c>
      <c r="D3" s="5">
        <v>21256.284899999988</v>
      </c>
      <c r="E3" s="5">
        <f t="shared" si="1"/>
        <v>0</v>
      </c>
      <c r="F3" s="5">
        <f t="shared" si="2"/>
        <v>21256.2849</v>
      </c>
      <c r="G3" s="5">
        <v>5643.280000000001</v>
      </c>
      <c r="H3" s="5">
        <v>2208.1472000000003</v>
      </c>
      <c r="I3" s="5">
        <v>3435.1328000000003</v>
      </c>
      <c r="J3" s="5">
        <v>149472.18</v>
      </c>
      <c r="K3" s="5">
        <f t="shared" si="3"/>
        <v>149472.18</v>
      </c>
      <c r="L3" s="5">
        <f t="shared" si="4"/>
        <v>0</v>
      </c>
      <c r="M3" s="5">
        <v>65367.992099999945</v>
      </c>
      <c r="N3" s="5">
        <f t="shared" si="5"/>
        <v>0</v>
      </c>
      <c r="O3" s="5">
        <f t="shared" si="6"/>
        <v>65367.9921</v>
      </c>
      <c r="P3" s="5">
        <f t="shared" ref="P3:P2076" si="9">SUM(D3,G3,J3,M3)</f>
        <v>241739.737</v>
      </c>
      <c r="Q3" s="5">
        <f t="shared" si="7"/>
        <v>90059.4098</v>
      </c>
      <c r="R3" s="5">
        <f t="shared" si="8"/>
        <v>151680.3272</v>
      </c>
    </row>
    <row r="4" ht="15.75" customHeight="1">
      <c r="A4" s="4">
        <v>2021.0</v>
      </c>
      <c r="B4" s="4">
        <v>102.0</v>
      </c>
      <c r="C4" s="4" t="s">
        <v>18</v>
      </c>
      <c r="D4" s="5">
        <v>6037.430999999997</v>
      </c>
      <c r="E4" s="5">
        <f t="shared" si="1"/>
        <v>0</v>
      </c>
      <c r="F4" s="5">
        <f t="shared" si="2"/>
        <v>6037.431</v>
      </c>
      <c r="G4" s="5">
        <v>12309.232</v>
      </c>
      <c r="H4" s="5">
        <v>3577.1072000000004</v>
      </c>
      <c r="I4" s="5">
        <v>8732.1248</v>
      </c>
      <c r="J4" s="5">
        <v>2702.128</v>
      </c>
      <c r="K4" s="5">
        <f t="shared" si="3"/>
        <v>2702.128</v>
      </c>
      <c r="L4" s="5">
        <f t="shared" si="4"/>
        <v>0</v>
      </c>
      <c r="M4" s="5">
        <v>28441.38999999997</v>
      </c>
      <c r="N4" s="5">
        <f t="shared" si="5"/>
        <v>0</v>
      </c>
      <c r="O4" s="5">
        <f t="shared" si="6"/>
        <v>28441.39</v>
      </c>
      <c r="P4" s="5">
        <f t="shared" si="9"/>
        <v>49490.181</v>
      </c>
      <c r="Q4" s="5">
        <f t="shared" si="7"/>
        <v>43210.9458</v>
      </c>
      <c r="R4" s="5">
        <f t="shared" si="8"/>
        <v>6279.2352</v>
      </c>
    </row>
    <row r="5" ht="15.75" customHeight="1">
      <c r="A5" s="4">
        <v>2021.0</v>
      </c>
      <c r="B5" s="4">
        <v>103.0</v>
      </c>
      <c r="C5" s="4" t="s">
        <v>18</v>
      </c>
      <c r="D5" s="5">
        <v>2922.7249999999985</v>
      </c>
      <c r="E5" s="5">
        <f t="shared" si="1"/>
        <v>0</v>
      </c>
      <c r="F5" s="5">
        <f t="shared" si="2"/>
        <v>2922.725</v>
      </c>
      <c r="G5" s="5" t="s">
        <v>19</v>
      </c>
      <c r="H5" s="5" t="s">
        <v>19</v>
      </c>
      <c r="I5" s="5" t="s">
        <v>19</v>
      </c>
      <c r="J5" s="5">
        <v>1601.6000000000004</v>
      </c>
      <c r="K5" s="5">
        <f t="shared" si="3"/>
        <v>1601.6</v>
      </c>
      <c r="L5" s="5">
        <f t="shared" si="4"/>
        <v>0</v>
      </c>
      <c r="M5" s="5">
        <v>943.9949999999994</v>
      </c>
      <c r="N5" s="5">
        <f t="shared" si="5"/>
        <v>0</v>
      </c>
      <c r="O5" s="5">
        <f t="shared" si="6"/>
        <v>943.995</v>
      </c>
      <c r="P5" s="5">
        <f t="shared" si="9"/>
        <v>5468.32</v>
      </c>
      <c r="Q5" s="5">
        <f t="shared" si="7"/>
        <v>3866.72</v>
      </c>
      <c r="R5" s="5">
        <f t="shared" si="8"/>
        <v>1601.6</v>
      </c>
    </row>
    <row r="6" ht="15.75" customHeight="1">
      <c r="A6" s="4">
        <v>2021.0</v>
      </c>
      <c r="B6" s="4">
        <v>104.0</v>
      </c>
      <c r="C6" s="4" t="s">
        <v>18</v>
      </c>
      <c r="D6" s="5" t="s">
        <v>19</v>
      </c>
      <c r="E6" s="5" t="str">
        <f t="shared" si="1"/>
        <v/>
      </c>
      <c r="F6" s="5" t="str">
        <f t="shared" si="2"/>
        <v/>
      </c>
      <c r="G6" s="5" t="s">
        <v>19</v>
      </c>
      <c r="H6" s="5" t="s">
        <v>19</v>
      </c>
      <c r="I6" s="5" t="s">
        <v>19</v>
      </c>
      <c r="J6" s="5">
        <v>123.26600000000002</v>
      </c>
      <c r="K6" s="5">
        <f t="shared" si="3"/>
        <v>123.266</v>
      </c>
      <c r="L6" s="5">
        <f t="shared" si="4"/>
        <v>0</v>
      </c>
      <c r="M6" s="5">
        <v>299.4209999999998</v>
      </c>
      <c r="N6" s="5">
        <f t="shared" si="5"/>
        <v>0</v>
      </c>
      <c r="O6" s="5">
        <f t="shared" si="6"/>
        <v>299.421</v>
      </c>
      <c r="P6" s="5">
        <f t="shared" si="9"/>
        <v>422.687</v>
      </c>
      <c r="Q6" s="5">
        <f t="shared" si="7"/>
        <v>299.421</v>
      </c>
      <c r="R6" s="5">
        <f t="shared" si="8"/>
        <v>123.266</v>
      </c>
    </row>
    <row r="7" ht="15.75" customHeight="1">
      <c r="A7" s="4">
        <v>2021.0</v>
      </c>
      <c r="B7" s="4">
        <v>105.0</v>
      </c>
      <c r="C7" s="4" t="s">
        <v>18</v>
      </c>
      <c r="D7" s="5">
        <v>10445.955999999993</v>
      </c>
      <c r="E7" s="5">
        <f t="shared" si="1"/>
        <v>0</v>
      </c>
      <c r="F7" s="5">
        <f t="shared" si="2"/>
        <v>10445.956</v>
      </c>
      <c r="G7" s="5">
        <v>1148.5280000000002</v>
      </c>
      <c r="H7" s="5">
        <v>526.2400000000001</v>
      </c>
      <c r="I7" s="5">
        <v>622.2880000000001</v>
      </c>
      <c r="J7" s="5">
        <v>12822.238000000003</v>
      </c>
      <c r="K7" s="5">
        <f t="shared" si="3"/>
        <v>12822.238</v>
      </c>
      <c r="L7" s="5">
        <f t="shared" si="4"/>
        <v>0</v>
      </c>
      <c r="M7" s="5">
        <v>23317.963999999985</v>
      </c>
      <c r="N7" s="5">
        <f t="shared" si="5"/>
        <v>0</v>
      </c>
      <c r="O7" s="5">
        <f t="shared" si="6"/>
        <v>23317.964</v>
      </c>
      <c r="P7" s="5">
        <f t="shared" si="9"/>
        <v>47734.686</v>
      </c>
      <c r="Q7" s="5">
        <f t="shared" si="7"/>
        <v>34386.208</v>
      </c>
      <c r="R7" s="5">
        <f t="shared" si="8"/>
        <v>13348.478</v>
      </c>
      <c r="T7" s="5">
        <f>SUM(P:P)/25</f>
        <v>12649328.83</v>
      </c>
    </row>
    <row r="8" ht="15.75" customHeight="1">
      <c r="A8" s="4">
        <v>2021.0</v>
      </c>
      <c r="B8" s="4">
        <v>106.0</v>
      </c>
      <c r="C8" s="4" t="s">
        <v>18</v>
      </c>
      <c r="D8" s="5">
        <v>11222.130099999995</v>
      </c>
      <c r="E8" s="5">
        <f t="shared" si="1"/>
        <v>0</v>
      </c>
      <c r="F8" s="5">
        <f t="shared" si="2"/>
        <v>11222.1301</v>
      </c>
      <c r="G8" s="5">
        <v>1724.08</v>
      </c>
      <c r="H8" s="5">
        <v>912.9344</v>
      </c>
      <c r="I8" s="5">
        <v>811.1456</v>
      </c>
      <c r="J8" s="5">
        <v>15225.782000000003</v>
      </c>
      <c r="K8" s="5">
        <f t="shared" si="3"/>
        <v>15225.782</v>
      </c>
      <c r="L8" s="5">
        <f t="shared" si="4"/>
        <v>0</v>
      </c>
      <c r="M8" s="5">
        <v>24945.67299999998</v>
      </c>
      <c r="N8" s="5">
        <f t="shared" si="5"/>
        <v>0</v>
      </c>
      <c r="O8" s="5">
        <f t="shared" si="6"/>
        <v>24945.673</v>
      </c>
      <c r="P8" s="5">
        <f t="shared" si="9"/>
        <v>53117.6651</v>
      </c>
      <c r="Q8" s="5">
        <f t="shared" si="7"/>
        <v>36978.9487</v>
      </c>
      <c r="R8" s="5">
        <f t="shared" si="8"/>
        <v>16138.7164</v>
      </c>
    </row>
    <row r="9" ht="15.75" customHeight="1">
      <c r="A9" s="4">
        <v>2021.0</v>
      </c>
      <c r="B9" s="4">
        <v>107.0</v>
      </c>
      <c r="C9" s="4" t="s">
        <v>18</v>
      </c>
      <c r="D9" s="5">
        <v>2698.290999999999</v>
      </c>
      <c r="E9" s="5">
        <f t="shared" si="1"/>
        <v>0</v>
      </c>
      <c r="F9" s="5">
        <f t="shared" si="2"/>
        <v>2698.291</v>
      </c>
      <c r="G9" s="5">
        <v>192.464</v>
      </c>
      <c r="H9" s="5">
        <v>102.9664</v>
      </c>
      <c r="I9" s="5">
        <v>89.4976</v>
      </c>
      <c r="J9" s="5">
        <v>1592.7340000000004</v>
      </c>
      <c r="K9" s="5">
        <f t="shared" si="3"/>
        <v>1592.734</v>
      </c>
      <c r="L9" s="5">
        <f t="shared" si="4"/>
        <v>0</v>
      </c>
      <c r="M9" s="5">
        <v>11280.147999999994</v>
      </c>
      <c r="N9" s="5">
        <f t="shared" si="5"/>
        <v>0</v>
      </c>
      <c r="O9" s="5">
        <f t="shared" si="6"/>
        <v>11280.148</v>
      </c>
      <c r="P9" s="5">
        <f t="shared" si="9"/>
        <v>15763.637</v>
      </c>
      <c r="Q9" s="5">
        <f t="shared" si="7"/>
        <v>14067.9366</v>
      </c>
      <c r="R9" s="5">
        <f t="shared" si="8"/>
        <v>1695.7004</v>
      </c>
    </row>
    <row r="10" ht="15.75" customHeight="1">
      <c r="A10" s="4">
        <v>2021.0</v>
      </c>
      <c r="B10" s="4">
        <v>108.0</v>
      </c>
      <c r="C10" s="4" t="s">
        <v>18</v>
      </c>
      <c r="D10" s="5" t="s">
        <v>19</v>
      </c>
      <c r="E10" s="5" t="str">
        <f t="shared" si="1"/>
        <v/>
      </c>
      <c r="F10" s="5" t="str">
        <f t="shared" si="2"/>
        <v/>
      </c>
      <c r="G10" s="5" t="s">
        <v>19</v>
      </c>
      <c r="H10" s="5" t="s">
        <v>19</v>
      </c>
      <c r="I10" s="5" t="s">
        <v>19</v>
      </c>
      <c r="J10" s="5">
        <v>0.0</v>
      </c>
      <c r="K10" s="5">
        <f t="shared" si="3"/>
        <v>0</v>
      </c>
      <c r="L10" s="5">
        <f t="shared" si="4"/>
        <v>0</v>
      </c>
      <c r="M10" s="5">
        <v>3546.197299999998</v>
      </c>
      <c r="N10" s="5">
        <f t="shared" si="5"/>
        <v>0</v>
      </c>
      <c r="O10" s="5">
        <f t="shared" si="6"/>
        <v>3546.1973</v>
      </c>
      <c r="P10" s="5">
        <f t="shared" si="9"/>
        <v>3546.1973</v>
      </c>
      <c r="Q10" s="5">
        <f t="shared" si="7"/>
        <v>3546.1973</v>
      </c>
      <c r="R10" s="5">
        <f t="shared" si="8"/>
        <v>0</v>
      </c>
    </row>
    <row r="11" ht="15.75" customHeight="1">
      <c r="A11" s="4">
        <v>2021.0</v>
      </c>
      <c r="B11" s="4">
        <v>120.0</v>
      </c>
      <c r="C11" s="4" t="s">
        <v>18</v>
      </c>
      <c r="D11" s="5">
        <v>6254.044999999996</v>
      </c>
      <c r="E11" s="5">
        <f t="shared" si="1"/>
        <v>0</v>
      </c>
      <c r="F11" s="5">
        <f t="shared" si="2"/>
        <v>6254.045</v>
      </c>
      <c r="G11" s="5">
        <v>4329.5199999999995</v>
      </c>
      <c r="H11" s="5">
        <v>1574.672</v>
      </c>
      <c r="I11" s="5">
        <v>2754.8479999999995</v>
      </c>
      <c r="J11" s="5">
        <v>0.0</v>
      </c>
      <c r="K11" s="5">
        <f t="shared" si="3"/>
        <v>0</v>
      </c>
      <c r="L11" s="5">
        <f t="shared" si="4"/>
        <v>0</v>
      </c>
      <c r="M11" s="5">
        <v>36193.581999999966</v>
      </c>
      <c r="N11" s="5">
        <f t="shared" si="5"/>
        <v>0</v>
      </c>
      <c r="O11" s="5">
        <f t="shared" si="6"/>
        <v>36193.582</v>
      </c>
      <c r="P11" s="5">
        <f t="shared" si="9"/>
        <v>46777.147</v>
      </c>
      <c r="Q11" s="5">
        <f t="shared" si="7"/>
        <v>45202.475</v>
      </c>
      <c r="R11" s="5">
        <f t="shared" si="8"/>
        <v>1574.672</v>
      </c>
    </row>
    <row r="12" ht="15.75" customHeight="1">
      <c r="A12" s="4">
        <v>2021.0</v>
      </c>
      <c r="B12" s="4">
        <v>121.0</v>
      </c>
      <c r="C12" s="4" t="s">
        <v>18</v>
      </c>
      <c r="D12" s="5">
        <v>38420.40289999997</v>
      </c>
      <c r="E12" s="5">
        <f t="shared" si="1"/>
        <v>0</v>
      </c>
      <c r="F12" s="5">
        <f t="shared" si="2"/>
        <v>38420.4029</v>
      </c>
      <c r="G12" s="5">
        <v>3946.1007999999993</v>
      </c>
      <c r="H12" s="5">
        <v>1723.20416</v>
      </c>
      <c r="I12" s="5">
        <v>2222.896639999999</v>
      </c>
      <c r="J12" s="5">
        <v>34453.848</v>
      </c>
      <c r="K12" s="5">
        <f t="shared" si="3"/>
        <v>34453.848</v>
      </c>
      <c r="L12" s="5">
        <f t="shared" si="4"/>
        <v>0</v>
      </c>
      <c r="M12" s="5">
        <v>521251.27599999984</v>
      </c>
      <c r="N12" s="5">
        <f t="shared" si="5"/>
        <v>0</v>
      </c>
      <c r="O12" s="5">
        <f t="shared" si="6"/>
        <v>521251.276</v>
      </c>
      <c r="P12" s="5">
        <f t="shared" si="9"/>
        <v>598071.6277</v>
      </c>
      <c r="Q12" s="5">
        <f t="shared" si="7"/>
        <v>561894.5755</v>
      </c>
      <c r="R12" s="5">
        <f t="shared" si="8"/>
        <v>36177.05216</v>
      </c>
    </row>
    <row r="13" ht="15.75" customHeight="1">
      <c r="A13" s="4">
        <v>2021.0</v>
      </c>
      <c r="B13" s="4">
        <v>122.0</v>
      </c>
      <c r="C13" s="4" t="s">
        <v>18</v>
      </c>
      <c r="D13" s="5">
        <v>41071.22649999998</v>
      </c>
      <c r="E13" s="5">
        <f t="shared" si="1"/>
        <v>0</v>
      </c>
      <c r="F13" s="5">
        <f t="shared" si="2"/>
        <v>41071.2265</v>
      </c>
      <c r="G13" s="5">
        <v>16139.376</v>
      </c>
      <c r="H13" s="5">
        <v>4423.5072</v>
      </c>
      <c r="I13" s="5">
        <v>11715.8688</v>
      </c>
      <c r="J13" s="5">
        <v>7075.096600000001</v>
      </c>
      <c r="K13" s="5">
        <f t="shared" si="3"/>
        <v>7075.0966</v>
      </c>
      <c r="L13" s="5">
        <f t="shared" si="4"/>
        <v>0</v>
      </c>
      <c r="M13" s="5">
        <v>101952.15009999991</v>
      </c>
      <c r="N13" s="5">
        <f t="shared" si="5"/>
        <v>0</v>
      </c>
      <c r="O13" s="5">
        <f t="shared" si="6"/>
        <v>101952.1501</v>
      </c>
      <c r="P13" s="5">
        <f t="shared" si="9"/>
        <v>166237.8492</v>
      </c>
      <c r="Q13" s="5">
        <f t="shared" si="7"/>
        <v>154739.2454</v>
      </c>
      <c r="R13" s="5">
        <f t="shared" si="8"/>
        <v>11498.6038</v>
      </c>
    </row>
    <row r="14" ht="15.75" customHeight="1">
      <c r="A14" s="4">
        <v>2021.0</v>
      </c>
      <c r="B14" s="4">
        <v>123.0</v>
      </c>
      <c r="C14" s="4" t="s">
        <v>18</v>
      </c>
      <c r="D14" s="5" t="s">
        <v>19</v>
      </c>
      <c r="E14" s="5" t="str">
        <f t="shared" si="1"/>
        <v/>
      </c>
      <c r="F14" s="5" t="str">
        <f t="shared" si="2"/>
        <v/>
      </c>
      <c r="G14" s="5" t="s">
        <v>19</v>
      </c>
      <c r="H14" s="5" t="s">
        <v>19</v>
      </c>
      <c r="I14" s="5" t="s">
        <v>19</v>
      </c>
      <c r="J14" s="5">
        <v>0.0</v>
      </c>
      <c r="K14" s="5">
        <f t="shared" si="3"/>
        <v>0</v>
      </c>
      <c r="L14" s="5">
        <f t="shared" si="4"/>
        <v>0</v>
      </c>
      <c r="M14" s="5">
        <v>2855.6749999999975</v>
      </c>
      <c r="N14" s="5">
        <f t="shared" si="5"/>
        <v>0</v>
      </c>
      <c r="O14" s="5">
        <f t="shared" si="6"/>
        <v>2855.675</v>
      </c>
      <c r="P14" s="5">
        <f t="shared" si="9"/>
        <v>2855.675</v>
      </c>
      <c r="Q14" s="5">
        <f t="shared" si="7"/>
        <v>2855.675</v>
      </c>
      <c r="R14" s="5">
        <f t="shared" si="8"/>
        <v>0</v>
      </c>
    </row>
    <row r="15" ht="15.75" customHeight="1">
      <c r="A15" s="4">
        <v>2021.0</v>
      </c>
      <c r="B15" s="4">
        <v>124.0</v>
      </c>
      <c r="C15" s="4" t="s">
        <v>18</v>
      </c>
      <c r="D15" s="5">
        <v>2631.4299999999985</v>
      </c>
      <c r="E15" s="5">
        <f t="shared" si="1"/>
        <v>0</v>
      </c>
      <c r="F15" s="5">
        <f t="shared" si="2"/>
        <v>2631.43</v>
      </c>
      <c r="G15" s="5" t="s">
        <v>19</v>
      </c>
      <c r="H15" s="5" t="s">
        <v>19</v>
      </c>
      <c r="I15" s="5" t="s">
        <v>19</v>
      </c>
      <c r="J15" s="5">
        <v>0.0</v>
      </c>
      <c r="K15" s="5">
        <f t="shared" si="3"/>
        <v>0</v>
      </c>
      <c r="L15" s="5">
        <f t="shared" si="4"/>
        <v>0</v>
      </c>
      <c r="M15" s="5">
        <v>33801.09799999997</v>
      </c>
      <c r="N15" s="5">
        <f t="shared" si="5"/>
        <v>0</v>
      </c>
      <c r="O15" s="5">
        <f t="shared" si="6"/>
        <v>33801.098</v>
      </c>
      <c r="P15" s="5">
        <f t="shared" si="9"/>
        <v>36432.528</v>
      </c>
      <c r="Q15" s="5">
        <f t="shared" si="7"/>
        <v>36432.528</v>
      </c>
      <c r="R15" s="5">
        <f t="shared" si="8"/>
        <v>0</v>
      </c>
    </row>
    <row r="16" ht="15.75" customHeight="1">
      <c r="A16" s="4">
        <v>2021.0</v>
      </c>
      <c r="B16" s="4">
        <v>125.0</v>
      </c>
      <c r="C16" s="4" t="s">
        <v>18</v>
      </c>
      <c r="D16" s="5">
        <v>14299.612899999991</v>
      </c>
      <c r="E16" s="5">
        <f t="shared" si="1"/>
        <v>0</v>
      </c>
      <c r="F16" s="5">
        <f t="shared" si="2"/>
        <v>14299.6129</v>
      </c>
      <c r="G16" s="5">
        <v>1445.8719999999998</v>
      </c>
      <c r="H16" s="5">
        <v>588.3583999999998</v>
      </c>
      <c r="I16" s="5">
        <v>857.5136</v>
      </c>
      <c r="J16" s="5">
        <v>273.98800000000006</v>
      </c>
      <c r="K16" s="5">
        <f t="shared" si="3"/>
        <v>273.988</v>
      </c>
      <c r="L16" s="5">
        <f t="shared" si="4"/>
        <v>0</v>
      </c>
      <c r="M16" s="5">
        <v>239532.85509999993</v>
      </c>
      <c r="N16" s="5">
        <f t="shared" si="5"/>
        <v>0</v>
      </c>
      <c r="O16" s="5">
        <f t="shared" si="6"/>
        <v>239532.8551</v>
      </c>
      <c r="P16" s="5">
        <f t="shared" si="9"/>
        <v>255552.328</v>
      </c>
      <c r="Q16" s="5">
        <f t="shared" si="7"/>
        <v>254689.9816</v>
      </c>
      <c r="R16" s="5">
        <f t="shared" si="8"/>
        <v>862.3464</v>
      </c>
    </row>
    <row r="17" ht="15.75" customHeight="1">
      <c r="A17" s="4">
        <v>2021.0</v>
      </c>
      <c r="B17" s="4">
        <v>126.0</v>
      </c>
      <c r="C17" s="4" t="s">
        <v>18</v>
      </c>
      <c r="D17" s="5">
        <v>11939.184999999994</v>
      </c>
      <c r="E17" s="5">
        <f t="shared" si="1"/>
        <v>0</v>
      </c>
      <c r="F17" s="5">
        <f t="shared" si="2"/>
        <v>11939.185</v>
      </c>
      <c r="G17" s="5">
        <v>3888.656</v>
      </c>
      <c r="H17" s="5">
        <v>2743.072</v>
      </c>
      <c r="I17" s="5">
        <v>1145.5839999999998</v>
      </c>
      <c r="J17" s="5">
        <v>229.94400000000005</v>
      </c>
      <c r="K17" s="5">
        <f t="shared" si="3"/>
        <v>229.944</v>
      </c>
      <c r="L17" s="5">
        <f t="shared" si="4"/>
        <v>0</v>
      </c>
      <c r="M17" s="5">
        <v>115196.58019999991</v>
      </c>
      <c r="N17" s="5">
        <f t="shared" si="5"/>
        <v>0</v>
      </c>
      <c r="O17" s="5">
        <f t="shared" si="6"/>
        <v>115196.5802</v>
      </c>
      <c r="P17" s="5">
        <f t="shared" si="9"/>
        <v>131254.3652</v>
      </c>
      <c r="Q17" s="5">
        <f t="shared" si="7"/>
        <v>128281.3492</v>
      </c>
      <c r="R17" s="5">
        <f t="shared" si="8"/>
        <v>2973.016</v>
      </c>
    </row>
    <row r="18" ht="15.75" customHeight="1">
      <c r="A18" s="4">
        <v>2021.0</v>
      </c>
      <c r="B18" s="4">
        <v>127.0</v>
      </c>
      <c r="C18" s="4" t="s">
        <v>18</v>
      </c>
      <c r="D18" s="5" t="s">
        <v>19</v>
      </c>
      <c r="E18" s="5" t="str">
        <f t="shared" si="1"/>
        <v/>
      </c>
      <c r="F18" s="5" t="str">
        <f t="shared" si="2"/>
        <v/>
      </c>
      <c r="G18" s="5" t="s">
        <v>19</v>
      </c>
      <c r="H18" s="5" t="s">
        <v>19</v>
      </c>
      <c r="I18" s="5" t="s">
        <v>19</v>
      </c>
      <c r="J18" s="5">
        <v>0.0</v>
      </c>
      <c r="K18" s="5">
        <f t="shared" si="3"/>
        <v>0</v>
      </c>
      <c r="L18" s="5">
        <f t="shared" si="4"/>
        <v>0</v>
      </c>
      <c r="M18" s="5">
        <v>19246.37399999999</v>
      </c>
      <c r="N18" s="5">
        <f t="shared" si="5"/>
        <v>0</v>
      </c>
      <c r="O18" s="5">
        <f t="shared" si="6"/>
        <v>19246.374</v>
      </c>
      <c r="P18" s="5">
        <f t="shared" si="9"/>
        <v>19246.374</v>
      </c>
      <c r="Q18" s="5">
        <f t="shared" si="7"/>
        <v>19246.374</v>
      </c>
      <c r="R18" s="5">
        <f t="shared" si="8"/>
        <v>0</v>
      </c>
    </row>
    <row r="19" ht="15.75" customHeight="1">
      <c r="A19" s="4">
        <v>2021.0</v>
      </c>
      <c r="B19" s="4">
        <v>128.0</v>
      </c>
      <c r="C19" s="4" t="s">
        <v>18</v>
      </c>
      <c r="D19" s="5">
        <v>11440.268999999997</v>
      </c>
      <c r="E19" s="5">
        <f t="shared" si="1"/>
        <v>0</v>
      </c>
      <c r="F19" s="5">
        <f t="shared" si="2"/>
        <v>11440.269</v>
      </c>
      <c r="G19" s="5">
        <v>1385.152</v>
      </c>
      <c r="H19" s="5">
        <v>620.5952000000001</v>
      </c>
      <c r="I19" s="5">
        <v>764.5568</v>
      </c>
      <c r="J19" s="5">
        <v>0.0</v>
      </c>
      <c r="K19" s="5">
        <f t="shared" si="3"/>
        <v>0</v>
      </c>
      <c r="L19" s="5">
        <f t="shared" si="4"/>
        <v>0</v>
      </c>
      <c r="M19" s="5">
        <v>91582.68689999997</v>
      </c>
      <c r="N19" s="5">
        <f t="shared" si="5"/>
        <v>0</v>
      </c>
      <c r="O19" s="5">
        <f t="shared" si="6"/>
        <v>91582.6869</v>
      </c>
      <c r="P19" s="5">
        <f t="shared" si="9"/>
        <v>104408.1079</v>
      </c>
      <c r="Q19" s="5">
        <f t="shared" si="7"/>
        <v>103787.5127</v>
      </c>
      <c r="R19" s="5">
        <f t="shared" si="8"/>
        <v>620.5952</v>
      </c>
    </row>
    <row r="20" ht="15.75" customHeight="1">
      <c r="A20" s="4">
        <v>2021.0</v>
      </c>
      <c r="B20" s="4">
        <v>300.0</v>
      </c>
      <c r="C20" s="4" t="s">
        <v>20</v>
      </c>
      <c r="D20" s="5">
        <v>1909.2119999999993</v>
      </c>
      <c r="E20" s="5">
        <f t="shared" si="1"/>
        <v>0</v>
      </c>
      <c r="F20" s="5">
        <f t="shared" si="2"/>
        <v>1909.212</v>
      </c>
      <c r="G20" s="5">
        <v>2199.4025</v>
      </c>
      <c r="H20" s="5">
        <v>924.3490000000002</v>
      </c>
      <c r="I20" s="5">
        <v>1275.0535</v>
      </c>
      <c r="J20" s="5">
        <v>78828.44700000001</v>
      </c>
      <c r="K20" s="5">
        <f t="shared" si="3"/>
        <v>78828.447</v>
      </c>
      <c r="L20" s="5">
        <f t="shared" si="4"/>
        <v>0</v>
      </c>
      <c r="M20" s="5">
        <v>1593.293999999999</v>
      </c>
      <c r="N20" s="5">
        <f t="shared" si="5"/>
        <v>0</v>
      </c>
      <c r="O20" s="5">
        <f t="shared" si="6"/>
        <v>1593.294</v>
      </c>
      <c r="P20" s="5">
        <f t="shared" si="9"/>
        <v>84530.3555</v>
      </c>
      <c r="Q20" s="5">
        <f t="shared" si="7"/>
        <v>4777.5595</v>
      </c>
      <c r="R20" s="5">
        <f t="shared" si="8"/>
        <v>79752.796</v>
      </c>
    </row>
    <row r="21" ht="15.75" customHeight="1">
      <c r="A21" s="4">
        <v>2021.0</v>
      </c>
      <c r="B21" s="4">
        <v>301.0</v>
      </c>
      <c r="C21" s="4" t="s">
        <v>20</v>
      </c>
      <c r="D21" s="5">
        <v>77.79999999999997</v>
      </c>
      <c r="E21" s="5">
        <f t="shared" si="1"/>
        <v>0</v>
      </c>
      <c r="F21" s="5">
        <f t="shared" si="2"/>
        <v>77.8</v>
      </c>
      <c r="G21" s="5" t="s">
        <v>19</v>
      </c>
      <c r="H21" s="5" t="s">
        <v>19</v>
      </c>
      <c r="I21" s="5" t="s">
        <v>19</v>
      </c>
      <c r="J21" s="5">
        <v>2963.2560000000003</v>
      </c>
      <c r="K21" s="5">
        <f t="shared" si="3"/>
        <v>2963.256</v>
      </c>
      <c r="L21" s="5">
        <f t="shared" si="4"/>
        <v>0</v>
      </c>
      <c r="M21" s="5">
        <v>0.0</v>
      </c>
      <c r="N21" s="5">
        <f t="shared" si="5"/>
        <v>0</v>
      </c>
      <c r="O21" s="5">
        <f t="shared" si="6"/>
        <v>0</v>
      </c>
      <c r="P21" s="5">
        <f t="shared" si="9"/>
        <v>3041.056</v>
      </c>
      <c r="Q21" s="5">
        <f t="shared" si="7"/>
        <v>77.8</v>
      </c>
      <c r="R21" s="5">
        <f t="shared" si="8"/>
        <v>2963.256</v>
      </c>
    </row>
    <row r="22" ht="15.75" customHeight="1">
      <c r="A22" s="4">
        <v>2021.0</v>
      </c>
      <c r="B22" s="4">
        <v>302.0</v>
      </c>
      <c r="C22" s="4" t="s">
        <v>20</v>
      </c>
      <c r="D22" s="5" t="s">
        <v>19</v>
      </c>
      <c r="E22" s="5" t="str">
        <f t="shared" si="1"/>
        <v/>
      </c>
      <c r="F22" s="5" t="str">
        <f t="shared" si="2"/>
        <v/>
      </c>
      <c r="G22" s="5" t="s">
        <v>19</v>
      </c>
      <c r="H22" s="5" t="s">
        <v>19</v>
      </c>
      <c r="I22" s="5" t="s">
        <v>19</v>
      </c>
      <c r="J22" s="5">
        <v>6847.523999999999</v>
      </c>
      <c r="K22" s="5">
        <f t="shared" si="3"/>
        <v>6847.524</v>
      </c>
      <c r="L22" s="5">
        <f t="shared" si="4"/>
        <v>0</v>
      </c>
      <c r="M22" s="5">
        <v>455.87699999999984</v>
      </c>
      <c r="N22" s="5">
        <f t="shared" si="5"/>
        <v>0</v>
      </c>
      <c r="O22" s="5">
        <f t="shared" si="6"/>
        <v>455.877</v>
      </c>
      <c r="P22" s="5">
        <f t="shared" si="9"/>
        <v>7303.401</v>
      </c>
      <c r="Q22" s="5">
        <f t="shared" si="7"/>
        <v>455.877</v>
      </c>
      <c r="R22" s="5">
        <f t="shared" si="8"/>
        <v>6847.524</v>
      </c>
    </row>
    <row r="23" ht="15.75" customHeight="1">
      <c r="A23" s="4">
        <v>2021.0</v>
      </c>
      <c r="B23" s="4">
        <v>303.0</v>
      </c>
      <c r="C23" s="4" t="s">
        <v>20</v>
      </c>
      <c r="D23" s="5">
        <v>9261.700999999995</v>
      </c>
      <c r="E23" s="5">
        <f t="shared" si="1"/>
        <v>0</v>
      </c>
      <c r="F23" s="5">
        <f t="shared" si="2"/>
        <v>9261.701</v>
      </c>
      <c r="G23" s="5">
        <v>2392.7000000000003</v>
      </c>
      <c r="H23" s="5">
        <v>1253.8600000000001</v>
      </c>
      <c r="I23" s="5">
        <v>1138.8400000000001</v>
      </c>
      <c r="J23" s="5">
        <v>1472.04</v>
      </c>
      <c r="K23" s="5">
        <f t="shared" si="3"/>
        <v>1472.04</v>
      </c>
      <c r="L23" s="5">
        <f t="shared" si="4"/>
        <v>0</v>
      </c>
      <c r="M23" s="5">
        <v>1805.525999999999</v>
      </c>
      <c r="N23" s="5">
        <f t="shared" si="5"/>
        <v>0</v>
      </c>
      <c r="O23" s="5">
        <f t="shared" si="6"/>
        <v>1805.526</v>
      </c>
      <c r="P23" s="5">
        <f t="shared" si="9"/>
        <v>14931.967</v>
      </c>
      <c r="Q23" s="5">
        <f t="shared" si="7"/>
        <v>12206.067</v>
      </c>
      <c r="R23" s="5">
        <f t="shared" si="8"/>
        <v>2725.9</v>
      </c>
    </row>
    <row r="24" ht="15.75" customHeight="1">
      <c r="A24" s="4">
        <v>2021.0</v>
      </c>
      <c r="B24" s="4">
        <v>304.0</v>
      </c>
      <c r="C24" s="4" t="s">
        <v>20</v>
      </c>
      <c r="D24" s="5">
        <v>16571.438899999997</v>
      </c>
      <c r="E24" s="5">
        <f t="shared" si="1"/>
        <v>0</v>
      </c>
      <c r="F24" s="5">
        <f t="shared" si="2"/>
        <v>16571.4389</v>
      </c>
      <c r="G24" s="5">
        <v>631.9000000000001</v>
      </c>
      <c r="H24" s="5">
        <v>217.97000000000006</v>
      </c>
      <c r="I24" s="5">
        <v>413.93000000000006</v>
      </c>
      <c r="J24" s="5">
        <v>0.0</v>
      </c>
      <c r="K24" s="5">
        <f t="shared" si="3"/>
        <v>0</v>
      </c>
      <c r="L24" s="5">
        <f t="shared" si="4"/>
        <v>0</v>
      </c>
      <c r="M24" s="5">
        <v>2188.9199999999983</v>
      </c>
      <c r="N24" s="5">
        <f t="shared" si="5"/>
        <v>0</v>
      </c>
      <c r="O24" s="5">
        <f t="shared" si="6"/>
        <v>2188.92</v>
      </c>
      <c r="P24" s="5">
        <f t="shared" si="9"/>
        <v>19392.2589</v>
      </c>
      <c r="Q24" s="5">
        <f t="shared" si="7"/>
        <v>19174.2889</v>
      </c>
      <c r="R24" s="5">
        <f t="shared" si="8"/>
        <v>217.97</v>
      </c>
    </row>
    <row r="25" ht="15.75" customHeight="1">
      <c r="A25" s="4">
        <v>2021.0</v>
      </c>
      <c r="B25" s="4">
        <v>305.0</v>
      </c>
      <c r="C25" s="4" t="s">
        <v>20</v>
      </c>
      <c r="D25" s="5">
        <v>6554.260999999998</v>
      </c>
      <c r="E25" s="5">
        <f t="shared" si="1"/>
        <v>0</v>
      </c>
      <c r="F25" s="5">
        <f t="shared" si="2"/>
        <v>6554.261</v>
      </c>
      <c r="G25" s="5">
        <v>987.965</v>
      </c>
      <c r="H25" s="5">
        <v>499.414</v>
      </c>
      <c r="I25" s="5">
        <v>488.55100000000004</v>
      </c>
      <c r="J25" s="5">
        <v>1075.8300000000002</v>
      </c>
      <c r="K25" s="5">
        <f t="shared" si="3"/>
        <v>1075.83</v>
      </c>
      <c r="L25" s="5">
        <f t="shared" si="4"/>
        <v>0</v>
      </c>
      <c r="M25" s="5">
        <v>2730.377999999998</v>
      </c>
      <c r="N25" s="5">
        <f t="shared" si="5"/>
        <v>0</v>
      </c>
      <c r="O25" s="5">
        <f t="shared" si="6"/>
        <v>2730.378</v>
      </c>
      <c r="P25" s="5">
        <f t="shared" si="9"/>
        <v>11348.434</v>
      </c>
      <c r="Q25" s="5">
        <f t="shared" si="7"/>
        <v>9773.19</v>
      </c>
      <c r="R25" s="5">
        <f t="shared" si="8"/>
        <v>1575.244</v>
      </c>
    </row>
    <row r="26" ht="15.75" customHeight="1">
      <c r="A26" s="4">
        <v>2021.0</v>
      </c>
      <c r="B26" s="4">
        <v>306.0</v>
      </c>
      <c r="C26" s="4" t="s">
        <v>20</v>
      </c>
      <c r="D26" s="5" t="s">
        <v>19</v>
      </c>
      <c r="E26" s="5" t="str">
        <f t="shared" si="1"/>
        <v/>
      </c>
      <c r="F26" s="5" t="str">
        <f t="shared" si="2"/>
        <v/>
      </c>
      <c r="G26" s="5" t="s">
        <v>19</v>
      </c>
      <c r="H26" s="5" t="s">
        <v>19</v>
      </c>
      <c r="I26" s="5" t="s">
        <v>19</v>
      </c>
      <c r="J26" s="5">
        <v>0.0</v>
      </c>
      <c r="K26" s="5">
        <f t="shared" si="3"/>
        <v>0</v>
      </c>
      <c r="L26" s="5">
        <f t="shared" si="4"/>
        <v>0</v>
      </c>
      <c r="M26" s="5">
        <v>690.4199999999996</v>
      </c>
      <c r="N26" s="5">
        <f t="shared" si="5"/>
        <v>0</v>
      </c>
      <c r="O26" s="5">
        <f t="shared" si="6"/>
        <v>690.42</v>
      </c>
      <c r="P26" s="5">
        <f t="shared" si="9"/>
        <v>690.42</v>
      </c>
      <c r="Q26" s="5">
        <f t="shared" si="7"/>
        <v>690.42</v>
      </c>
      <c r="R26" s="5">
        <f t="shared" si="8"/>
        <v>0</v>
      </c>
    </row>
    <row r="27" ht="15.75" customHeight="1">
      <c r="A27" s="4">
        <v>2021.0</v>
      </c>
      <c r="B27" s="4">
        <v>307.0</v>
      </c>
      <c r="C27" s="4" t="s">
        <v>20</v>
      </c>
      <c r="D27" s="5" t="s">
        <v>19</v>
      </c>
      <c r="E27" s="5" t="str">
        <f t="shared" si="1"/>
        <v/>
      </c>
      <c r="F27" s="5" t="str">
        <f t="shared" si="2"/>
        <v/>
      </c>
      <c r="G27" s="5" t="s">
        <v>19</v>
      </c>
      <c r="H27" s="5" t="s">
        <v>19</v>
      </c>
      <c r="I27" s="5" t="s">
        <v>19</v>
      </c>
      <c r="J27" s="5">
        <v>0.0</v>
      </c>
      <c r="K27" s="5">
        <f t="shared" si="3"/>
        <v>0</v>
      </c>
      <c r="L27" s="5">
        <f t="shared" si="4"/>
        <v>0</v>
      </c>
      <c r="M27" s="5">
        <v>0.0</v>
      </c>
      <c r="N27" s="5">
        <f t="shared" si="5"/>
        <v>0</v>
      </c>
      <c r="O27" s="5">
        <f t="shared" si="6"/>
        <v>0</v>
      </c>
      <c r="P27" s="5">
        <f t="shared" si="9"/>
        <v>0</v>
      </c>
      <c r="Q27" s="5">
        <f t="shared" si="7"/>
        <v>0</v>
      </c>
      <c r="R27" s="5">
        <f t="shared" si="8"/>
        <v>0</v>
      </c>
    </row>
    <row r="28" ht="15.75" customHeight="1">
      <c r="A28" s="4">
        <v>2021.0</v>
      </c>
      <c r="B28" s="4">
        <v>308.0</v>
      </c>
      <c r="C28" s="4" t="s">
        <v>20</v>
      </c>
      <c r="D28" s="5">
        <v>1061.1919999999998</v>
      </c>
      <c r="E28" s="5">
        <f t="shared" si="1"/>
        <v>0</v>
      </c>
      <c r="F28" s="5">
        <f t="shared" si="2"/>
        <v>1061.192</v>
      </c>
      <c r="G28" s="5">
        <v>7747.165000000001</v>
      </c>
      <c r="H28" s="5">
        <v>2798.252</v>
      </c>
      <c r="I28" s="5">
        <v>4948.9130000000005</v>
      </c>
      <c r="J28" s="5">
        <v>2324.808</v>
      </c>
      <c r="K28" s="5">
        <f t="shared" si="3"/>
        <v>2324.808</v>
      </c>
      <c r="L28" s="5">
        <f t="shared" si="4"/>
        <v>0</v>
      </c>
      <c r="M28" s="5">
        <v>5589.293999999998</v>
      </c>
      <c r="N28" s="5">
        <f t="shared" si="5"/>
        <v>0</v>
      </c>
      <c r="O28" s="5">
        <f t="shared" si="6"/>
        <v>5589.294</v>
      </c>
      <c r="P28" s="5">
        <f t="shared" si="9"/>
        <v>16722.459</v>
      </c>
      <c r="Q28" s="5">
        <f t="shared" si="7"/>
        <v>11599.399</v>
      </c>
      <c r="R28" s="5">
        <f t="shared" si="8"/>
        <v>5123.06</v>
      </c>
    </row>
    <row r="29" ht="15.75" customHeight="1">
      <c r="A29" s="4">
        <v>2021.0</v>
      </c>
      <c r="B29" s="4">
        <v>309.0</v>
      </c>
      <c r="C29" s="4" t="s">
        <v>20</v>
      </c>
      <c r="D29" s="5" t="s">
        <v>19</v>
      </c>
      <c r="E29" s="5" t="str">
        <f t="shared" si="1"/>
        <v/>
      </c>
      <c r="F29" s="5" t="str">
        <f t="shared" si="2"/>
        <v/>
      </c>
      <c r="G29" s="5" t="s">
        <v>19</v>
      </c>
      <c r="H29" s="5" t="s">
        <v>19</v>
      </c>
      <c r="I29" s="5" t="s">
        <v>19</v>
      </c>
      <c r="J29" s="5">
        <v>0.0</v>
      </c>
      <c r="K29" s="5">
        <f t="shared" si="3"/>
        <v>0</v>
      </c>
      <c r="L29" s="5">
        <f t="shared" si="4"/>
        <v>0</v>
      </c>
      <c r="M29" s="5">
        <v>0.0</v>
      </c>
      <c r="N29" s="5">
        <f t="shared" si="5"/>
        <v>0</v>
      </c>
      <c r="O29" s="5">
        <f t="shared" si="6"/>
        <v>0</v>
      </c>
      <c r="P29" s="5">
        <f t="shared" si="9"/>
        <v>0</v>
      </c>
      <c r="Q29" s="5">
        <f t="shared" si="7"/>
        <v>0</v>
      </c>
      <c r="R29" s="5">
        <f t="shared" si="8"/>
        <v>0</v>
      </c>
    </row>
    <row r="30" ht="15.75" customHeight="1">
      <c r="A30" s="4">
        <v>2021.0</v>
      </c>
      <c r="B30" s="4">
        <v>310.0</v>
      </c>
      <c r="C30" s="4" t="s">
        <v>20</v>
      </c>
      <c r="D30" s="5">
        <v>980.2799999999996</v>
      </c>
      <c r="E30" s="5">
        <f t="shared" si="1"/>
        <v>0</v>
      </c>
      <c r="F30" s="5">
        <f t="shared" si="2"/>
        <v>980.28</v>
      </c>
      <c r="G30" s="5" t="s">
        <v>19</v>
      </c>
      <c r="H30" s="5" t="s">
        <v>19</v>
      </c>
      <c r="I30" s="5" t="s">
        <v>19</v>
      </c>
      <c r="J30" s="5">
        <v>0.0</v>
      </c>
      <c r="K30" s="5">
        <f t="shared" si="3"/>
        <v>0</v>
      </c>
      <c r="L30" s="5">
        <f t="shared" si="4"/>
        <v>0</v>
      </c>
      <c r="M30" s="5">
        <v>175.37999999999988</v>
      </c>
      <c r="N30" s="5">
        <f t="shared" si="5"/>
        <v>0</v>
      </c>
      <c r="O30" s="5">
        <f t="shared" si="6"/>
        <v>175.38</v>
      </c>
      <c r="P30" s="5">
        <f t="shared" si="9"/>
        <v>1155.66</v>
      </c>
      <c r="Q30" s="5">
        <f t="shared" si="7"/>
        <v>1155.66</v>
      </c>
      <c r="R30" s="5">
        <f t="shared" si="8"/>
        <v>0</v>
      </c>
    </row>
    <row r="31" ht="15.75" customHeight="1">
      <c r="A31" s="4">
        <v>2021.0</v>
      </c>
      <c r="B31" s="4">
        <v>311.0</v>
      </c>
      <c r="C31" s="4" t="s">
        <v>20</v>
      </c>
      <c r="D31" s="5" t="s">
        <v>19</v>
      </c>
      <c r="E31" s="5" t="str">
        <f t="shared" si="1"/>
        <v/>
      </c>
      <c r="F31" s="5" t="str">
        <f t="shared" si="2"/>
        <v/>
      </c>
      <c r="G31" s="5" t="s">
        <v>19</v>
      </c>
      <c r="H31" s="5" t="s">
        <v>19</v>
      </c>
      <c r="I31" s="5" t="s">
        <v>19</v>
      </c>
      <c r="J31" s="5">
        <v>0.0</v>
      </c>
      <c r="K31" s="5">
        <f t="shared" si="3"/>
        <v>0</v>
      </c>
      <c r="L31" s="5">
        <f t="shared" si="4"/>
        <v>0</v>
      </c>
      <c r="M31" s="5">
        <v>0.0</v>
      </c>
      <c r="N31" s="5">
        <f t="shared" si="5"/>
        <v>0</v>
      </c>
      <c r="O31" s="5">
        <f t="shared" si="6"/>
        <v>0</v>
      </c>
      <c r="P31" s="5">
        <f t="shared" si="9"/>
        <v>0</v>
      </c>
      <c r="Q31" s="5">
        <f t="shared" si="7"/>
        <v>0</v>
      </c>
      <c r="R31" s="5">
        <f t="shared" si="8"/>
        <v>0</v>
      </c>
    </row>
    <row r="32" ht="15.75" customHeight="1">
      <c r="A32" s="4">
        <v>2021.0</v>
      </c>
      <c r="B32" s="4">
        <v>312.0</v>
      </c>
      <c r="C32" s="4" t="s">
        <v>20</v>
      </c>
      <c r="D32" s="5">
        <v>883.0299999999996</v>
      </c>
      <c r="E32" s="5">
        <f t="shared" si="1"/>
        <v>0</v>
      </c>
      <c r="F32" s="5">
        <f t="shared" si="2"/>
        <v>883.03</v>
      </c>
      <c r="G32" s="5" t="s">
        <v>19</v>
      </c>
      <c r="H32" s="5" t="s">
        <v>19</v>
      </c>
      <c r="I32" s="5" t="s">
        <v>19</v>
      </c>
      <c r="J32" s="5">
        <v>0.0</v>
      </c>
      <c r="K32" s="5">
        <f t="shared" si="3"/>
        <v>0</v>
      </c>
      <c r="L32" s="5">
        <f t="shared" si="4"/>
        <v>0</v>
      </c>
      <c r="M32" s="5">
        <v>1155.5099999999993</v>
      </c>
      <c r="N32" s="5">
        <f t="shared" si="5"/>
        <v>0</v>
      </c>
      <c r="O32" s="5">
        <f t="shared" si="6"/>
        <v>1155.51</v>
      </c>
      <c r="P32" s="5">
        <f t="shared" si="9"/>
        <v>2038.54</v>
      </c>
      <c r="Q32" s="5">
        <f t="shared" si="7"/>
        <v>2038.54</v>
      </c>
      <c r="R32" s="5">
        <f t="shared" si="8"/>
        <v>0</v>
      </c>
    </row>
    <row r="33" ht="15.75" customHeight="1">
      <c r="A33" s="4">
        <v>2021.0</v>
      </c>
      <c r="B33" s="4">
        <v>313.0</v>
      </c>
      <c r="C33" s="4" t="s">
        <v>20</v>
      </c>
      <c r="D33" s="5">
        <v>14020.337999999994</v>
      </c>
      <c r="E33" s="5">
        <f t="shared" si="1"/>
        <v>0</v>
      </c>
      <c r="F33" s="5">
        <f t="shared" si="2"/>
        <v>14020.338</v>
      </c>
      <c r="G33" s="5" t="s">
        <v>19</v>
      </c>
      <c r="H33" s="5" t="s">
        <v>19</v>
      </c>
      <c r="I33" s="5" t="s">
        <v>19</v>
      </c>
      <c r="J33" s="5">
        <v>0.0</v>
      </c>
      <c r="K33" s="5">
        <f t="shared" si="3"/>
        <v>0</v>
      </c>
      <c r="L33" s="5">
        <f t="shared" si="4"/>
        <v>0</v>
      </c>
      <c r="M33" s="5">
        <v>2373.8459999999995</v>
      </c>
      <c r="N33" s="5">
        <f t="shared" si="5"/>
        <v>0</v>
      </c>
      <c r="O33" s="5">
        <f t="shared" si="6"/>
        <v>2373.846</v>
      </c>
      <c r="P33" s="5">
        <f t="shared" si="9"/>
        <v>16394.184</v>
      </c>
      <c r="Q33" s="5">
        <f t="shared" si="7"/>
        <v>16394.184</v>
      </c>
      <c r="R33" s="5">
        <f t="shared" si="8"/>
        <v>0</v>
      </c>
    </row>
    <row r="34" ht="15.75" customHeight="1">
      <c r="A34" s="4">
        <v>2021.0</v>
      </c>
      <c r="B34" s="4">
        <v>314.0</v>
      </c>
      <c r="C34" s="4" t="s">
        <v>20</v>
      </c>
      <c r="D34" s="5" t="s">
        <v>19</v>
      </c>
      <c r="E34" s="5" t="str">
        <f t="shared" si="1"/>
        <v/>
      </c>
      <c r="F34" s="5" t="str">
        <f t="shared" si="2"/>
        <v/>
      </c>
      <c r="G34" s="5" t="s">
        <v>19</v>
      </c>
      <c r="H34" s="5" t="s">
        <v>19</v>
      </c>
      <c r="I34" s="5" t="s">
        <v>19</v>
      </c>
      <c r="J34" s="5">
        <v>0.0</v>
      </c>
      <c r="K34" s="5">
        <f t="shared" si="3"/>
        <v>0</v>
      </c>
      <c r="L34" s="5">
        <f t="shared" si="4"/>
        <v>0</v>
      </c>
      <c r="M34" s="5">
        <v>0.0</v>
      </c>
      <c r="N34" s="5">
        <f t="shared" si="5"/>
        <v>0</v>
      </c>
      <c r="O34" s="5">
        <f t="shared" si="6"/>
        <v>0</v>
      </c>
      <c r="P34" s="5">
        <f t="shared" si="9"/>
        <v>0</v>
      </c>
      <c r="Q34" s="5">
        <f t="shared" si="7"/>
        <v>0</v>
      </c>
      <c r="R34" s="5">
        <f t="shared" si="8"/>
        <v>0</v>
      </c>
    </row>
    <row r="35" ht="15.75" customHeight="1">
      <c r="A35" s="4">
        <v>2021.0</v>
      </c>
      <c r="B35" s="4">
        <v>320.0</v>
      </c>
      <c r="C35" s="4" t="s">
        <v>20</v>
      </c>
      <c r="D35" s="5">
        <v>73834.76739999998</v>
      </c>
      <c r="E35" s="5">
        <f t="shared" si="1"/>
        <v>0</v>
      </c>
      <c r="F35" s="5">
        <f t="shared" si="2"/>
        <v>73834.7674</v>
      </c>
      <c r="G35" s="5">
        <v>27399.503500000006</v>
      </c>
      <c r="H35" s="5">
        <v>11866.066700000003</v>
      </c>
      <c r="I35" s="5">
        <v>15533.436800000003</v>
      </c>
      <c r="J35" s="5">
        <v>10546.236</v>
      </c>
      <c r="K35" s="5">
        <f t="shared" si="3"/>
        <v>10546.236</v>
      </c>
      <c r="L35" s="5">
        <f t="shared" si="4"/>
        <v>0</v>
      </c>
      <c r="M35" s="5">
        <v>12869.672999999995</v>
      </c>
      <c r="N35" s="5">
        <f t="shared" si="5"/>
        <v>0</v>
      </c>
      <c r="O35" s="5">
        <f t="shared" si="6"/>
        <v>12869.673</v>
      </c>
      <c r="P35" s="5">
        <f t="shared" si="9"/>
        <v>124650.1799</v>
      </c>
      <c r="Q35" s="5">
        <f t="shared" si="7"/>
        <v>102237.8772</v>
      </c>
      <c r="R35" s="5">
        <f t="shared" si="8"/>
        <v>22412.3027</v>
      </c>
    </row>
    <row r="36" ht="15.75" customHeight="1">
      <c r="A36" s="4">
        <v>2021.0</v>
      </c>
      <c r="B36" s="4">
        <v>321.0</v>
      </c>
      <c r="C36" s="4" t="s">
        <v>20</v>
      </c>
      <c r="D36" s="5">
        <v>29238.795999999984</v>
      </c>
      <c r="E36" s="5">
        <f t="shared" si="1"/>
        <v>0</v>
      </c>
      <c r="F36" s="5">
        <f t="shared" si="2"/>
        <v>29238.796</v>
      </c>
      <c r="G36" s="5">
        <v>6810.675000000001</v>
      </c>
      <c r="H36" s="5">
        <v>2421.597</v>
      </c>
      <c r="I36" s="5">
        <v>4389.078000000001</v>
      </c>
      <c r="J36" s="5">
        <v>237.30300000000005</v>
      </c>
      <c r="K36" s="5">
        <f t="shared" si="3"/>
        <v>237.303</v>
      </c>
      <c r="L36" s="5">
        <f t="shared" si="4"/>
        <v>0</v>
      </c>
      <c r="M36" s="5">
        <v>5336.935499999996</v>
      </c>
      <c r="N36" s="5">
        <f t="shared" si="5"/>
        <v>0</v>
      </c>
      <c r="O36" s="5">
        <f t="shared" si="6"/>
        <v>5336.9355</v>
      </c>
      <c r="P36" s="5">
        <f t="shared" si="9"/>
        <v>41623.7095</v>
      </c>
      <c r="Q36" s="5">
        <f t="shared" si="7"/>
        <v>38964.8095</v>
      </c>
      <c r="R36" s="5">
        <f t="shared" si="8"/>
        <v>2658.9</v>
      </c>
    </row>
    <row r="37" ht="15.75" customHeight="1">
      <c r="A37" s="4">
        <v>2021.0</v>
      </c>
      <c r="B37" s="4">
        <v>322.0</v>
      </c>
      <c r="C37" s="4" t="s">
        <v>20</v>
      </c>
      <c r="D37" s="5">
        <v>51892.21099999998</v>
      </c>
      <c r="E37" s="5">
        <f t="shared" si="1"/>
        <v>0</v>
      </c>
      <c r="F37" s="5">
        <f t="shared" si="2"/>
        <v>51892.211</v>
      </c>
      <c r="G37" s="5" t="s">
        <v>19</v>
      </c>
      <c r="H37" s="5" t="s">
        <v>19</v>
      </c>
      <c r="I37" s="5" t="s">
        <v>19</v>
      </c>
      <c r="J37" s="5">
        <v>0.0</v>
      </c>
      <c r="K37" s="5">
        <f t="shared" si="3"/>
        <v>0</v>
      </c>
      <c r="L37" s="5">
        <f t="shared" si="4"/>
        <v>0</v>
      </c>
      <c r="M37" s="5">
        <v>48750.31199999996</v>
      </c>
      <c r="N37" s="5">
        <f t="shared" si="5"/>
        <v>0</v>
      </c>
      <c r="O37" s="5">
        <f t="shared" si="6"/>
        <v>48750.312</v>
      </c>
      <c r="P37" s="5">
        <f t="shared" si="9"/>
        <v>100642.523</v>
      </c>
      <c r="Q37" s="5">
        <f t="shared" si="7"/>
        <v>100642.523</v>
      </c>
      <c r="R37" s="5">
        <f t="shared" si="8"/>
        <v>0</v>
      </c>
    </row>
    <row r="38" ht="15.75" customHeight="1">
      <c r="A38" s="4">
        <v>2021.0</v>
      </c>
      <c r="B38" s="4">
        <v>323.0</v>
      </c>
      <c r="C38" s="4" t="s">
        <v>20</v>
      </c>
      <c r="D38" s="5">
        <v>5592.6529999999975</v>
      </c>
      <c r="E38" s="5">
        <f t="shared" si="1"/>
        <v>0</v>
      </c>
      <c r="F38" s="5">
        <f t="shared" si="2"/>
        <v>5592.653</v>
      </c>
      <c r="G38" s="5" t="s">
        <v>19</v>
      </c>
      <c r="H38" s="5" t="s">
        <v>19</v>
      </c>
      <c r="I38" s="5" t="s">
        <v>19</v>
      </c>
      <c r="J38" s="5">
        <v>2326.5</v>
      </c>
      <c r="K38" s="5">
        <f t="shared" si="3"/>
        <v>2326.5</v>
      </c>
      <c r="L38" s="5">
        <f t="shared" si="4"/>
        <v>0</v>
      </c>
      <c r="M38" s="5">
        <v>85027.10999999999</v>
      </c>
      <c r="N38" s="5">
        <f t="shared" si="5"/>
        <v>0</v>
      </c>
      <c r="O38" s="5">
        <f t="shared" si="6"/>
        <v>85027.11</v>
      </c>
      <c r="P38" s="5">
        <f t="shared" si="9"/>
        <v>92946.263</v>
      </c>
      <c r="Q38" s="5">
        <f t="shared" si="7"/>
        <v>90619.763</v>
      </c>
      <c r="R38" s="5">
        <f t="shared" si="8"/>
        <v>2326.5</v>
      </c>
    </row>
    <row r="39" ht="15.75" customHeight="1">
      <c r="A39" s="4">
        <v>2021.0</v>
      </c>
      <c r="B39" s="4">
        <v>324.0</v>
      </c>
      <c r="C39" s="4" t="s">
        <v>20</v>
      </c>
      <c r="D39" s="5">
        <v>3369.517999999998</v>
      </c>
      <c r="E39" s="5">
        <f t="shared" si="1"/>
        <v>0</v>
      </c>
      <c r="F39" s="5">
        <f t="shared" si="2"/>
        <v>3369.518</v>
      </c>
      <c r="G39" s="5" t="s">
        <v>19</v>
      </c>
      <c r="H39" s="5" t="s">
        <v>19</v>
      </c>
      <c r="I39" s="5" t="s">
        <v>19</v>
      </c>
      <c r="J39" s="5">
        <v>0.0</v>
      </c>
      <c r="K39" s="5">
        <f t="shared" si="3"/>
        <v>0</v>
      </c>
      <c r="L39" s="5">
        <f t="shared" si="4"/>
        <v>0</v>
      </c>
      <c r="M39" s="5">
        <v>37115.10329999997</v>
      </c>
      <c r="N39" s="5">
        <f t="shared" si="5"/>
        <v>0</v>
      </c>
      <c r="O39" s="5">
        <f t="shared" si="6"/>
        <v>37115.1033</v>
      </c>
      <c r="P39" s="5">
        <f t="shared" si="9"/>
        <v>40484.6213</v>
      </c>
      <c r="Q39" s="5">
        <f t="shared" si="7"/>
        <v>40484.6213</v>
      </c>
      <c r="R39" s="5">
        <f t="shared" si="8"/>
        <v>0</v>
      </c>
    </row>
    <row r="40" ht="15.75" customHeight="1">
      <c r="A40" s="4">
        <v>2021.0</v>
      </c>
      <c r="B40" s="4">
        <v>325.0</v>
      </c>
      <c r="C40" s="4" t="s">
        <v>20</v>
      </c>
      <c r="D40" s="5">
        <v>4757.858999999998</v>
      </c>
      <c r="E40" s="5">
        <f t="shared" si="1"/>
        <v>0</v>
      </c>
      <c r="F40" s="5">
        <f t="shared" si="2"/>
        <v>4757.859</v>
      </c>
      <c r="G40" s="5" t="s">
        <v>19</v>
      </c>
      <c r="H40" s="5" t="s">
        <v>19</v>
      </c>
      <c r="I40" s="5" t="s">
        <v>19</v>
      </c>
      <c r="J40" s="5">
        <v>0.0</v>
      </c>
      <c r="K40" s="5">
        <f t="shared" si="3"/>
        <v>0</v>
      </c>
      <c r="L40" s="5">
        <f t="shared" si="4"/>
        <v>0</v>
      </c>
      <c r="M40" s="5">
        <v>17248.511999999988</v>
      </c>
      <c r="N40" s="5">
        <f t="shared" si="5"/>
        <v>0</v>
      </c>
      <c r="O40" s="5">
        <f t="shared" si="6"/>
        <v>17248.512</v>
      </c>
      <c r="P40" s="5">
        <f t="shared" si="9"/>
        <v>22006.371</v>
      </c>
      <c r="Q40" s="5">
        <f t="shared" si="7"/>
        <v>22006.371</v>
      </c>
      <c r="R40" s="5">
        <f t="shared" si="8"/>
        <v>0</v>
      </c>
    </row>
    <row r="41" ht="15.75" customHeight="1">
      <c r="A41" s="4">
        <v>2021.0</v>
      </c>
      <c r="B41" s="4">
        <v>326.0</v>
      </c>
      <c r="C41" s="4" t="s">
        <v>20</v>
      </c>
      <c r="D41" s="5" t="s">
        <v>19</v>
      </c>
      <c r="E41" s="5" t="str">
        <f t="shared" si="1"/>
        <v/>
      </c>
      <c r="F41" s="5" t="str">
        <f t="shared" si="2"/>
        <v/>
      </c>
      <c r="G41" s="5" t="s">
        <v>19</v>
      </c>
      <c r="H41" s="5" t="s">
        <v>19</v>
      </c>
      <c r="I41" s="5" t="s">
        <v>19</v>
      </c>
      <c r="J41" s="5">
        <v>0.0</v>
      </c>
      <c r="K41" s="5">
        <f t="shared" si="3"/>
        <v>0</v>
      </c>
      <c r="L41" s="5">
        <f t="shared" si="4"/>
        <v>0</v>
      </c>
      <c r="M41" s="5">
        <v>5453.4299999999985</v>
      </c>
      <c r="N41" s="5">
        <f t="shared" si="5"/>
        <v>0</v>
      </c>
      <c r="O41" s="5">
        <f t="shared" si="6"/>
        <v>5453.43</v>
      </c>
      <c r="P41" s="5">
        <f t="shared" si="9"/>
        <v>5453.43</v>
      </c>
      <c r="Q41" s="5">
        <f t="shared" si="7"/>
        <v>5453.43</v>
      </c>
      <c r="R41" s="5">
        <f t="shared" si="8"/>
        <v>0</v>
      </c>
    </row>
    <row r="42" ht="15.75" customHeight="1">
      <c r="A42" s="4">
        <v>2021.0</v>
      </c>
      <c r="B42" s="4">
        <v>327.0</v>
      </c>
      <c r="C42" s="4" t="s">
        <v>20</v>
      </c>
      <c r="D42" s="5">
        <v>25677.695499999987</v>
      </c>
      <c r="E42" s="5">
        <f t="shared" si="1"/>
        <v>0</v>
      </c>
      <c r="F42" s="5">
        <f t="shared" si="2"/>
        <v>25677.6955</v>
      </c>
      <c r="G42" s="5">
        <v>7157.51</v>
      </c>
      <c r="H42" s="5">
        <v>1584.0100000000002</v>
      </c>
      <c r="I42" s="5">
        <v>5573.5</v>
      </c>
      <c r="J42" s="5">
        <v>0.0</v>
      </c>
      <c r="K42" s="5">
        <f t="shared" si="3"/>
        <v>0</v>
      </c>
      <c r="L42" s="5">
        <f t="shared" si="4"/>
        <v>0</v>
      </c>
      <c r="M42" s="5">
        <v>11675.867999999991</v>
      </c>
      <c r="N42" s="5">
        <f t="shared" si="5"/>
        <v>0</v>
      </c>
      <c r="O42" s="5">
        <f t="shared" si="6"/>
        <v>11675.868</v>
      </c>
      <c r="P42" s="5">
        <f t="shared" si="9"/>
        <v>44511.0735</v>
      </c>
      <c r="Q42" s="5">
        <f t="shared" si="7"/>
        <v>42927.0635</v>
      </c>
      <c r="R42" s="5">
        <f t="shared" si="8"/>
        <v>1584.01</v>
      </c>
    </row>
    <row r="43" ht="15.75" customHeight="1">
      <c r="A43" s="4">
        <v>2021.0</v>
      </c>
      <c r="B43" s="4">
        <v>328.0</v>
      </c>
      <c r="C43" s="4" t="s">
        <v>20</v>
      </c>
      <c r="D43" s="5">
        <v>4035.8749999999986</v>
      </c>
      <c r="E43" s="5">
        <f t="shared" si="1"/>
        <v>0</v>
      </c>
      <c r="F43" s="5">
        <f t="shared" si="2"/>
        <v>4035.875</v>
      </c>
      <c r="G43" s="5">
        <v>1629.8050000000003</v>
      </c>
      <c r="H43" s="5">
        <v>1231.2110000000005</v>
      </c>
      <c r="I43" s="5">
        <v>398.5939999999998</v>
      </c>
      <c r="J43" s="5">
        <v>0.0</v>
      </c>
      <c r="K43" s="5">
        <f t="shared" si="3"/>
        <v>0</v>
      </c>
      <c r="L43" s="5">
        <f t="shared" si="4"/>
        <v>0</v>
      </c>
      <c r="M43" s="5">
        <v>62439.83099999995</v>
      </c>
      <c r="N43" s="5">
        <f t="shared" si="5"/>
        <v>0</v>
      </c>
      <c r="O43" s="5">
        <f t="shared" si="6"/>
        <v>62439.831</v>
      </c>
      <c r="P43" s="5">
        <f t="shared" si="9"/>
        <v>68105.511</v>
      </c>
      <c r="Q43" s="5">
        <f t="shared" si="7"/>
        <v>66874.3</v>
      </c>
      <c r="R43" s="5">
        <f t="shared" si="8"/>
        <v>1231.211</v>
      </c>
    </row>
    <row r="44" ht="15.75" customHeight="1">
      <c r="A44" s="4">
        <v>2021.0</v>
      </c>
      <c r="B44" s="4">
        <v>331.0</v>
      </c>
      <c r="C44" s="4" t="s">
        <v>20</v>
      </c>
      <c r="D44" s="5">
        <v>95729.78799999996</v>
      </c>
      <c r="E44" s="5">
        <f t="shared" si="1"/>
        <v>0</v>
      </c>
      <c r="F44" s="5">
        <f t="shared" si="2"/>
        <v>95729.788</v>
      </c>
      <c r="G44" s="5">
        <v>69149.38500000001</v>
      </c>
      <c r="H44" s="5">
        <v>18159.102000000003</v>
      </c>
      <c r="I44" s="5">
        <v>50990.28300000001</v>
      </c>
      <c r="J44" s="5">
        <v>2621.4720000000007</v>
      </c>
      <c r="K44" s="5">
        <f t="shared" si="3"/>
        <v>2621.472</v>
      </c>
      <c r="L44" s="5">
        <f t="shared" si="4"/>
        <v>0</v>
      </c>
      <c r="M44" s="5">
        <v>18519.57299999999</v>
      </c>
      <c r="N44" s="5">
        <f t="shared" si="5"/>
        <v>0</v>
      </c>
      <c r="O44" s="5">
        <f t="shared" si="6"/>
        <v>18519.573</v>
      </c>
      <c r="P44" s="5">
        <f t="shared" si="9"/>
        <v>186020.218</v>
      </c>
      <c r="Q44" s="5">
        <f t="shared" si="7"/>
        <v>165239.644</v>
      </c>
      <c r="R44" s="5">
        <f t="shared" si="8"/>
        <v>20780.574</v>
      </c>
    </row>
    <row r="45" ht="15.75" customHeight="1">
      <c r="A45" s="4">
        <v>2021.0</v>
      </c>
      <c r="B45" s="4">
        <v>332.0</v>
      </c>
      <c r="C45" s="4" t="s">
        <v>20</v>
      </c>
      <c r="D45" s="5" t="s">
        <v>19</v>
      </c>
      <c r="E45" s="5" t="str">
        <f t="shared" si="1"/>
        <v/>
      </c>
      <c r="F45" s="5" t="str">
        <f t="shared" si="2"/>
        <v/>
      </c>
      <c r="G45" s="5" t="s">
        <v>19</v>
      </c>
      <c r="H45" s="5" t="s">
        <v>19</v>
      </c>
      <c r="I45" s="5" t="s">
        <v>19</v>
      </c>
      <c r="J45" s="5">
        <v>0.0</v>
      </c>
      <c r="K45" s="5">
        <f t="shared" si="3"/>
        <v>0</v>
      </c>
      <c r="L45" s="5">
        <f t="shared" si="4"/>
        <v>0</v>
      </c>
      <c r="M45" s="5">
        <v>3231.2099999999973</v>
      </c>
      <c r="N45" s="5">
        <f t="shared" si="5"/>
        <v>0</v>
      </c>
      <c r="O45" s="5">
        <f t="shared" si="6"/>
        <v>3231.21</v>
      </c>
      <c r="P45" s="5">
        <f t="shared" si="9"/>
        <v>3231.21</v>
      </c>
      <c r="Q45" s="5">
        <f t="shared" si="7"/>
        <v>3231.21</v>
      </c>
      <c r="R45" s="5">
        <f t="shared" si="8"/>
        <v>0</v>
      </c>
    </row>
    <row r="46" ht="15.75" customHeight="1">
      <c r="A46" s="4">
        <v>2021.0</v>
      </c>
      <c r="B46" s="4">
        <v>333.0</v>
      </c>
      <c r="C46" s="4" t="s">
        <v>20</v>
      </c>
      <c r="D46" s="5">
        <v>1532.6599999999996</v>
      </c>
      <c r="E46" s="5">
        <f t="shared" si="1"/>
        <v>0</v>
      </c>
      <c r="F46" s="5">
        <f t="shared" si="2"/>
        <v>1532.66</v>
      </c>
      <c r="G46" s="5" t="s">
        <v>19</v>
      </c>
      <c r="H46" s="5" t="s">
        <v>19</v>
      </c>
      <c r="I46" s="5" t="s">
        <v>19</v>
      </c>
      <c r="J46" s="5">
        <v>0.0</v>
      </c>
      <c r="K46" s="5">
        <f t="shared" si="3"/>
        <v>0</v>
      </c>
      <c r="L46" s="5">
        <f t="shared" si="4"/>
        <v>0</v>
      </c>
      <c r="M46" s="5">
        <v>2021.753999999999</v>
      </c>
      <c r="N46" s="5">
        <f t="shared" si="5"/>
        <v>0</v>
      </c>
      <c r="O46" s="5">
        <f t="shared" si="6"/>
        <v>2021.754</v>
      </c>
      <c r="P46" s="5">
        <f t="shared" si="9"/>
        <v>3554.414</v>
      </c>
      <c r="Q46" s="5">
        <f t="shared" si="7"/>
        <v>3554.414</v>
      </c>
      <c r="R46" s="5">
        <f t="shared" si="8"/>
        <v>0</v>
      </c>
    </row>
    <row r="47" ht="15.75" customHeight="1">
      <c r="A47" s="4">
        <v>2021.0</v>
      </c>
      <c r="B47" s="4">
        <v>400.0</v>
      </c>
      <c r="C47" s="4" t="s">
        <v>21</v>
      </c>
      <c r="D47" s="5" t="s">
        <v>19</v>
      </c>
      <c r="E47" s="5" t="str">
        <f t="shared" si="1"/>
        <v/>
      </c>
      <c r="F47" s="5" t="str">
        <f t="shared" si="2"/>
        <v/>
      </c>
      <c r="G47" s="5" t="s">
        <v>19</v>
      </c>
      <c r="H47" s="5" t="s">
        <v>19</v>
      </c>
      <c r="I47" s="5" t="s">
        <v>19</v>
      </c>
      <c r="J47" s="5">
        <v>15682.5212</v>
      </c>
      <c r="K47" s="5">
        <f t="shared" si="3"/>
        <v>15682.5212</v>
      </c>
      <c r="L47" s="5">
        <f t="shared" si="4"/>
        <v>0</v>
      </c>
      <c r="M47" s="5">
        <v>274.04999999999995</v>
      </c>
      <c r="N47" s="5">
        <f t="shared" si="5"/>
        <v>0</v>
      </c>
      <c r="O47" s="5">
        <f t="shared" si="6"/>
        <v>274.05</v>
      </c>
      <c r="P47" s="5">
        <f t="shared" si="9"/>
        <v>15956.5712</v>
      </c>
      <c r="Q47" s="5">
        <f t="shared" si="7"/>
        <v>274.05</v>
      </c>
      <c r="R47" s="5">
        <f t="shared" si="8"/>
        <v>15682.5212</v>
      </c>
    </row>
    <row r="48" ht="15.75" customHeight="1">
      <c r="A48" s="4">
        <v>2021.0</v>
      </c>
      <c r="B48" s="4">
        <v>401.0</v>
      </c>
      <c r="C48" s="4" t="s">
        <v>21</v>
      </c>
      <c r="D48" s="5">
        <v>1411.3549999999993</v>
      </c>
      <c r="E48" s="5">
        <f t="shared" si="1"/>
        <v>0</v>
      </c>
      <c r="F48" s="5">
        <f t="shared" si="2"/>
        <v>1411.355</v>
      </c>
      <c r="G48" s="5">
        <v>1405.9072</v>
      </c>
      <c r="H48" s="5">
        <v>878.0921600000003</v>
      </c>
      <c r="I48" s="5">
        <v>527.8150399999998</v>
      </c>
      <c r="J48" s="5">
        <v>82061.4439</v>
      </c>
      <c r="K48" s="5">
        <f t="shared" si="3"/>
        <v>82061.4439</v>
      </c>
      <c r="L48" s="5">
        <f t="shared" si="4"/>
        <v>0</v>
      </c>
      <c r="M48" s="5">
        <v>452.97000000000025</v>
      </c>
      <c r="N48" s="5">
        <f t="shared" si="5"/>
        <v>0</v>
      </c>
      <c r="O48" s="5">
        <f t="shared" si="6"/>
        <v>452.97</v>
      </c>
      <c r="P48" s="5">
        <f t="shared" si="9"/>
        <v>85331.6761</v>
      </c>
      <c r="Q48" s="5">
        <f t="shared" si="7"/>
        <v>2392.14004</v>
      </c>
      <c r="R48" s="5">
        <f t="shared" si="8"/>
        <v>82939.53606</v>
      </c>
    </row>
    <row r="49" ht="15.75" customHeight="1">
      <c r="A49" s="4">
        <v>2021.0</v>
      </c>
      <c r="B49" s="4">
        <v>402.0</v>
      </c>
      <c r="C49" s="4" t="s">
        <v>21</v>
      </c>
      <c r="D49" s="5">
        <v>6037.228999999997</v>
      </c>
      <c r="E49" s="5">
        <f t="shared" si="1"/>
        <v>0</v>
      </c>
      <c r="F49" s="5">
        <f t="shared" si="2"/>
        <v>6037.229</v>
      </c>
      <c r="G49" s="5">
        <v>3003.6896000000006</v>
      </c>
      <c r="H49" s="5">
        <v>1940.8172800000002</v>
      </c>
      <c r="I49" s="5">
        <v>1062.8723200000004</v>
      </c>
      <c r="J49" s="5">
        <v>115224.65950000001</v>
      </c>
      <c r="K49" s="5">
        <f t="shared" si="3"/>
        <v>115224.6595</v>
      </c>
      <c r="L49" s="5">
        <f t="shared" si="4"/>
        <v>0</v>
      </c>
      <c r="M49" s="5">
        <v>4931.261999999999</v>
      </c>
      <c r="N49" s="5">
        <f t="shared" si="5"/>
        <v>0</v>
      </c>
      <c r="O49" s="5">
        <f t="shared" si="6"/>
        <v>4931.262</v>
      </c>
      <c r="P49" s="5">
        <f t="shared" si="9"/>
        <v>129196.8401</v>
      </c>
      <c r="Q49" s="5">
        <f t="shared" si="7"/>
        <v>12031.36332</v>
      </c>
      <c r="R49" s="5">
        <f t="shared" si="8"/>
        <v>117165.4768</v>
      </c>
    </row>
    <row r="50" ht="15.75" customHeight="1">
      <c r="A50" s="4">
        <v>2021.0</v>
      </c>
      <c r="B50" s="4">
        <v>403.0</v>
      </c>
      <c r="C50" s="4" t="s">
        <v>21</v>
      </c>
      <c r="D50" s="5">
        <v>7211.889999999998</v>
      </c>
      <c r="E50" s="5">
        <f t="shared" si="1"/>
        <v>0</v>
      </c>
      <c r="F50" s="5">
        <f t="shared" si="2"/>
        <v>7211.89</v>
      </c>
      <c r="G50" s="5">
        <v>4074.7904</v>
      </c>
      <c r="H50" s="5">
        <v>1675.04032</v>
      </c>
      <c r="I50" s="5">
        <v>2399.75008</v>
      </c>
      <c r="J50" s="5">
        <v>314569.1776</v>
      </c>
      <c r="K50" s="5">
        <f t="shared" si="3"/>
        <v>314569.1776</v>
      </c>
      <c r="L50" s="5">
        <f t="shared" si="4"/>
        <v>0</v>
      </c>
      <c r="M50" s="5">
        <v>2379.761999999999</v>
      </c>
      <c r="N50" s="5">
        <f t="shared" si="5"/>
        <v>0</v>
      </c>
      <c r="O50" s="5">
        <f t="shared" si="6"/>
        <v>2379.762</v>
      </c>
      <c r="P50" s="5">
        <f t="shared" si="9"/>
        <v>328235.62</v>
      </c>
      <c r="Q50" s="5">
        <f t="shared" si="7"/>
        <v>11991.40208</v>
      </c>
      <c r="R50" s="5">
        <f t="shared" si="8"/>
        <v>316244.2179</v>
      </c>
    </row>
    <row r="51" ht="15.75" customHeight="1">
      <c r="A51" s="4">
        <v>2021.0</v>
      </c>
      <c r="B51" s="4">
        <v>404.0</v>
      </c>
      <c r="C51" s="4" t="s">
        <v>21</v>
      </c>
      <c r="D51" s="5" t="s">
        <v>19</v>
      </c>
      <c r="E51" s="5" t="str">
        <f t="shared" si="1"/>
        <v/>
      </c>
      <c r="F51" s="5" t="str">
        <f t="shared" si="2"/>
        <v/>
      </c>
      <c r="G51" s="5">
        <v>1976.712</v>
      </c>
      <c r="H51" s="5">
        <v>985.6511999999999</v>
      </c>
      <c r="I51" s="5">
        <v>991.0608000000001</v>
      </c>
      <c r="J51" s="5">
        <v>105253.5736</v>
      </c>
      <c r="K51" s="5">
        <f t="shared" si="3"/>
        <v>105253.5736</v>
      </c>
      <c r="L51" s="5">
        <f t="shared" si="4"/>
        <v>0</v>
      </c>
      <c r="M51" s="5">
        <v>144.7109999999999</v>
      </c>
      <c r="N51" s="5">
        <f t="shared" si="5"/>
        <v>0</v>
      </c>
      <c r="O51" s="5">
        <f t="shared" si="6"/>
        <v>144.711</v>
      </c>
      <c r="P51" s="5">
        <f t="shared" si="9"/>
        <v>107374.9966</v>
      </c>
      <c r="Q51" s="5">
        <f t="shared" si="7"/>
        <v>1135.7718</v>
      </c>
      <c r="R51" s="5">
        <f t="shared" si="8"/>
        <v>106239.2248</v>
      </c>
    </row>
    <row r="52" ht="15.75" customHeight="1">
      <c r="A52" s="4">
        <v>2021.0</v>
      </c>
      <c r="B52" s="4">
        <v>405.0</v>
      </c>
      <c r="C52" s="4" t="s">
        <v>21</v>
      </c>
      <c r="D52" s="5" t="s">
        <v>19</v>
      </c>
      <c r="E52" s="5" t="str">
        <f t="shared" si="1"/>
        <v/>
      </c>
      <c r="F52" s="5" t="str">
        <f t="shared" si="2"/>
        <v/>
      </c>
      <c r="G52" s="5">
        <v>1536.0320000000002</v>
      </c>
      <c r="H52" s="5">
        <v>940.6816000000001</v>
      </c>
      <c r="I52" s="5">
        <v>595.3504</v>
      </c>
      <c r="J52" s="5">
        <v>34163.4349</v>
      </c>
      <c r="K52" s="5">
        <f t="shared" si="3"/>
        <v>34163.4349</v>
      </c>
      <c r="L52" s="5">
        <f t="shared" si="4"/>
        <v>0</v>
      </c>
      <c r="M52" s="5">
        <v>66.77999999999997</v>
      </c>
      <c r="N52" s="5">
        <f t="shared" si="5"/>
        <v>0</v>
      </c>
      <c r="O52" s="5">
        <f t="shared" si="6"/>
        <v>66.78</v>
      </c>
      <c r="P52" s="5">
        <f t="shared" si="9"/>
        <v>35766.2469</v>
      </c>
      <c r="Q52" s="5">
        <f t="shared" si="7"/>
        <v>662.1304</v>
      </c>
      <c r="R52" s="5">
        <f t="shared" si="8"/>
        <v>35104.1165</v>
      </c>
    </row>
    <row r="53" ht="15.75" customHeight="1">
      <c r="A53" s="4">
        <v>2021.0</v>
      </c>
      <c r="B53" s="4">
        <v>406.0</v>
      </c>
      <c r="C53" s="4" t="s">
        <v>21</v>
      </c>
      <c r="D53" s="5" t="s">
        <v>19</v>
      </c>
      <c r="E53" s="5" t="str">
        <f t="shared" si="1"/>
        <v/>
      </c>
      <c r="F53" s="5" t="str">
        <f t="shared" si="2"/>
        <v/>
      </c>
      <c r="G53" s="5" t="s">
        <v>19</v>
      </c>
      <c r="H53" s="5" t="s">
        <v>19</v>
      </c>
      <c r="I53" s="5" t="s">
        <v>19</v>
      </c>
      <c r="J53" s="5">
        <v>57472.8187</v>
      </c>
      <c r="K53" s="5">
        <f t="shared" si="3"/>
        <v>57472.8187</v>
      </c>
      <c r="L53" s="5">
        <f t="shared" si="4"/>
        <v>0</v>
      </c>
      <c r="M53" s="5">
        <v>0.0</v>
      </c>
      <c r="N53" s="5">
        <f t="shared" si="5"/>
        <v>0</v>
      </c>
      <c r="O53" s="5">
        <f t="shared" si="6"/>
        <v>0</v>
      </c>
      <c r="P53" s="5">
        <f t="shared" si="9"/>
        <v>57472.8187</v>
      </c>
      <c r="Q53" s="5">
        <f t="shared" si="7"/>
        <v>0</v>
      </c>
      <c r="R53" s="5">
        <f t="shared" si="8"/>
        <v>57472.8187</v>
      </c>
    </row>
    <row r="54" ht="15.75" customHeight="1">
      <c r="A54" s="4">
        <v>2021.0</v>
      </c>
      <c r="B54" s="4">
        <v>407.0</v>
      </c>
      <c r="C54" s="4" t="s">
        <v>21</v>
      </c>
      <c r="D54" s="5" t="s">
        <v>19</v>
      </c>
      <c r="E54" s="5" t="str">
        <f t="shared" si="1"/>
        <v/>
      </c>
      <c r="F54" s="5" t="str">
        <f t="shared" si="2"/>
        <v/>
      </c>
      <c r="G54" s="5">
        <v>1533.3088000000002</v>
      </c>
      <c r="H54" s="5">
        <v>1167.2518400000004</v>
      </c>
      <c r="I54" s="5">
        <v>366.0569599999999</v>
      </c>
      <c r="J54" s="5">
        <v>78954.11330000001</v>
      </c>
      <c r="K54" s="5">
        <f t="shared" si="3"/>
        <v>78954.1133</v>
      </c>
      <c r="L54" s="5">
        <f t="shared" si="4"/>
        <v>0</v>
      </c>
      <c r="M54" s="5">
        <v>0.0</v>
      </c>
      <c r="N54" s="5">
        <f t="shared" si="5"/>
        <v>0</v>
      </c>
      <c r="O54" s="5">
        <f t="shared" si="6"/>
        <v>0</v>
      </c>
      <c r="P54" s="5">
        <f t="shared" si="9"/>
        <v>80487.4221</v>
      </c>
      <c r="Q54" s="5">
        <f t="shared" si="7"/>
        <v>366.05696</v>
      </c>
      <c r="R54" s="5">
        <f t="shared" si="8"/>
        <v>80121.36514</v>
      </c>
    </row>
    <row r="55" ht="15.75" customHeight="1">
      <c r="A55" s="4">
        <v>2021.0</v>
      </c>
      <c r="B55" s="4">
        <v>408.0</v>
      </c>
      <c r="C55" s="4" t="s">
        <v>21</v>
      </c>
      <c r="D55" s="5" t="s">
        <v>19</v>
      </c>
      <c r="E55" s="5" t="str">
        <f t="shared" si="1"/>
        <v/>
      </c>
      <c r="F55" s="5" t="str">
        <f t="shared" si="2"/>
        <v/>
      </c>
      <c r="G55" s="5" t="s">
        <v>19</v>
      </c>
      <c r="H55" s="5" t="s">
        <v>19</v>
      </c>
      <c r="I55" s="5" t="s">
        <v>19</v>
      </c>
      <c r="J55" s="5">
        <v>17435.183300000004</v>
      </c>
      <c r="K55" s="5">
        <f t="shared" si="3"/>
        <v>17435.1833</v>
      </c>
      <c r="L55" s="5">
        <f t="shared" si="4"/>
        <v>0</v>
      </c>
      <c r="M55" s="5">
        <v>0.0</v>
      </c>
      <c r="N55" s="5">
        <f t="shared" si="5"/>
        <v>0</v>
      </c>
      <c r="O55" s="5">
        <f t="shared" si="6"/>
        <v>0</v>
      </c>
      <c r="P55" s="5">
        <f t="shared" si="9"/>
        <v>17435.1833</v>
      </c>
      <c r="Q55" s="5">
        <f t="shared" si="7"/>
        <v>0</v>
      </c>
      <c r="R55" s="5">
        <f t="shared" si="8"/>
        <v>17435.1833</v>
      </c>
    </row>
    <row r="56" ht="15.75" customHeight="1">
      <c r="A56" s="4">
        <v>2021.0</v>
      </c>
      <c r="B56" s="4">
        <v>409.0</v>
      </c>
      <c r="C56" s="4" t="s">
        <v>21</v>
      </c>
      <c r="D56" s="5">
        <v>252.77999999999992</v>
      </c>
      <c r="E56" s="5">
        <f t="shared" si="1"/>
        <v>0</v>
      </c>
      <c r="F56" s="5">
        <f t="shared" si="2"/>
        <v>252.78</v>
      </c>
      <c r="G56" s="5" t="s">
        <v>19</v>
      </c>
      <c r="H56" s="5" t="s">
        <v>19</v>
      </c>
      <c r="I56" s="5" t="s">
        <v>19</v>
      </c>
      <c r="J56" s="5">
        <v>70930.94680000002</v>
      </c>
      <c r="K56" s="5">
        <f t="shared" si="3"/>
        <v>70930.9468</v>
      </c>
      <c r="L56" s="5">
        <f t="shared" si="4"/>
        <v>0</v>
      </c>
      <c r="M56" s="5">
        <v>471.2399999999998</v>
      </c>
      <c r="N56" s="5">
        <f t="shared" si="5"/>
        <v>0</v>
      </c>
      <c r="O56" s="5">
        <f t="shared" si="6"/>
        <v>471.24</v>
      </c>
      <c r="P56" s="5">
        <f t="shared" si="9"/>
        <v>71654.9668</v>
      </c>
      <c r="Q56" s="5">
        <f t="shared" si="7"/>
        <v>724.02</v>
      </c>
      <c r="R56" s="5">
        <f t="shared" si="8"/>
        <v>70930.9468</v>
      </c>
    </row>
    <row r="57" ht="15.75" customHeight="1">
      <c r="A57" s="4">
        <v>2021.0</v>
      </c>
      <c r="B57" s="4">
        <v>420.0</v>
      </c>
      <c r="C57" s="4" t="s">
        <v>21</v>
      </c>
      <c r="D57" s="5">
        <v>141.70999999999995</v>
      </c>
      <c r="E57" s="5">
        <f t="shared" si="1"/>
        <v>0</v>
      </c>
      <c r="F57" s="5">
        <f t="shared" si="2"/>
        <v>141.71</v>
      </c>
      <c r="G57" s="5" t="s">
        <v>19</v>
      </c>
      <c r="H57" s="5" t="s">
        <v>19</v>
      </c>
      <c r="I57" s="5" t="s">
        <v>19</v>
      </c>
      <c r="J57" s="5">
        <v>601.0900000000001</v>
      </c>
      <c r="K57" s="5">
        <f t="shared" si="3"/>
        <v>601.09</v>
      </c>
      <c r="L57" s="5">
        <f t="shared" si="4"/>
        <v>0</v>
      </c>
      <c r="M57" s="5">
        <v>3516.786</v>
      </c>
      <c r="N57" s="5">
        <f t="shared" si="5"/>
        <v>0</v>
      </c>
      <c r="O57" s="5">
        <f t="shared" si="6"/>
        <v>3516.786</v>
      </c>
      <c r="P57" s="5">
        <f t="shared" si="9"/>
        <v>4259.586</v>
      </c>
      <c r="Q57" s="5">
        <f t="shared" si="7"/>
        <v>3658.496</v>
      </c>
      <c r="R57" s="5">
        <f t="shared" si="8"/>
        <v>601.09</v>
      </c>
    </row>
    <row r="58" ht="15.75" customHeight="1">
      <c r="A58" s="4">
        <v>2021.0</v>
      </c>
      <c r="B58" s="4">
        <v>421.0</v>
      </c>
      <c r="C58" s="4" t="s">
        <v>21</v>
      </c>
      <c r="D58" s="5">
        <v>718.1249999999997</v>
      </c>
      <c r="E58" s="5">
        <f t="shared" si="1"/>
        <v>0</v>
      </c>
      <c r="F58" s="5">
        <f t="shared" si="2"/>
        <v>718.125</v>
      </c>
      <c r="G58" s="5">
        <v>369.84000000000003</v>
      </c>
      <c r="H58" s="5">
        <v>267.168</v>
      </c>
      <c r="I58" s="5">
        <v>102.67200000000003</v>
      </c>
      <c r="J58" s="5">
        <v>739.5899999999999</v>
      </c>
      <c r="K58" s="5">
        <f t="shared" si="3"/>
        <v>739.59</v>
      </c>
      <c r="L58" s="5">
        <f t="shared" si="4"/>
        <v>0</v>
      </c>
      <c r="M58" s="5">
        <v>23625.819000000003</v>
      </c>
      <c r="N58" s="5">
        <f t="shared" si="5"/>
        <v>0</v>
      </c>
      <c r="O58" s="5">
        <f t="shared" si="6"/>
        <v>23625.819</v>
      </c>
      <c r="P58" s="5">
        <f t="shared" si="9"/>
        <v>25453.374</v>
      </c>
      <c r="Q58" s="5">
        <f t="shared" si="7"/>
        <v>24446.616</v>
      </c>
      <c r="R58" s="5">
        <f t="shared" si="8"/>
        <v>1006.758</v>
      </c>
    </row>
    <row r="59" ht="15.75" customHeight="1">
      <c r="A59" s="4">
        <v>2021.0</v>
      </c>
      <c r="B59" s="4">
        <v>422.0</v>
      </c>
      <c r="C59" s="4" t="s">
        <v>21</v>
      </c>
      <c r="D59" s="5" t="s">
        <v>19</v>
      </c>
      <c r="E59" s="5" t="str">
        <f t="shared" si="1"/>
        <v/>
      </c>
      <c r="F59" s="5" t="str">
        <f t="shared" si="2"/>
        <v/>
      </c>
      <c r="G59" s="5" t="s">
        <v>19</v>
      </c>
      <c r="H59" s="5" t="s">
        <v>19</v>
      </c>
      <c r="I59" s="5" t="s">
        <v>19</v>
      </c>
      <c r="J59" s="5">
        <v>873.935</v>
      </c>
      <c r="K59" s="5">
        <f t="shared" si="3"/>
        <v>873.935</v>
      </c>
      <c r="L59" s="5">
        <f t="shared" si="4"/>
        <v>0</v>
      </c>
      <c r="M59" s="5">
        <v>33769.95299999998</v>
      </c>
      <c r="N59" s="5">
        <f t="shared" si="5"/>
        <v>0</v>
      </c>
      <c r="O59" s="5">
        <f t="shared" si="6"/>
        <v>33769.953</v>
      </c>
      <c r="P59" s="5">
        <f t="shared" si="9"/>
        <v>34643.888</v>
      </c>
      <c r="Q59" s="5">
        <f t="shared" si="7"/>
        <v>33769.953</v>
      </c>
      <c r="R59" s="5">
        <f t="shared" si="8"/>
        <v>873.935</v>
      </c>
    </row>
    <row r="60" ht="15.75" customHeight="1">
      <c r="A60" s="4">
        <v>2021.0</v>
      </c>
      <c r="B60" s="4">
        <v>423.0</v>
      </c>
      <c r="C60" s="4" t="s">
        <v>21</v>
      </c>
      <c r="D60" s="5">
        <v>10538.244999999994</v>
      </c>
      <c r="E60" s="5">
        <f t="shared" si="1"/>
        <v>0</v>
      </c>
      <c r="F60" s="5">
        <f t="shared" si="2"/>
        <v>10538.245</v>
      </c>
      <c r="G60" s="5">
        <v>1437.4080000000001</v>
      </c>
      <c r="H60" s="5">
        <v>527.2703999999999</v>
      </c>
      <c r="I60" s="5">
        <v>910.1376000000002</v>
      </c>
      <c r="J60" s="5">
        <v>15052.872500000001</v>
      </c>
      <c r="K60" s="5">
        <f t="shared" si="3"/>
        <v>15052.8725</v>
      </c>
      <c r="L60" s="5">
        <f t="shared" si="4"/>
        <v>0</v>
      </c>
      <c r="M60" s="5">
        <v>69043.33799999999</v>
      </c>
      <c r="N60" s="5">
        <f t="shared" si="5"/>
        <v>0</v>
      </c>
      <c r="O60" s="5">
        <f t="shared" si="6"/>
        <v>69043.338</v>
      </c>
      <c r="P60" s="5">
        <f t="shared" si="9"/>
        <v>96071.8635</v>
      </c>
      <c r="Q60" s="5">
        <f t="shared" si="7"/>
        <v>80491.7206</v>
      </c>
      <c r="R60" s="5">
        <f t="shared" si="8"/>
        <v>15580.1429</v>
      </c>
    </row>
    <row r="61" ht="15.75" customHeight="1">
      <c r="A61" s="4">
        <v>2021.0</v>
      </c>
      <c r="B61" s="4">
        <v>424.0</v>
      </c>
      <c r="C61" s="4" t="s">
        <v>21</v>
      </c>
      <c r="D61" s="5" t="s">
        <v>19</v>
      </c>
      <c r="E61" s="5" t="str">
        <f t="shared" si="1"/>
        <v/>
      </c>
      <c r="F61" s="5" t="str">
        <f t="shared" si="2"/>
        <v/>
      </c>
      <c r="G61" s="5" t="s">
        <v>19</v>
      </c>
      <c r="H61" s="5" t="s">
        <v>19</v>
      </c>
      <c r="I61" s="5" t="s">
        <v>19</v>
      </c>
      <c r="J61" s="5">
        <v>10176.5645</v>
      </c>
      <c r="K61" s="5">
        <f t="shared" si="3"/>
        <v>10176.5645</v>
      </c>
      <c r="L61" s="5">
        <f t="shared" si="4"/>
        <v>0</v>
      </c>
      <c r="M61" s="5">
        <v>25458.992999999988</v>
      </c>
      <c r="N61" s="5">
        <f t="shared" si="5"/>
        <v>0</v>
      </c>
      <c r="O61" s="5">
        <f t="shared" si="6"/>
        <v>25458.993</v>
      </c>
      <c r="P61" s="5">
        <f t="shared" si="9"/>
        <v>35635.5575</v>
      </c>
      <c r="Q61" s="5">
        <f t="shared" si="7"/>
        <v>25458.993</v>
      </c>
      <c r="R61" s="5">
        <f t="shared" si="8"/>
        <v>10176.5645</v>
      </c>
    </row>
    <row r="62" ht="15.75" customHeight="1">
      <c r="A62" s="4">
        <v>2021.0</v>
      </c>
      <c r="B62" s="4">
        <v>425.0</v>
      </c>
      <c r="C62" s="4" t="s">
        <v>21</v>
      </c>
      <c r="D62" s="5" t="s">
        <v>19</v>
      </c>
      <c r="E62" s="5" t="str">
        <f t="shared" si="1"/>
        <v/>
      </c>
      <c r="F62" s="5" t="str">
        <f t="shared" si="2"/>
        <v/>
      </c>
      <c r="G62" s="5" t="s">
        <v>19</v>
      </c>
      <c r="H62" s="5" t="s">
        <v>19</v>
      </c>
      <c r="I62" s="5" t="s">
        <v>19</v>
      </c>
      <c r="J62" s="5">
        <v>0.0</v>
      </c>
      <c r="K62" s="5">
        <f t="shared" si="3"/>
        <v>0</v>
      </c>
      <c r="L62" s="5">
        <f t="shared" si="4"/>
        <v>0</v>
      </c>
      <c r="M62" s="5">
        <v>36580.572000000015</v>
      </c>
      <c r="N62" s="5">
        <f t="shared" si="5"/>
        <v>0</v>
      </c>
      <c r="O62" s="5">
        <f t="shared" si="6"/>
        <v>36580.572</v>
      </c>
      <c r="P62" s="5">
        <f t="shared" si="9"/>
        <v>36580.572</v>
      </c>
      <c r="Q62" s="5">
        <f t="shared" si="7"/>
        <v>36580.572</v>
      </c>
      <c r="R62" s="5">
        <f t="shared" si="8"/>
        <v>0</v>
      </c>
    </row>
    <row r="63" ht="15.75" customHeight="1">
      <c r="A63" s="4">
        <v>2021.0</v>
      </c>
      <c r="B63" s="4">
        <v>426.0</v>
      </c>
      <c r="C63" s="4" t="s">
        <v>21</v>
      </c>
      <c r="D63" s="5" t="s">
        <v>19</v>
      </c>
      <c r="E63" s="5" t="str">
        <f t="shared" si="1"/>
        <v/>
      </c>
      <c r="F63" s="5" t="str">
        <f t="shared" si="2"/>
        <v/>
      </c>
      <c r="G63" s="5" t="s">
        <v>19</v>
      </c>
      <c r="H63" s="5" t="s">
        <v>19</v>
      </c>
      <c r="I63" s="5" t="s">
        <v>19</v>
      </c>
      <c r="J63" s="5">
        <v>0.0</v>
      </c>
      <c r="K63" s="5">
        <f t="shared" si="3"/>
        <v>0</v>
      </c>
      <c r="L63" s="5">
        <f t="shared" si="4"/>
        <v>0</v>
      </c>
      <c r="M63" s="5">
        <v>42096.285</v>
      </c>
      <c r="N63" s="5">
        <f t="shared" si="5"/>
        <v>0</v>
      </c>
      <c r="O63" s="5">
        <f t="shared" si="6"/>
        <v>42096.285</v>
      </c>
      <c r="P63" s="5">
        <f t="shared" si="9"/>
        <v>42096.285</v>
      </c>
      <c r="Q63" s="5">
        <f t="shared" si="7"/>
        <v>42096.285</v>
      </c>
      <c r="R63" s="5">
        <f t="shared" si="8"/>
        <v>0</v>
      </c>
    </row>
    <row r="64" ht="15.75" customHeight="1">
      <c r="A64" s="4">
        <v>2021.0</v>
      </c>
      <c r="B64" s="4">
        <v>427.0</v>
      </c>
      <c r="C64" s="4" t="s">
        <v>21</v>
      </c>
      <c r="D64" s="5" t="s">
        <v>19</v>
      </c>
      <c r="E64" s="5" t="str">
        <f t="shared" si="1"/>
        <v/>
      </c>
      <c r="F64" s="5" t="str">
        <f t="shared" si="2"/>
        <v/>
      </c>
      <c r="G64" s="5">
        <v>1909.92</v>
      </c>
      <c r="H64" s="5">
        <v>639.2160000000001</v>
      </c>
      <c r="I64" s="5">
        <v>1270.704</v>
      </c>
      <c r="J64" s="5">
        <v>568.9580000000001</v>
      </c>
      <c r="K64" s="5">
        <f t="shared" si="3"/>
        <v>568.958</v>
      </c>
      <c r="L64" s="5">
        <f t="shared" si="4"/>
        <v>0</v>
      </c>
      <c r="M64" s="5">
        <v>49692.38400000002</v>
      </c>
      <c r="N64" s="5">
        <f t="shared" si="5"/>
        <v>0</v>
      </c>
      <c r="O64" s="5">
        <f t="shared" si="6"/>
        <v>49692.384</v>
      </c>
      <c r="P64" s="5">
        <f t="shared" si="9"/>
        <v>52171.262</v>
      </c>
      <c r="Q64" s="5">
        <f t="shared" si="7"/>
        <v>50963.088</v>
      </c>
      <c r="R64" s="5">
        <f t="shared" si="8"/>
        <v>1208.174</v>
      </c>
    </row>
    <row r="65" ht="15.75" customHeight="1">
      <c r="A65" s="4">
        <v>2021.0</v>
      </c>
      <c r="B65" s="4">
        <v>428.0</v>
      </c>
      <c r="C65" s="4" t="s">
        <v>21</v>
      </c>
      <c r="D65" s="5" t="s">
        <v>19</v>
      </c>
      <c r="E65" s="5" t="str">
        <f t="shared" si="1"/>
        <v/>
      </c>
      <c r="F65" s="5" t="str">
        <f t="shared" si="2"/>
        <v/>
      </c>
      <c r="G65" s="5" t="s">
        <v>19</v>
      </c>
      <c r="H65" s="5" t="s">
        <v>19</v>
      </c>
      <c r="I65" s="5" t="s">
        <v>19</v>
      </c>
      <c r="J65" s="5">
        <v>0.0</v>
      </c>
      <c r="K65" s="5">
        <f t="shared" si="3"/>
        <v>0</v>
      </c>
      <c r="L65" s="5">
        <f t="shared" si="4"/>
        <v>0</v>
      </c>
      <c r="M65" s="5">
        <v>2547.09</v>
      </c>
      <c r="N65" s="5">
        <f t="shared" si="5"/>
        <v>0</v>
      </c>
      <c r="O65" s="5">
        <f t="shared" si="6"/>
        <v>2547.09</v>
      </c>
      <c r="P65" s="5">
        <f t="shared" si="9"/>
        <v>2547.09</v>
      </c>
      <c r="Q65" s="5">
        <f t="shared" si="7"/>
        <v>2547.09</v>
      </c>
      <c r="R65" s="5">
        <f t="shared" si="8"/>
        <v>0</v>
      </c>
    </row>
    <row r="66" ht="15.75" customHeight="1">
      <c r="A66" s="4">
        <v>2021.0</v>
      </c>
      <c r="B66" s="4">
        <v>429.0</v>
      </c>
      <c r="C66" s="4" t="s">
        <v>21</v>
      </c>
      <c r="D66" s="5">
        <v>3072.808999999998</v>
      </c>
      <c r="E66" s="5">
        <f t="shared" si="1"/>
        <v>0</v>
      </c>
      <c r="F66" s="5">
        <f t="shared" si="2"/>
        <v>3072.809</v>
      </c>
      <c r="G66" s="5">
        <v>907.856</v>
      </c>
      <c r="H66" s="5">
        <v>497.31520000000006</v>
      </c>
      <c r="I66" s="5">
        <v>410.54079999999993</v>
      </c>
      <c r="J66" s="5">
        <v>969.5</v>
      </c>
      <c r="K66" s="5">
        <f t="shared" si="3"/>
        <v>969.5</v>
      </c>
      <c r="L66" s="5">
        <f t="shared" si="4"/>
        <v>0</v>
      </c>
      <c r="M66" s="5">
        <v>2167.83</v>
      </c>
      <c r="N66" s="5">
        <f t="shared" si="5"/>
        <v>0</v>
      </c>
      <c r="O66" s="5">
        <f t="shared" si="6"/>
        <v>2167.83</v>
      </c>
      <c r="P66" s="5">
        <f t="shared" si="9"/>
        <v>7117.995</v>
      </c>
      <c r="Q66" s="5">
        <f t="shared" si="7"/>
        <v>5651.1798</v>
      </c>
      <c r="R66" s="5">
        <f t="shared" si="8"/>
        <v>1466.8152</v>
      </c>
    </row>
    <row r="67" ht="15.75" customHeight="1">
      <c r="A67" s="4">
        <v>2021.0</v>
      </c>
      <c r="B67" s="4">
        <v>500.0</v>
      </c>
      <c r="C67" s="4" t="s">
        <v>22</v>
      </c>
      <c r="D67" s="5">
        <v>1896.686999999999</v>
      </c>
      <c r="E67" s="5">
        <f t="shared" si="1"/>
        <v>0</v>
      </c>
      <c r="F67" s="5">
        <f t="shared" si="2"/>
        <v>1896.687</v>
      </c>
      <c r="G67" s="5">
        <v>9603.165</v>
      </c>
      <c r="H67" s="5">
        <v>5239.533000000001</v>
      </c>
      <c r="I67" s="5">
        <v>4363.632</v>
      </c>
      <c r="J67" s="5">
        <v>125408.668</v>
      </c>
      <c r="K67" s="5">
        <f t="shared" si="3"/>
        <v>125408.668</v>
      </c>
      <c r="L67" s="5">
        <f t="shared" si="4"/>
        <v>0</v>
      </c>
      <c r="M67" s="5">
        <v>3970.0199999999995</v>
      </c>
      <c r="N67" s="5">
        <f t="shared" si="5"/>
        <v>0</v>
      </c>
      <c r="O67" s="5">
        <f t="shared" si="6"/>
        <v>3970.02</v>
      </c>
      <c r="P67" s="5">
        <f t="shared" si="9"/>
        <v>140878.54</v>
      </c>
      <c r="Q67" s="5">
        <f t="shared" si="7"/>
        <v>10230.339</v>
      </c>
      <c r="R67" s="5">
        <f t="shared" si="8"/>
        <v>130648.201</v>
      </c>
    </row>
    <row r="68" ht="15.75" customHeight="1">
      <c r="A68" s="4">
        <v>2021.0</v>
      </c>
      <c r="B68" s="4">
        <v>501.0</v>
      </c>
      <c r="C68" s="4" t="s">
        <v>22</v>
      </c>
      <c r="D68" s="5">
        <v>4693.922999999998</v>
      </c>
      <c r="E68" s="5">
        <f t="shared" si="1"/>
        <v>0</v>
      </c>
      <c r="F68" s="5">
        <f t="shared" si="2"/>
        <v>4693.923</v>
      </c>
      <c r="G68" s="5">
        <v>11842.59</v>
      </c>
      <c r="H68" s="5">
        <v>5478.072000000001</v>
      </c>
      <c r="I68" s="5">
        <v>6364.517999999999</v>
      </c>
      <c r="J68" s="5">
        <v>48026.23559999999</v>
      </c>
      <c r="K68" s="5">
        <f t="shared" si="3"/>
        <v>48026.2356</v>
      </c>
      <c r="L68" s="5">
        <f t="shared" si="4"/>
        <v>0</v>
      </c>
      <c r="M68" s="5">
        <v>1686.5599999999995</v>
      </c>
      <c r="N68" s="5">
        <f t="shared" si="5"/>
        <v>0</v>
      </c>
      <c r="O68" s="5">
        <f t="shared" si="6"/>
        <v>1686.56</v>
      </c>
      <c r="P68" s="5">
        <f t="shared" si="9"/>
        <v>66249.3086</v>
      </c>
      <c r="Q68" s="5">
        <f t="shared" si="7"/>
        <v>12745.001</v>
      </c>
      <c r="R68" s="5">
        <f t="shared" si="8"/>
        <v>53504.3076</v>
      </c>
    </row>
    <row r="69" ht="15.75" customHeight="1">
      <c r="A69" s="4">
        <v>2021.0</v>
      </c>
      <c r="B69" s="4">
        <v>502.0</v>
      </c>
      <c r="C69" s="4" t="s">
        <v>22</v>
      </c>
      <c r="D69" s="5" t="s">
        <v>19</v>
      </c>
      <c r="E69" s="5" t="str">
        <f t="shared" si="1"/>
        <v/>
      </c>
      <c r="F69" s="5" t="str">
        <f t="shared" si="2"/>
        <v/>
      </c>
      <c r="G69" s="5" t="s">
        <v>19</v>
      </c>
      <c r="H69" s="5" t="s">
        <v>19</v>
      </c>
      <c r="I69" s="5" t="s">
        <v>19</v>
      </c>
      <c r="J69" s="5">
        <v>0.0</v>
      </c>
      <c r="K69" s="5">
        <f t="shared" si="3"/>
        <v>0</v>
      </c>
      <c r="L69" s="5">
        <f t="shared" si="4"/>
        <v>0</v>
      </c>
      <c r="M69" s="5">
        <v>0.0</v>
      </c>
      <c r="N69" s="5">
        <f t="shared" si="5"/>
        <v>0</v>
      </c>
      <c r="O69" s="5">
        <f t="shared" si="6"/>
        <v>0</v>
      </c>
      <c r="P69" s="5">
        <f t="shared" si="9"/>
        <v>0</v>
      </c>
      <c r="Q69" s="5">
        <f t="shared" si="7"/>
        <v>0</v>
      </c>
      <c r="R69" s="5">
        <f t="shared" si="8"/>
        <v>0</v>
      </c>
    </row>
    <row r="70" ht="15.75" customHeight="1">
      <c r="A70" s="4">
        <v>2021.0</v>
      </c>
      <c r="B70" s="4">
        <v>503.0</v>
      </c>
      <c r="C70" s="4" t="s">
        <v>22</v>
      </c>
      <c r="D70" s="5">
        <v>692.7299999999997</v>
      </c>
      <c r="E70" s="5">
        <f t="shared" si="1"/>
        <v>0</v>
      </c>
      <c r="F70" s="5">
        <f t="shared" si="2"/>
        <v>692.73</v>
      </c>
      <c r="G70" s="5" t="s">
        <v>19</v>
      </c>
      <c r="H70" s="5" t="s">
        <v>19</v>
      </c>
      <c r="I70" s="5" t="s">
        <v>19</v>
      </c>
      <c r="J70" s="5">
        <v>0.0</v>
      </c>
      <c r="K70" s="5">
        <f t="shared" si="3"/>
        <v>0</v>
      </c>
      <c r="L70" s="5">
        <f t="shared" si="4"/>
        <v>0</v>
      </c>
      <c r="M70" s="5">
        <v>551.1799999999997</v>
      </c>
      <c r="N70" s="5">
        <f t="shared" si="5"/>
        <v>0</v>
      </c>
      <c r="O70" s="5">
        <f t="shared" si="6"/>
        <v>551.18</v>
      </c>
      <c r="P70" s="5">
        <f t="shared" si="9"/>
        <v>1243.91</v>
      </c>
      <c r="Q70" s="5">
        <f t="shared" si="7"/>
        <v>1243.91</v>
      </c>
      <c r="R70" s="5">
        <f t="shared" si="8"/>
        <v>0</v>
      </c>
    </row>
    <row r="71" ht="15.75" customHeight="1">
      <c r="A71" s="4">
        <v>2021.0</v>
      </c>
      <c r="B71" s="4">
        <v>504.0</v>
      </c>
      <c r="C71" s="4" t="s">
        <v>22</v>
      </c>
      <c r="D71" s="5">
        <v>1950.8669999999993</v>
      </c>
      <c r="E71" s="5">
        <f t="shared" si="1"/>
        <v>0</v>
      </c>
      <c r="F71" s="5">
        <f t="shared" si="2"/>
        <v>1950.867</v>
      </c>
      <c r="G71" s="5">
        <v>13623.585000000003</v>
      </c>
      <c r="H71" s="5">
        <v>5224.770000000001</v>
      </c>
      <c r="I71" s="5">
        <v>8398.815000000002</v>
      </c>
      <c r="J71" s="5">
        <v>11707.7058</v>
      </c>
      <c r="K71" s="5">
        <f t="shared" si="3"/>
        <v>11707.7058</v>
      </c>
      <c r="L71" s="5">
        <f t="shared" si="4"/>
        <v>0</v>
      </c>
      <c r="M71" s="5">
        <v>11358.499</v>
      </c>
      <c r="N71" s="5">
        <f t="shared" si="5"/>
        <v>0</v>
      </c>
      <c r="O71" s="5">
        <f t="shared" si="6"/>
        <v>11358.499</v>
      </c>
      <c r="P71" s="5">
        <f t="shared" si="9"/>
        <v>38640.6568</v>
      </c>
      <c r="Q71" s="5">
        <f t="shared" si="7"/>
        <v>21708.181</v>
      </c>
      <c r="R71" s="5">
        <f t="shared" si="8"/>
        <v>16932.4758</v>
      </c>
    </row>
    <row r="72" ht="15.75" customHeight="1">
      <c r="A72" s="4">
        <v>2021.0</v>
      </c>
      <c r="B72" s="4">
        <v>505.0</v>
      </c>
      <c r="C72" s="4" t="s">
        <v>22</v>
      </c>
      <c r="D72" s="5">
        <v>2816.1989999999987</v>
      </c>
      <c r="E72" s="5">
        <f t="shared" si="1"/>
        <v>0</v>
      </c>
      <c r="F72" s="5">
        <f t="shared" si="2"/>
        <v>2816.199</v>
      </c>
      <c r="G72" s="5">
        <v>7496.9400000000005</v>
      </c>
      <c r="H72" s="5">
        <v>2532.1320000000005</v>
      </c>
      <c r="I72" s="5">
        <v>4964.808</v>
      </c>
      <c r="J72" s="5">
        <v>16061.381000000001</v>
      </c>
      <c r="K72" s="5">
        <f t="shared" si="3"/>
        <v>16061.381</v>
      </c>
      <c r="L72" s="5">
        <f t="shared" si="4"/>
        <v>0</v>
      </c>
      <c r="M72" s="5">
        <v>954.1509999999998</v>
      </c>
      <c r="N72" s="5">
        <f t="shared" si="5"/>
        <v>0</v>
      </c>
      <c r="O72" s="5">
        <f t="shared" si="6"/>
        <v>954.151</v>
      </c>
      <c r="P72" s="5">
        <f t="shared" si="9"/>
        <v>27328.671</v>
      </c>
      <c r="Q72" s="5">
        <f t="shared" si="7"/>
        <v>8735.158</v>
      </c>
      <c r="R72" s="5">
        <f t="shared" si="8"/>
        <v>18593.513</v>
      </c>
    </row>
    <row r="73" ht="15.75" customHeight="1">
      <c r="A73" s="4">
        <v>2021.0</v>
      </c>
      <c r="B73" s="4">
        <v>506.0</v>
      </c>
      <c r="C73" s="4" t="s">
        <v>22</v>
      </c>
      <c r="D73" s="5">
        <v>4651.739999999999</v>
      </c>
      <c r="E73" s="5">
        <f t="shared" si="1"/>
        <v>0</v>
      </c>
      <c r="F73" s="5">
        <f t="shared" si="2"/>
        <v>4651.74</v>
      </c>
      <c r="G73" s="5">
        <v>19283.29</v>
      </c>
      <c r="H73" s="5">
        <v>8343.722000000002</v>
      </c>
      <c r="I73" s="5">
        <v>10939.568</v>
      </c>
      <c r="J73" s="5">
        <v>14950.691000000003</v>
      </c>
      <c r="K73" s="5">
        <f t="shared" si="3"/>
        <v>14950.691</v>
      </c>
      <c r="L73" s="5">
        <f t="shared" si="4"/>
        <v>0</v>
      </c>
      <c r="M73" s="5">
        <v>1859.4577999999988</v>
      </c>
      <c r="N73" s="5">
        <f t="shared" si="5"/>
        <v>0</v>
      </c>
      <c r="O73" s="5">
        <f t="shared" si="6"/>
        <v>1859.4578</v>
      </c>
      <c r="P73" s="5">
        <f t="shared" si="9"/>
        <v>40745.1788</v>
      </c>
      <c r="Q73" s="5">
        <f t="shared" si="7"/>
        <v>17450.7658</v>
      </c>
      <c r="R73" s="5">
        <f t="shared" si="8"/>
        <v>23294.413</v>
      </c>
    </row>
    <row r="74" ht="15.75" customHeight="1">
      <c r="A74" s="4">
        <v>2021.0</v>
      </c>
      <c r="B74" s="4">
        <v>507.0</v>
      </c>
      <c r="C74" s="4" t="s">
        <v>22</v>
      </c>
      <c r="D74" s="5" t="s">
        <v>19</v>
      </c>
      <c r="E74" s="5" t="str">
        <f t="shared" si="1"/>
        <v/>
      </c>
      <c r="F74" s="5" t="str">
        <f t="shared" si="2"/>
        <v/>
      </c>
      <c r="G74" s="5" t="s">
        <v>19</v>
      </c>
      <c r="H74" s="5" t="s">
        <v>19</v>
      </c>
      <c r="I74" s="5" t="s">
        <v>19</v>
      </c>
      <c r="J74" s="5">
        <v>0.0</v>
      </c>
      <c r="K74" s="5">
        <f t="shared" si="3"/>
        <v>0</v>
      </c>
      <c r="L74" s="5">
        <f t="shared" si="4"/>
        <v>0</v>
      </c>
      <c r="M74" s="5">
        <v>0.0</v>
      </c>
      <c r="N74" s="5">
        <f t="shared" si="5"/>
        <v>0</v>
      </c>
      <c r="O74" s="5">
        <f t="shared" si="6"/>
        <v>0</v>
      </c>
      <c r="P74" s="5">
        <f t="shared" si="9"/>
        <v>0</v>
      </c>
      <c r="Q74" s="5">
        <f t="shared" si="7"/>
        <v>0</v>
      </c>
      <c r="R74" s="5">
        <f t="shared" si="8"/>
        <v>0</v>
      </c>
    </row>
    <row r="75" ht="15.75" customHeight="1">
      <c r="A75" s="4">
        <v>2021.0</v>
      </c>
      <c r="B75" s="4">
        <v>508.0</v>
      </c>
      <c r="C75" s="4" t="s">
        <v>22</v>
      </c>
      <c r="D75" s="5" t="s">
        <v>19</v>
      </c>
      <c r="E75" s="5" t="str">
        <f t="shared" si="1"/>
        <v/>
      </c>
      <c r="F75" s="5" t="str">
        <f t="shared" si="2"/>
        <v/>
      </c>
      <c r="G75" s="5" t="s">
        <v>19</v>
      </c>
      <c r="H75" s="5" t="s">
        <v>19</v>
      </c>
      <c r="I75" s="5" t="s">
        <v>19</v>
      </c>
      <c r="J75" s="5">
        <v>0.0</v>
      </c>
      <c r="K75" s="5">
        <f t="shared" si="3"/>
        <v>0</v>
      </c>
      <c r="L75" s="5">
        <f t="shared" si="4"/>
        <v>0</v>
      </c>
      <c r="M75" s="5">
        <v>12727.939999999999</v>
      </c>
      <c r="N75" s="5">
        <f t="shared" si="5"/>
        <v>0</v>
      </c>
      <c r="O75" s="5">
        <f t="shared" si="6"/>
        <v>12727.94</v>
      </c>
      <c r="P75" s="5">
        <f t="shared" si="9"/>
        <v>12727.94</v>
      </c>
      <c r="Q75" s="5">
        <f t="shared" si="7"/>
        <v>12727.94</v>
      </c>
      <c r="R75" s="5">
        <f t="shared" si="8"/>
        <v>0</v>
      </c>
    </row>
    <row r="76" ht="15.75" customHeight="1">
      <c r="A76" s="4">
        <v>2021.0</v>
      </c>
      <c r="B76" s="4">
        <v>520.0</v>
      </c>
      <c r="C76" s="4" t="s">
        <v>22</v>
      </c>
      <c r="D76" s="5">
        <v>534.0599999999997</v>
      </c>
      <c r="E76" s="5">
        <f t="shared" si="1"/>
        <v>0</v>
      </c>
      <c r="F76" s="5">
        <f t="shared" si="2"/>
        <v>534.06</v>
      </c>
      <c r="G76" s="5">
        <v>2153.4</v>
      </c>
      <c r="H76" s="5">
        <v>841.38</v>
      </c>
      <c r="I76" s="5">
        <v>1312.02</v>
      </c>
      <c r="J76" s="5">
        <v>2344.79</v>
      </c>
      <c r="K76" s="5">
        <f t="shared" si="3"/>
        <v>2344.79</v>
      </c>
      <c r="L76" s="5">
        <f t="shared" si="4"/>
        <v>0</v>
      </c>
      <c r="M76" s="5">
        <v>115701.12749999994</v>
      </c>
      <c r="N76" s="5">
        <f t="shared" si="5"/>
        <v>0</v>
      </c>
      <c r="O76" s="5">
        <f t="shared" si="6"/>
        <v>115701.1275</v>
      </c>
      <c r="P76" s="5">
        <f t="shared" si="9"/>
        <v>120733.3775</v>
      </c>
      <c r="Q76" s="5">
        <f t="shared" si="7"/>
        <v>117547.2075</v>
      </c>
      <c r="R76" s="5">
        <f t="shared" si="8"/>
        <v>3186.17</v>
      </c>
    </row>
    <row r="77" ht="15.75" customHeight="1">
      <c r="A77" s="4">
        <v>2021.0</v>
      </c>
      <c r="B77" s="4">
        <v>521.0</v>
      </c>
      <c r="C77" s="4" t="s">
        <v>22</v>
      </c>
      <c r="D77" s="5">
        <v>2155.5899999999992</v>
      </c>
      <c r="E77" s="5">
        <f t="shared" si="1"/>
        <v>0</v>
      </c>
      <c r="F77" s="5">
        <f t="shared" si="2"/>
        <v>2155.59</v>
      </c>
      <c r="G77" s="5">
        <v>1468.9</v>
      </c>
      <c r="H77" s="5">
        <v>655.64</v>
      </c>
      <c r="I77" s="5">
        <v>813.2600000000001</v>
      </c>
      <c r="J77" s="5">
        <v>8604.260000000002</v>
      </c>
      <c r="K77" s="5">
        <f t="shared" si="3"/>
        <v>8604.26</v>
      </c>
      <c r="L77" s="5">
        <f t="shared" si="4"/>
        <v>0</v>
      </c>
      <c r="M77" s="5">
        <v>17694.274999999998</v>
      </c>
      <c r="N77" s="5">
        <f t="shared" si="5"/>
        <v>0</v>
      </c>
      <c r="O77" s="5">
        <f t="shared" si="6"/>
        <v>17694.275</v>
      </c>
      <c r="P77" s="5">
        <f t="shared" si="9"/>
        <v>29923.025</v>
      </c>
      <c r="Q77" s="5">
        <f t="shared" si="7"/>
        <v>20663.125</v>
      </c>
      <c r="R77" s="5">
        <f t="shared" si="8"/>
        <v>9259.9</v>
      </c>
    </row>
    <row r="78" ht="15.75" customHeight="1">
      <c r="A78" s="4">
        <v>2021.0</v>
      </c>
      <c r="B78" s="4">
        <v>522.0</v>
      </c>
      <c r="C78" s="4" t="s">
        <v>22</v>
      </c>
      <c r="D78" s="5">
        <v>2082.059999999999</v>
      </c>
      <c r="E78" s="5">
        <f t="shared" si="1"/>
        <v>0</v>
      </c>
      <c r="F78" s="5">
        <f t="shared" si="2"/>
        <v>2082.06</v>
      </c>
      <c r="G78" s="5" t="s">
        <v>19</v>
      </c>
      <c r="H78" s="5" t="s">
        <v>19</v>
      </c>
      <c r="I78" s="5" t="s">
        <v>19</v>
      </c>
      <c r="J78" s="5">
        <v>0.0</v>
      </c>
      <c r="K78" s="5">
        <f t="shared" si="3"/>
        <v>0</v>
      </c>
      <c r="L78" s="5">
        <f t="shared" si="4"/>
        <v>0</v>
      </c>
      <c r="M78" s="5">
        <v>3516.629999999999</v>
      </c>
      <c r="N78" s="5">
        <f t="shared" si="5"/>
        <v>0</v>
      </c>
      <c r="O78" s="5">
        <f t="shared" si="6"/>
        <v>3516.63</v>
      </c>
      <c r="P78" s="5">
        <f t="shared" si="9"/>
        <v>5598.69</v>
      </c>
      <c r="Q78" s="5">
        <f t="shared" si="7"/>
        <v>5598.69</v>
      </c>
      <c r="R78" s="5">
        <f t="shared" si="8"/>
        <v>0</v>
      </c>
    </row>
    <row r="79" ht="15.75" customHeight="1">
      <c r="A79" s="4">
        <v>2021.0</v>
      </c>
      <c r="B79" s="4">
        <v>523.0</v>
      </c>
      <c r="C79" s="4" t="s">
        <v>22</v>
      </c>
      <c r="D79" s="5" t="s">
        <v>19</v>
      </c>
      <c r="E79" s="5" t="str">
        <f t="shared" si="1"/>
        <v/>
      </c>
      <c r="F79" s="5" t="str">
        <f t="shared" si="2"/>
        <v/>
      </c>
      <c r="G79" s="5" t="s">
        <v>19</v>
      </c>
      <c r="H79" s="5" t="s">
        <v>19</v>
      </c>
      <c r="I79" s="5" t="s">
        <v>19</v>
      </c>
      <c r="J79" s="5">
        <v>0.0</v>
      </c>
      <c r="K79" s="5">
        <f t="shared" si="3"/>
        <v>0</v>
      </c>
      <c r="L79" s="5">
        <f t="shared" si="4"/>
        <v>0</v>
      </c>
      <c r="M79" s="5">
        <v>40156.12999999999</v>
      </c>
      <c r="N79" s="5">
        <f t="shared" si="5"/>
        <v>0</v>
      </c>
      <c r="O79" s="5">
        <f t="shared" si="6"/>
        <v>40156.13</v>
      </c>
      <c r="P79" s="5">
        <f t="shared" si="9"/>
        <v>40156.13</v>
      </c>
      <c r="Q79" s="5">
        <f t="shared" si="7"/>
        <v>40156.13</v>
      </c>
      <c r="R79" s="5">
        <f t="shared" si="8"/>
        <v>0</v>
      </c>
    </row>
    <row r="80" ht="15.75" customHeight="1">
      <c r="A80" s="4">
        <v>2021.0</v>
      </c>
      <c r="B80" s="4">
        <v>524.0</v>
      </c>
      <c r="C80" s="4" t="s">
        <v>22</v>
      </c>
      <c r="D80" s="5">
        <v>6389.369999999998</v>
      </c>
      <c r="E80" s="5">
        <f t="shared" si="1"/>
        <v>0</v>
      </c>
      <c r="F80" s="5">
        <f t="shared" si="2"/>
        <v>6389.37</v>
      </c>
      <c r="G80" s="5">
        <v>5994.370000000001</v>
      </c>
      <c r="H80" s="5">
        <v>3229.0640000000008</v>
      </c>
      <c r="I80" s="5">
        <v>2765.306</v>
      </c>
      <c r="J80" s="5">
        <v>2324.7000000000003</v>
      </c>
      <c r="K80" s="5">
        <f t="shared" si="3"/>
        <v>2324.7</v>
      </c>
      <c r="L80" s="5">
        <f t="shared" si="4"/>
        <v>0</v>
      </c>
      <c r="M80" s="5">
        <v>223775.3334999999</v>
      </c>
      <c r="N80" s="5">
        <f t="shared" si="5"/>
        <v>0</v>
      </c>
      <c r="O80" s="5">
        <f t="shared" si="6"/>
        <v>223775.3335</v>
      </c>
      <c r="P80" s="5">
        <f t="shared" si="9"/>
        <v>238483.7735</v>
      </c>
      <c r="Q80" s="5">
        <f t="shared" si="7"/>
        <v>232930.0095</v>
      </c>
      <c r="R80" s="5">
        <f t="shared" si="8"/>
        <v>5553.764</v>
      </c>
    </row>
    <row r="81" ht="15.75" customHeight="1">
      <c r="A81" s="4">
        <v>2021.0</v>
      </c>
      <c r="B81" s="4">
        <v>525.0</v>
      </c>
      <c r="C81" s="4" t="s">
        <v>22</v>
      </c>
      <c r="D81" s="5">
        <v>476.00999999999976</v>
      </c>
      <c r="E81" s="5">
        <f t="shared" si="1"/>
        <v>0</v>
      </c>
      <c r="F81" s="5">
        <f t="shared" si="2"/>
        <v>476.01</v>
      </c>
      <c r="G81" s="5" t="s">
        <v>19</v>
      </c>
      <c r="H81" s="5" t="s">
        <v>19</v>
      </c>
      <c r="I81" s="5" t="s">
        <v>19</v>
      </c>
      <c r="J81" s="5">
        <v>0.0</v>
      </c>
      <c r="K81" s="5">
        <f t="shared" si="3"/>
        <v>0</v>
      </c>
      <c r="L81" s="5">
        <f t="shared" si="4"/>
        <v>0</v>
      </c>
      <c r="M81" s="5">
        <v>6955.789999999999</v>
      </c>
      <c r="N81" s="5">
        <f t="shared" si="5"/>
        <v>0</v>
      </c>
      <c r="O81" s="5">
        <f t="shared" si="6"/>
        <v>6955.79</v>
      </c>
      <c r="P81" s="5">
        <f t="shared" si="9"/>
        <v>7431.8</v>
      </c>
      <c r="Q81" s="5">
        <f t="shared" si="7"/>
        <v>7431.8</v>
      </c>
      <c r="R81" s="5">
        <f t="shared" si="8"/>
        <v>0</v>
      </c>
    </row>
    <row r="82" ht="15.75" customHeight="1">
      <c r="A82" s="4">
        <v>2021.0</v>
      </c>
      <c r="B82" s="4">
        <v>526.0</v>
      </c>
      <c r="C82" s="4" t="s">
        <v>22</v>
      </c>
      <c r="D82" s="5" t="s">
        <v>19</v>
      </c>
      <c r="E82" s="5" t="str">
        <f t="shared" si="1"/>
        <v/>
      </c>
      <c r="F82" s="5" t="str">
        <f t="shared" si="2"/>
        <v/>
      </c>
      <c r="G82" s="5" t="s">
        <v>19</v>
      </c>
      <c r="H82" s="5" t="s">
        <v>19</v>
      </c>
      <c r="I82" s="5" t="s">
        <v>19</v>
      </c>
      <c r="J82" s="5">
        <v>0.0</v>
      </c>
      <c r="K82" s="5">
        <f t="shared" si="3"/>
        <v>0</v>
      </c>
      <c r="L82" s="5">
        <f t="shared" si="4"/>
        <v>0</v>
      </c>
      <c r="M82" s="5">
        <v>2189.4799999999996</v>
      </c>
      <c r="N82" s="5">
        <f t="shared" si="5"/>
        <v>0</v>
      </c>
      <c r="O82" s="5">
        <f t="shared" si="6"/>
        <v>2189.48</v>
      </c>
      <c r="P82" s="5">
        <f t="shared" si="9"/>
        <v>2189.48</v>
      </c>
      <c r="Q82" s="5">
        <f t="shared" si="7"/>
        <v>2189.48</v>
      </c>
      <c r="R82" s="5">
        <f t="shared" si="8"/>
        <v>0</v>
      </c>
    </row>
    <row r="83" ht="15.75" customHeight="1">
      <c r="A83" s="4">
        <v>2021.0</v>
      </c>
      <c r="B83" s="4">
        <v>527.0</v>
      </c>
      <c r="C83" s="4" t="s">
        <v>22</v>
      </c>
      <c r="D83" s="5" t="s">
        <v>19</v>
      </c>
      <c r="E83" s="5" t="str">
        <f t="shared" si="1"/>
        <v/>
      </c>
      <c r="F83" s="5" t="str">
        <f t="shared" si="2"/>
        <v/>
      </c>
      <c r="G83" s="5" t="s">
        <v>19</v>
      </c>
      <c r="H83" s="5" t="s">
        <v>19</v>
      </c>
      <c r="I83" s="5" t="s">
        <v>19</v>
      </c>
      <c r="J83" s="5">
        <v>0.0</v>
      </c>
      <c r="K83" s="5">
        <f t="shared" si="3"/>
        <v>0</v>
      </c>
      <c r="L83" s="5">
        <f t="shared" si="4"/>
        <v>0</v>
      </c>
      <c r="M83" s="5">
        <v>2082.7999999999997</v>
      </c>
      <c r="N83" s="5">
        <f t="shared" si="5"/>
        <v>0</v>
      </c>
      <c r="O83" s="5">
        <f t="shared" si="6"/>
        <v>2082.8</v>
      </c>
      <c r="P83" s="5">
        <f t="shared" si="9"/>
        <v>2082.8</v>
      </c>
      <c r="Q83" s="5">
        <f t="shared" si="7"/>
        <v>2082.8</v>
      </c>
      <c r="R83" s="5">
        <f t="shared" si="8"/>
        <v>0</v>
      </c>
    </row>
    <row r="84" ht="15.75" customHeight="1">
      <c r="A84" s="4">
        <v>2021.0</v>
      </c>
      <c r="B84" s="4">
        <v>528.0</v>
      </c>
      <c r="C84" s="4" t="s">
        <v>22</v>
      </c>
      <c r="D84" s="5" t="s">
        <v>19</v>
      </c>
      <c r="E84" s="5" t="str">
        <f t="shared" si="1"/>
        <v/>
      </c>
      <c r="F84" s="5" t="str">
        <f t="shared" si="2"/>
        <v/>
      </c>
      <c r="G84" s="5" t="s">
        <v>19</v>
      </c>
      <c r="H84" s="5" t="s">
        <v>19</v>
      </c>
      <c r="I84" s="5" t="s">
        <v>19</v>
      </c>
      <c r="J84" s="5">
        <v>0.0</v>
      </c>
      <c r="K84" s="5">
        <f t="shared" si="3"/>
        <v>0</v>
      </c>
      <c r="L84" s="5">
        <f t="shared" si="4"/>
        <v>0</v>
      </c>
      <c r="M84" s="5">
        <v>0.0</v>
      </c>
      <c r="N84" s="5">
        <f t="shared" si="5"/>
        <v>0</v>
      </c>
      <c r="O84" s="5">
        <f t="shared" si="6"/>
        <v>0</v>
      </c>
      <c r="P84" s="5">
        <f t="shared" si="9"/>
        <v>0</v>
      </c>
      <c r="Q84" s="5">
        <f t="shared" si="7"/>
        <v>0</v>
      </c>
      <c r="R84" s="5">
        <f t="shared" si="8"/>
        <v>0</v>
      </c>
    </row>
    <row r="85" ht="15.75" customHeight="1">
      <c r="A85" s="4">
        <v>2020.0</v>
      </c>
      <c r="B85" s="4">
        <v>100.0</v>
      </c>
      <c r="C85" s="4" t="s">
        <v>18</v>
      </c>
      <c r="D85" s="5">
        <v>6119.4937186514935</v>
      </c>
      <c r="E85" s="5">
        <f t="shared" si="1"/>
        <v>0</v>
      </c>
      <c r="F85" s="5">
        <f t="shared" si="2"/>
        <v>6119.493719</v>
      </c>
      <c r="G85" s="5" t="s">
        <v>19</v>
      </c>
      <c r="H85" s="5" t="s">
        <v>19</v>
      </c>
      <c r="I85" s="5" t="s">
        <v>19</v>
      </c>
      <c r="J85" s="5">
        <v>1495.903601839589</v>
      </c>
      <c r="K85" s="5">
        <f t="shared" si="3"/>
        <v>1495.903602</v>
      </c>
      <c r="L85" s="5">
        <f t="shared" si="4"/>
        <v>0</v>
      </c>
      <c r="M85" s="5">
        <v>18446.560099978808</v>
      </c>
      <c r="N85" s="5">
        <f t="shared" si="5"/>
        <v>0</v>
      </c>
      <c r="O85" s="5">
        <f t="shared" si="6"/>
        <v>18446.5601</v>
      </c>
      <c r="P85" s="5">
        <f t="shared" si="9"/>
        <v>26061.95742</v>
      </c>
      <c r="Q85" s="5">
        <f t="shared" si="7"/>
        <v>24566.05382</v>
      </c>
      <c r="R85" s="5">
        <f t="shared" si="8"/>
        <v>1495.903602</v>
      </c>
    </row>
    <row r="86" ht="15.75" customHeight="1">
      <c r="A86" s="4">
        <v>2020.0</v>
      </c>
      <c r="B86" s="4">
        <v>101.0</v>
      </c>
      <c r="C86" s="4" t="s">
        <v>18</v>
      </c>
      <c r="D86" s="5">
        <v>20275.209350098652</v>
      </c>
      <c r="E86" s="5">
        <f t="shared" si="1"/>
        <v>0</v>
      </c>
      <c r="F86" s="5">
        <f t="shared" si="2"/>
        <v>20275.20935</v>
      </c>
      <c r="G86" s="5">
        <v>1730.984324021932</v>
      </c>
      <c r="H86" s="5">
        <v>812.2446006908061</v>
      </c>
      <c r="I86" s="5">
        <v>918.7397233311259</v>
      </c>
      <c r="J86" s="5">
        <v>135471.51396943355</v>
      </c>
      <c r="K86" s="5">
        <f t="shared" si="3"/>
        <v>135471.514</v>
      </c>
      <c r="L86" s="5">
        <f t="shared" si="4"/>
        <v>0</v>
      </c>
      <c r="M86" s="5">
        <v>35993.18698414562</v>
      </c>
      <c r="N86" s="5">
        <f t="shared" si="5"/>
        <v>0</v>
      </c>
      <c r="O86" s="5">
        <f t="shared" si="6"/>
        <v>35993.18698</v>
      </c>
      <c r="P86" s="5">
        <f t="shared" si="9"/>
        <v>193470.8946</v>
      </c>
      <c r="Q86" s="5">
        <f t="shared" si="7"/>
        <v>57187.13606</v>
      </c>
      <c r="R86" s="5">
        <f t="shared" si="8"/>
        <v>136283.7586</v>
      </c>
    </row>
    <row r="87" ht="15.75" customHeight="1">
      <c r="A87" s="4">
        <v>2020.0</v>
      </c>
      <c r="B87" s="4">
        <v>102.0</v>
      </c>
      <c r="C87" s="4" t="s">
        <v>18</v>
      </c>
      <c r="D87" s="5">
        <v>11621.446156199501</v>
      </c>
      <c r="E87" s="5">
        <f t="shared" si="1"/>
        <v>0</v>
      </c>
      <c r="F87" s="5">
        <f t="shared" si="2"/>
        <v>11621.44616</v>
      </c>
      <c r="G87" s="5">
        <v>5025.376847985591</v>
      </c>
      <c r="H87" s="5">
        <v>1568.899998272985</v>
      </c>
      <c r="I87" s="5">
        <v>3456.476849712606</v>
      </c>
      <c r="J87" s="5">
        <v>3128.237643133658</v>
      </c>
      <c r="K87" s="5">
        <f t="shared" si="3"/>
        <v>3128.237643</v>
      </c>
      <c r="L87" s="5">
        <f t="shared" si="4"/>
        <v>0</v>
      </c>
      <c r="M87" s="5">
        <v>20347.341849511948</v>
      </c>
      <c r="N87" s="5">
        <f t="shared" si="5"/>
        <v>0</v>
      </c>
      <c r="O87" s="5">
        <f t="shared" si="6"/>
        <v>20347.34185</v>
      </c>
      <c r="P87" s="5">
        <f t="shared" si="9"/>
        <v>40122.4025</v>
      </c>
      <c r="Q87" s="5">
        <f t="shared" si="7"/>
        <v>35425.26486</v>
      </c>
      <c r="R87" s="5">
        <f t="shared" si="8"/>
        <v>4697.137641</v>
      </c>
    </row>
    <row r="88" ht="15.75" customHeight="1">
      <c r="A88" s="4">
        <v>2020.0</v>
      </c>
      <c r="B88" s="4">
        <v>103.0</v>
      </c>
      <c r="C88" s="4" t="s">
        <v>18</v>
      </c>
      <c r="D88" s="5">
        <v>12153.650039796168</v>
      </c>
      <c r="E88" s="5">
        <f t="shared" si="1"/>
        <v>0</v>
      </c>
      <c r="F88" s="5">
        <f t="shared" si="2"/>
        <v>12153.65004</v>
      </c>
      <c r="G88" s="5">
        <v>3902.227814266416</v>
      </c>
      <c r="H88" s="5">
        <v>826.4393738775727</v>
      </c>
      <c r="I88" s="5">
        <v>3075.788440388843</v>
      </c>
      <c r="J88" s="5">
        <v>0.0</v>
      </c>
      <c r="K88" s="5">
        <f t="shared" si="3"/>
        <v>0</v>
      </c>
      <c r="L88" s="5">
        <f t="shared" si="4"/>
        <v>0</v>
      </c>
      <c r="M88" s="5">
        <v>861.4201560472011</v>
      </c>
      <c r="N88" s="5">
        <f t="shared" si="5"/>
        <v>0</v>
      </c>
      <c r="O88" s="5">
        <f t="shared" si="6"/>
        <v>861.420156</v>
      </c>
      <c r="P88" s="5">
        <f t="shared" si="9"/>
        <v>16917.29801</v>
      </c>
      <c r="Q88" s="5">
        <f t="shared" si="7"/>
        <v>16090.85864</v>
      </c>
      <c r="R88" s="5">
        <f t="shared" si="8"/>
        <v>826.4393739</v>
      </c>
    </row>
    <row r="89" ht="15.75" customHeight="1">
      <c r="A89" s="4">
        <v>2020.0</v>
      </c>
      <c r="B89" s="4">
        <v>104.0</v>
      </c>
      <c r="C89" s="4" t="s">
        <v>18</v>
      </c>
      <c r="D89" s="5">
        <v>1267.4994273567659</v>
      </c>
      <c r="E89" s="5">
        <f t="shared" si="1"/>
        <v>0</v>
      </c>
      <c r="F89" s="5">
        <f t="shared" si="2"/>
        <v>1267.499427</v>
      </c>
      <c r="G89" s="5" t="s">
        <v>19</v>
      </c>
      <c r="H89" s="5" t="s">
        <v>19</v>
      </c>
      <c r="I89" s="5" t="s">
        <v>19</v>
      </c>
      <c r="J89" s="5">
        <v>4395.532081490213</v>
      </c>
      <c r="K89" s="5">
        <f t="shared" si="3"/>
        <v>4395.532081</v>
      </c>
      <c r="L89" s="5">
        <f t="shared" si="4"/>
        <v>0</v>
      </c>
      <c r="M89" s="5">
        <v>0.0</v>
      </c>
      <c r="N89" s="5">
        <f t="shared" si="5"/>
        <v>0</v>
      </c>
      <c r="O89" s="5">
        <f t="shared" si="6"/>
        <v>0</v>
      </c>
      <c r="P89" s="5">
        <f t="shared" si="9"/>
        <v>5663.031509</v>
      </c>
      <c r="Q89" s="5">
        <f t="shared" si="7"/>
        <v>1267.499427</v>
      </c>
      <c r="R89" s="5">
        <f t="shared" si="8"/>
        <v>4395.532081</v>
      </c>
    </row>
    <row r="90" ht="15.75" customHeight="1">
      <c r="A90" s="4">
        <v>2020.0</v>
      </c>
      <c r="B90" s="4">
        <v>105.0</v>
      </c>
      <c r="C90" s="4" t="s">
        <v>18</v>
      </c>
      <c r="D90" s="5">
        <v>14945.390466496034</v>
      </c>
      <c r="E90" s="5">
        <f t="shared" si="1"/>
        <v>0</v>
      </c>
      <c r="F90" s="5">
        <f t="shared" si="2"/>
        <v>14945.39047</v>
      </c>
      <c r="G90" s="5">
        <v>3227.957019150796</v>
      </c>
      <c r="H90" s="5">
        <v>1651.9634480332688</v>
      </c>
      <c r="I90" s="5">
        <v>1575.9935711175272</v>
      </c>
      <c r="J90" s="5">
        <v>22438.761503821544</v>
      </c>
      <c r="K90" s="5">
        <f t="shared" si="3"/>
        <v>22438.7615</v>
      </c>
      <c r="L90" s="5">
        <f t="shared" si="4"/>
        <v>0</v>
      </c>
      <c r="M90" s="5">
        <v>15809.141361984468</v>
      </c>
      <c r="N90" s="5">
        <f t="shared" si="5"/>
        <v>0</v>
      </c>
      <c r="O90" s="5">
        <f t="shared" si="6"/>
        <v>15809.14136</v>
      </c>
      <c r="P90" s="5">
        <f t="shared" si="9"/>
        <v>56421.25035</v>
      </c>
      <c r="Q90" s="5">
        <f t="shared" si="7"/>
        <v>32330.5254</v>
      </c>
      <c r="R90" s="5">
        <f t="shared" si="8"/>
        <v>24090.72495</v>
      </c>
    </row>
    <row r="91" ht="15.75" customHeight="1">
      <c r="A91" s="4">
        <v>2020.0</v>
      </c>
      <c r="B91" s="4">
        <v>106.0</v>
      </c>
      <c r="C91" s="4" t="s">
        <v>18</v>
      </c>
      <c r="D91" s="5">
        <v>6436.368575490686</v>
      </c>
      <c r="E91" s="5">
        <f t="shared" si="1"/>
        <v>0</v>
      </c>
      <c r="F91" s="5">
        <f t="shared" si="2"/>
        <v>6436.368575</v>
      </c>
      <c r="G91" s="5">
        <v>2030.8212579132783</v>
      </c>
      <c r="H91" s="5">
        <v>969.3024054671151</v>
      </c>
      <c r="I91" s="5">
        <v>1061.5188524461632</v>
      </c>
      <c r="J91" s="5">
        <v>15795.87656316187</v>
      </c>
      <c r="K91" s="5">
        <f t="shared" si="3"/>
        <v>15795.87656</v>
      </c>
      <c r="L91" s="5">
        <f t="shared" si="4"/>
        <v>0</v>
      </c>
      <c r="M91" s="5">
        <v>20693.511064637234</v>
      </c>
      <c r="N91" s="5">
        <f t="shared" si="5"/>
        <v>0</v>
      </c>
      <c r="O91" s="5">
        <f t="shared" si="6"/>
        <v>20693.51106</v>
      </c>
      <c r="P91" s="5">
        <f t="shared" si="9"/>
        <v>44956.57746</v>
      </c>
      <c r="Q91" s="5">
        <f t="shared" si="7"/>
        <v>28191.39849</v>
      </c>
      <c r="R91" s="5">
        <f t="shared" si="8"/>
        <v>16765.17897</v>
      </c>
    </row>
    <row r="92" ht="15.75" customHeight="1">
      <c r="A92" s="4">
        <v>2020.0</v>
      </c>
      <c r="B92" s="4">
        <v>107.0</v>
      </c>
      <c r="C92" s="4" t="s">
        <v>18</v>
      </c>
      <c r="D92" s="5">
        <v>5111.329212493045</v>
      </c>
      <c r="E92" s="5">
        <f t="shared" si="1"/>
        <v>0</v>
      </c>
      <c r="F92" s="5">
        <f t="shared" si="2"/>
        <v>5111.329212</v>
      </c>
      <c r="G92" s="5" t="s">
        <v>19</v>
      </c>
      <c r="H92" s="5" t="s">
        <v>19</v>
      </c>
      <c r="I92" s="5" t="s">
        <v>19</v>
      </c>
      <c r="J92" s="5">
        <v>0.0</v>
      </c>
      <c r="K92" s="5">
        <f t="shared" si="3"/>
        <v>0</v>
      </c>
      <c r="L92" s="5">
        <f t="shared" si="4"/>
        <v>0</v>
      </c>
      <c r="M92" s="5">
        <v>6136.04414500834</v>
      </c>
      <c r="N92" s="5">
        <f t="shared" si="5"/>
        <v>0</v>
      </c>
      <c r="O92" s="5">
        <f t="shared" si="6"/>
        <v>6136.044145</v>
      </c>
      <c r="P92" s="5">
        <f t="shared" si="9"/>
        <v>11247.37336</v>
      </c>
      <c r="Q92" s="5">
        <f t="shared" si="7"/>
        <v>11247.37336</v>
      </c>
      <c r="R92" s="5">
        <f t="shared" si="8"/>
        <v>0</v>
      </c>
    </row>
    <row r="93" ht="15.75" customHeight="1">
      <c r="A93" s="4">
        <v>2020.0</v>
      </c>
      <c r="B93" s="4">
        <v>108.0</v>
      </c>
      <c r="C93" s="4" t="s">
        <v>18</v>
      </c>
      <c r="D93" s="5">
        <v>1613.144252016395</v>
      </c>
      <c r="E93" s="5">
        <f t="shared" si="1"/>
        <v>0</v>
      </c>
      <c r="F93" s="5">
        <f t="shared" si="2"/>
        <v>1613.144252</v>
      </c>
      <c r="G93" s="5" t="s">
        <v>19</v>
      </c>
      <c r="H93" s="5" t="s">
        <v>19</v>
      </c>
      <c r="I93" s="5" t="s">
        <v>19</v>
      </c>
      <c r="J93" s="5">
        <v>0.0</v>
      </c>
      <c r="K93" s="5">
        <f t="shared" si="3"/>
        <v>0</v>
      </c>
      <c r="L93" s="5">
        <f t="shared" si="4"/>
        <v>0</v>
      </c>
      <c r="M93" s="5">
        <v>23054.357358478133</v>
      </c>
      <c r="N93" s="5">
        <f t="shared" si="5"/>
        <v>0</v>
      </c>
      <c r="O93" s="5">
        <f t="shared" si="6"/>
        <v>23054.35736</v>
      </c>
      <c r="P93" s="5">
        <f t="shared" si="9"/>
        <v>24667.50161</v>
      </c>
      <c r="Q93" s="5">
        <f t="shared" si="7"/>
        <v>24667.50161</v>
      </c>
      <c r="R93" s="5">
        <f t="shared" si="8"/>
        <v>0</v>
      </c>
    </row>
    <row r="94" ht="15.75" customHeight="1">
      <c r="A94" s="4">
        <v>2020.0</v>
      </c>
      <c r="B94" s="4">
        <v>120.0</v>
      </c>
      <c r="C94" s="4" t="s">
        <v>18</v>
      </c>
      <c r="D94" s="5" t="s">
        <v>19</v>
      </c>
      <c r="E94" s="5" t="str">
        <f t="shared" si="1"/>
        <v/>
      </c>
      <c r="F94" s="5" t="str">
        <f t="shared" si="2"/>
        <v/>
      </c>
      <c r="G94" s="5" t="s">
        <v>19</v>
      </c>
      <c r="H94" s="5" t="s">
        <v>19</v>
      </c>
      <c r="I94" s="5" t="s">
        <v>19</v>
      </c>
      <c r="J94" s="5">
        <v>951.130306776945</v>
      </c>
      <c r="K94" s="5">
        <f t="shared" si="3"/>
        <v>951.1303068</v>
      </c>
      <c r="L94" s="5">
        <f t="shared" si="4"/>
        <v>0</v>
      </c>
      <c r="M94" s="5">
        <v>23500.438502483245</v>
      </c>
      <c r="N94" s="5">
        <f t="shared" si="5"/>
        <v>0</v>
      </c>
      <c r="O94" s="5">
        <f t="shared" si="6"/>
        <v>23500.4385</v>
      </c>
      <c r="P94" s="5">
        <f t="shared" si="9"/>
        <v>24451.56881</v>
      </c>
      <c r="Q94" s="5">
        <f t="shared" si="7"/>
        <v>23500.4385</v>
      </c>
      <c r="R94" s="5">
        <f t="shared" si="8"/>
        <v>951.1303068</v>
      </c>
    </row>
    <row r="95" ht="15.75" customHeight="1">
      <c r="A95" s="4">
        <v>2020.0</v>
      </c>
      <c r="B95" s="4">
        <v>121.0</v>
      </c>
      <c r="C95" s="4" t="s">
        <v>18</v>
      </c>
      <c r="D95" s="5">
        <v>26602.495174360305</v>
      </c>
      <c r="E95" s="5">
        <f t="shared" si="1"/>
        <v>0</v>
      </c>
      <c r="F95" s="5">
        <f t="shared" si="2"/>
        <v>26602.49517</v>
      </c>
      <c r="G95" s="5">
        <v>5912.454828437475</v>
      </c>
      <c r="H95" s="5">
        <v>2724.5421721187718</v>
      </c>
      <c r="I95" s="5">
        <v>3187.9126563187033</v>
      </c>
      <c r="J95" s="5">
        <v>47450.40606810054</v>
      </c>
      <c r="K95" s="5">
        <f t="shared" si="3"/>
        <v>47450.40607</v>
      </c>
      <c r="L95" s="5">
        <f t="shared" si="4"/>
        <v>0</v>
      </c>
      <c r="M95" s="5">
        <v>444184.7173909405</v>
      </c>
      <c r="N95" s="5">
        <f t="shared" si="5"/>
        <v>0</v>
      </c>
      <c r="O95" s="5">
        <f t="shared" si="6"/>
        <v>444184.7174</v>
      </c>
      <c r="P95" s="5">
        <f t="shared" si="9"/>
        <v>524150.0735</v>
      </c>
      <c r="Q95" s="5">
        <f t="shared" si="7"/>
        <v>473975.1252</v>
      </c>
      <c r="R95" s="5">
        <f t="shared" si="8"/>
        <v>50174.94824</v>
      </c>
    </row>
    <row r="96" ht="15.75" customHeight="1">
      <c r="A96" s="4">
        <v>2020.0</v>
      </c>
      <c r="B96" s="4">
        <v>122.0</v>
      </c>
      <c r="C96" s="4" t="s">
        <v>18</v>
      </c>
      <c r="D96" s="5">
        <v>29548.05362619592</v>
      </c>
      <c r="E96" s="5">
        <f t="shared" si="1"/>
        <v>0</v>
      </c>
      <c r="F96" s="5">
        <f t="shared" si="2"/>
        <v>29548.05363</v>
      </c>
      <c r="G96" s="5">
        <v>7163.478860800466</v>
      </c>
      <c r="H96" s="5">
        <v>2814.798352193468</v>
      </c>
      <c r="I96" s="5">
        <v>4348.680508606998</v>
      </c>
      <c r="J96" s="5">
        <v>18382.304857343126</v>
      </c>
      <c r="K96" s="5">
        <f t="shared" si="3"/>
        <v>18382.30486</v>
      </c>
      <c r="L96" s="5">
        <f t="shared" si="4"/>
        <v>0</v>
      </c>
      <c r="M96" s="5">
        <v>100445.80656389723</v>
      </c>
      <c r="N96" s="5">
        <f t="shared" si="5"/>
        <v>0</v>
      </c>
      <c r="O96" s="5">
        <f t="shared" si="6"/>
        <v>100445.8066</v>
      </c>
      <c r="P96" s="5">
        <f t="shared" si="9"/>
        <v>155539.6439</v>
      </c>
      <c r="Q96" s="5">
        <f t="shared" si="7"/>
        <v>134342.5407</v>
      </c>
      <c r="R96" s="5">
        <f t="shared" si="8"/>
        <v>21197.10321</v>
      </c>
    </row>
    <row r="97" ht="15.75" customHeight="1">
      <c r="A97" s="4">
        <v>2020.0</v>
      </c>
      <c r="B97" s="4">
        <v>123.0</v>
      </c>
      <c r="C97" s="4" t="s">
        <v>18</v>
      </c>
      <c r="D97" s="5" t="s">
        <v>19</v>
      </c>
      <c r="E97" s="5" t="str">
        <f t="shared" si="1"/>
        <v/>
      </c>
      <c r="F97" s="5" t="str">
        <f t="shared" si="2"/>
        <v/>
      </c>
      <c r="G97" s="5" t="s">
        <v>19</v>
      </c>
      <c r="H97" s="5" t="s">
        <v>19</v>
      </c>
      <c r="I97" s="5" t="s">
        <v>19</v>
      </c>
      <c r="J97" s="5">
        <v>0.0</v>
      </c>
      <c r="K97" s="5">
        <f t="shared" si="3"/>
        <v>0</v>
      </c>
      <c r="L97" s="5">
        <f t="shared" si="4"/>
        <v>0</v>
      </c>
      <c r="M97" s="5">
        <v>1606.4898820954622</v>
      </c>
      <c r="N97" s="5">
        <f t="shared" si="5"/>
        <v>0</v>
      </c>
      <c r="O97" s="5">
        <f t="shared" si="6"/>
        <v>1606.489882</v>
      </c>
      <c r="P97" s="5">
        <f t="shared" si="9"/>
        <v>1606.489882</v>
      </c>
      <c r="Q97" s="5">
        <f t="shared" si="7"/>
        <v>1606.489882</v>
      </c>
      <c r="R97" s="5">
        <f t="shared" si="8"/>
        <v>0</v>
      </c>
    </row>
    <row r="98" ht="15.75" customHeight="1">
      <c r="A98" s="4">
        <v>2020.0</v>
      </c>
      <c r="B98" s="4">
        <v>124.0</v>
      </c>
      <c r="C98" s="4" t="s">
        <v>18</v>
      </c>
      <c r="D98" s="5" t="s">
        <v>19</v>
      </c>
      <c r="E98" s="5" t="str">
        <f t="shared" si="1"/>
        <v/>
      </c>
      <c r="F98" s="5" t="str">
        <f t="shared" si="2"/>
        <v/>
      </c>
      <c r="G98" s="5" t="s">
        <v>19</v>
      </c>
      <c r="H98" s="5" t="s">
        <v>19</v>
      </c>
      <c r="I98" s="5" t="s">
        <v>19</v>
      </c>
      <c r="J98" s="5">
        <v>0.0</v>
      </c>
      <c r="K98" s="5">
        <f t="shared" si="3"/>
        <v>0</v>
      </c>
      <c r="L98" s="5">
        <f t="shared" si="4"/>
        <v>0</v>
      </c>
      <c r="M98" s="5">
        <v>31774.555228114317</v>
      </c>
      <c r="N98" s="5">
        <f t="shared" si="5"/>
        <v>0</v>
      </c>
      <c r="O98" s="5">
        <f t="shared" si="6"/>
        <v>31774.55523</v>
      </c>
      <c r="P98" s="5">
        <f t="shared" si="9"/>
        <v>31774.55523</v>
      </c>
      <c r="Q98" s="5">
        <f t="shared" si="7"/>
        <v>31774.55523</v>
      </c>
      <c r="R98" s="5">
        <f t="shared" si="8"/>
        <v>0</v>
      </c>
    </row>
    <row r="99" ht="15.75" customHeight="1">
      <c r="A99" s="4">
        <v>2020.0</v>
      </c>
      <c r="B99" s="4">
        <v>125.0</v>
      </c>
      <c r="C99" s="4" t="s">
        <v>18</v>
      </c>
      <c r="D99" s="5">
        <v>9778.304245945348</v>
      </c>
      <c r="E99" s="5">
        <f t="shared" si="1"/>
        <v>0</v>
      </c>
      <c r="F99" s="5">
        <f t="shared" si="2"/>
        <v>9778.304246</v>
      </c>
      <c r="G99" s="5" t="s">
        <v>19</v>
      </c>
      <c r="H99" s="5" t="s">
        <v>19</v>
      </c>
      <c r="I99" s="5" t="s">
        <v>19</v>
      </c>
      <c r="J99" s="5">
        <v>1091.6213524024581</v>
      </c>
      <c r="K99" s="5">
        <f t="shared" si="3"/>
        <v>1091.621352</v>
      </c>
      <c r="L99" s="5">
        <f t="shared" si="4"/>
        <v>0</v>
      </c>
      <c r="M99" s="5">
        <v>160556.47360616998</v>
      </c>
      <c r="N99" s="5">
        <f t="shared" si="5"/>
        <v>0</v>
      </c>
      <c r="O99" s="5">
        <f t="shared" si="6"/>
        <v>160556.4736</v>
      </c>
      <c r="P99" s="5">
        <f t="shared" si="9"/>
        <v>171426.3992</v>
      </c>
      <c r="Q99" s="5">
        <f t="shared" si="7"/>
        <v>170334.7779</v>
      </c>
      <c r="R99" s="5">
        <f t="shared" si="8"/>
        <v>1091.621352</v>
      </c>
    </row>
    <row r="100" ht="15.75" customHeight="1">
      <c r="A100" s="4">
        <v>2020.0</v>
      </c>
      <c r="B100" s="4">
        <v>126.0</v>
      </c>
      <c r="C100" s="4" t="s">
        <v>18</v>
      </c>
      <c r="D100" s="5">
        <v>3022.4674644034894</v>
      </c>
      <c r="E100" s="5">
        <f t="shared" si="1"/>
        <v>0</v>
      </c>
      <c r="F100" s="5">
        <f t="shared" si="2"/>
        <v>3022.467464</v>
      </c>
      <c r="G100" s="5">
        <v>3556.7021692580724</v>
      </c>
      <c r="H100" s="5">
        <v>1743.1120453367948</v>
      </c>
      <c r="I100" s="5">
        <v>1813.5901239212776</v>
      </c>
      <c r="J100" s="5">
        <v>0.0</v>
      </c>
      <c r="K100" s="5">
        <f t="shared" si="3"/>
        <v>0</v>
      </c>
      <c r="L100" s="5">
        <f t="shared" si="4"/>
        <v>0</v>
      </c>
      <c r="M100" s="5">
        <v>130330.43585782783</v>
      </c>
      <c r="N100" s="5">
        <f t="shared" si="5"/>
        <v>0</v>
      </c>
      <c r="O100" s="5">
        <f t="shared" si="6"/>
        <v>130330.4359</v>
      </c>
      <c r="P100" s="5">
        <f t="shared" si="9"/>
        <v>136909.6055</v>
      </c>
      <c r="Q100" s="5">
        <f t="shared" si="7"/>
        <v>135166.4934</v>
      </c>
      <c r="R100" s="5">
        <f t="shared" si="8"/>
        <v>1743.112045</v>
      </c>
    </row>
    <row r="101" ht="15.75" customHeight="1">
      <c r="A101" s="4">
        <v>2020.0</v>
      </c>
      <c r="B101" s="4">
        <v>127.0</v>
      </c>
      <c r="C101" s="4" t="s">
        <v>18</v>
      </c>
      <c r="D101" s="5" t="s">
        <v>19</v>
      </c>
      <c r="E101" s="5" t="str">
        <f t="shared" si="1"/>
        <v/>
      </c>
      <c r="F101" s="5" t="str">
        <f t="shared" si="2"/>
        <v/>
      </c>
      <c r="G101" s="5" t="s">
        <v>19</v>
      </c>
      <c r="H101" s="5" t="s">
        <v>19</v>
      </c>
      <c r="I101" s="5" t="s">
        <v>19</v>
      </c>
      <c r="J101" s="5">
        <v>0.0</v>
      </c>
      <c r="K101" s="5">
        <f t="shared" si="3"/>
        <v>0</v>
      </c>
      <c r="L101" s="5">
        <f t="shared" si="4"/>
        <v>0</v>
      </c>
      <c r="M101" s="5">
        <v>12328.342121768466</v>
      </c>
      <c r="N101" s="5">
        <f t="shared" si="5"/>
        <v>0</v>
      </c>
      <c r="O101" s="5">
        <f t="shared" si="6"/>
        <v>12328.34212</v>
      </c>
      <c r="P101" s="5">
        <f t="shared" si="9"/>
        <v>12328.34212</v>
      </c>
      <c r="Q101" s="5">
        <f t="shared" si="7"/>
        <v>12328.34212</v>
      </c>
      <c r="R101" s="5">
        <f t="shared" si="8"/>
        <v>0</v>
      </c>
    </row>
    <row r="102" ht="15.75" customHeight="1">
      <c r="A102" s="4">
        <v>2020.0</v>
      </c>
      <c r="B102" s="4">
        <v>128.0</v>
      </c>
      <c r="C102" s="4" t="s">
        <v>18</v>
      </c>
      <c r="D102" s="5">
        <v>10549.258341370216</v>
      </c>
      <c r="E102" s="5">
        <f t="shared" si="1"/>
        <v>0</v>
      </c>
      <c r="F102" s="5">
        <f t="shared" si="2"/>
        <v>10549.25834</v>
      </c>
      <c r="G102" s="5">
        <v>4197.411974571557</v>
      </c>
      <c r="H102" s="5">
        <v>2664.818865266337</v>
      </c>
      <c r="I102" s="5">
        <v>1532.59310930522</v>
      </c>
      <c r="J102" s="5">
        <v>74.39504736709665</v>
      </c>
      <c r="K102" s="5">
        <f t="shared" si="3"/>
        <v>74.39504737</v>
      </c>
      <c r="L102" s="5">
        <f t="shared" si="4"/>
        <v>0</v>
      </c>
      <c r="M102" s="5">
        <v>86668.58135810067</v>
      </c>
      <c r="N102" s="5">
        <f t="shared" si="5"/>
        <v>0</v>
      </c>
      <c r="O102" s="5">
        <f t="shared" si="6"/>
        <v>86668.58136</v>
      </c>
      <c r="P102" s="5">
        <f t="shared" si="9"/>
        <v>101489.6467</v>
      </c>
      <c r="Q102" s="5">
        <f t="shared" si="7"/>
        <v>98750.43281</v>
      </c>
      <c r="R102" s="5">
        <f t="shared" si="8"/>
        <v>2739.213913</v>
      </c>
    </row>
    <row r="103" ht="15.75" customHeight="1">
      <c r="A103" s="4">
        <v>2020.0</v>
      </c>
      <c r="B103" s="4">
        <v>300.0</v>
      </c>
      <c r="C103" s="4" t="s">
        <v>20</v>
      </c>
      <c r="D103" s="5">
        <v>4232.547172115458</v>
      </c>
      <c r="E103" s="5">
        <f t="shared" si="1"/>
        <v>0</v>
      </c>
      <c r="F103" s="5">
        <f t="shared" si="2"/>
        <v>4232.547172</v>
      </c>
      <c r="G103" s="5">
        <v>5905.753304828424</v>
      </c>
      <c r="H103" s="5">
        <v>3124.8894203738773</v>
      </c>
      <c r="I103" s="5">
        <v>2780.8638844545467</v>
      </c>
      <c r="J103" s="5">
        <v>131871.0363888168</v>
      </c>
      <c r="K103" s="5">
        <f t="shared" si="3"/>
        <v>131871.0364</v>
      </c>
      <c r="L103" s="5">
        <f t="shared" si="4"/>
        <v>0</v>
      </c>
      <c r="M103" s="5">
        <v>398.7087871361216</v>
      </c>
      <c r="N103" s="5">
        <f t="shared" si="5"/>
        <v>0</v>
      </c>
      <c r="O103" s="5">
        <f t="shared" si="6"/>
        <v>398.7087871</v>
      </c>
      <c r="P103" s="5">
        <f t="shared" si="9"/>
        <v>142408.0457</v>
      </c>
      <c r="Q103" s="5">
        <f t="shared" si="7"/>
        <v>7412.119844</v>
      </c>
      <c r="R103" s="5">
        <f t="shared" si="8"/>
        <v>134995.9258</v>
      </c>
    </row>
    <row r="104" ht="15.75" customHeight="1">
      <c r="A104" s="4">
        <v>2020.0</v>
      </c>
      <c r="B104" s="4">
        <v>301.0</v>
      </c>
      <c r="C104" s="4" t="s">
        <v>20</v>
      </c>
      <c r="D104" s="5" t="s">
        <v>19</v>
      </c>
      <c r="E104" s="5" t="str">
        <f t="shared" si="1"/>
        <v/>
      </c>
      <c r="F104" s="5" t="str">
        <f t="shared" si="2"/>
        <v/>
      </c>
      <c r="G104" s="5" t="s">
        <v>19</v>
      </c>
      <c r="H104" s="5" t="s">
        <v>19</v>
      </c>
      <c r="I104" s="5" t="s">
        <v>19</v>
      </c>
      <c r="J104" s="5">
        <v>2525.0333631764365</v>
      </c>
      <c r="K104" s="5">
        <f t="shared" si="3"/>
        <v>2525.033363</v>
      </c>
      <c r="L104" s="5">
        <f t="shared" si="4"/>
        <v>0</v>
      </c>
      <c r="M104" s="5">
        <v>0.0</v>
      </c>
      <c r="N104" s="5">
        <f t="shared" si="5"/>
        <v>0</v>
      </c>
      <c r="O104" s="5">
        <f t="shared" si="6"/>
        <v>0</v>
      </c>
      <c r="P104" s="5">
        <f t="shared" si="9"/>
        <v>2525.033363</v>
      </c>
      <c r="Q104" s="5">
        <f t="shared" si="7"/>
        <v>0</v>
      </c>
      <c r="R104" s="5">
        <f t="shared" si="8"/>
        <v>2525.033363</v>
      </c>
    </row>
    <row r="105" ht="15.75" customHeight="1">
      <c r="A105" s="4">
        <v>2020.0</v>
      </c>
      <c r="B105" s="4">
        <v>302.0</v>
      </c>
      <c r="C105" s="4" t="s">
        <v>20</v>
      </c>
      <c r="D105" s="5">
        <v>3724.996273011414</v>
      </c>
      <c r="E105" s="5">
        <f t="shared" si="1"/>
        <v>0</v>
      </c>
      <c r="F105" s="5">
        <f t="shared" si="2"/>
        <v>3724.996273</v>
      </c>
      <c r="G105" s="5" t="s">
        <v>19</v>
      </c>
      <c r="H105" s="5" t="s">
        <v>19</v>
      </c>
      <c r="I105" s="5" t="s">
        <v>19</v>
      </c>
      <c r="J105" s="5">
        <v>13897.91222058512</v>
      </c>
      <c r="K105" s="5">
        <f t="shared" si="3"/>
        <v>13897.91222</v>
      </c>
      <c r="L105" s="5">
        <f t="shared" si="4"/>
        <v>0</v>
      </c>
      <c r="M105" s="5">
        <v>342.45702807392786</v>
      </c>
      <c r="N105" s="5">
        <f t="shared" si="5"/>
        <v>0</v>
      </c>
      <c r="O105" s="5">
        <f t="shared" si="6"/>
        <v>342.4570281</v>
      </c>
      <c r="P105" s="5">
        <f t="shared" si="9"/>
        <v>17965.36552</v>
      </c>
      <c r="Q105" s="5">
        <f t="shared" si="7"/>
        <v>4067.453301</v>
      </c>
      <c r="R105" s="5">
        <f t="shared" si="8"/>
        <v>13897.91222</v>
      </c>
    </row>
    <row r="106" ht="15.75" customHeight="1">
      <c r="A106" s="4">
        <v>2020.0</v>
      </c>
      <c r="B106" s="4">
        <v>303.0</v>
      </c>
      <c r="C106" s="4" t="s">
        <v>20</v>
      </c>
      <c r="D106" s="5">
        <v>2634.5076454685704</v>
      </c>
      <c r="E106" s="5">
        <f t="shared" si="1"/>
        <v>0</v>
      </c>
      <c r="F106" s="5">
        <f t="shared" si="2"/>
        <v>2634.507645</v>
      </c>
      <c r="G106" s="5" t="s">
        <v>19</v>
      </c>
      <c r="H106" s="5" t="s">
        <v>19</v>
      </c>
      <c r="I106" s="5" t="s">
        <v>19</v>
      </c>
      <c r="J106" s="5">
        <v>835.8328030884962</v>
      </c>
      <c r="K106" s="5">
        <f t="shared" si="3"/>
        <v>835.8328031</v>
      </c>
      <c r="L106" s="5">
        <f t="shared" si="4"/>
        <v>0</v>
      </c>
      <c r="M106" s="5">
        <v>483.7191142260215</v>
      </c>
      <c r="N106" s="5">
        <f t="shared" si="5"/>
        <v>0</v>
      </c>
      <c r="O106" s="5">
        <f t="shared" si="6"/>
        <v>483.7191142</v>
      </c>
      <c r="P106" s="5">
        <f t="shared" si="9"/>
        <v>3954.059563</v>
      </c>
      <c r="Q106" s="5">
        <f t="shared" si="7"/>
        <v>3118.22676</v>
      </c>
      <c r="R106" s="5">
        <f t="shared" si="8"/>
        <v>835.8328031</v>
      </c>
    </row>
    <row r="107" ht="15.75" customHeight="1">
      <c r="A107" s="4">
        <v>2020.0</v>
      </c>
      <c r="B107" s="4">
        <v>304.0</v>
      </c>
      <c r="C107" s="4" t="s">
        <v>20</v>
      </c>
      <c r="D107" s="5">
        <v>3426.8756297330647</v>
      </c>
      <c r="E107" s="5">
        <f t="shared" si="1"/>
        <v>0</v>
      </c>
      <c r="F107" s="5">
        <f t="shared" si="2"/>
        <v>3426.87563</v>
      </c>
      <c r="G107" s="5" t="s">
        <v>19</v>
      </c>
      <c r="H107" s="5" t="s">
        <v>19</v>
      </c>
      <c r="I107" s="5" t="s">
        <v>19</v>
      </c>
      <c r="J107" s="5">
        <v>0.0</v>
      </c>
      <c r="K107" s="5">
        <f t="shared" si="3"/>
        <v>0</v>
      </c>
      <c r="L107" s="5">
        <f t="shared" si="4"/>
        <v>0</v>
      </c>
      <c r="M107" s="5">
        <v>265.4415828957301</v>
      </c>
      <c r="N107" s="5">
        <f t="shared" si="5"/>
        <v>0</v>
      </c>
      <c r="O107" s="5">
        <f t="shared" si="6"/>
        <v>265.4415829</v>
      </c>
      <c r="P107" s="5">
        <f t="shared" si="9"/>
        <v>3692.317213</v>
      </c>
      <c r="Q107" s="5">
        <f t="shared" si="7"/>
        <v>3692.317213</v>
      </c>
      <c r="R107" s="5">
        <f t="shared" si="8"/>
        <v>0</v>
      </c>
    </row>
    <row r="108" ht="15.75" customHeight="1">
      <c r="A108" s="4">
        <v>2020.0</v>
      </c>
      <c r="B108" s="4">
        <v>305.0</v>
      </c>
      <c r="C108" s="4" t="s">
        <v>20</v>
      </c>
      <c r="D108" s="5">
        <v>11518.865639475664</v>
      </c>
      <c r="E108" s="5">
        <f t="shared" si="1"/>
        <v>0</v>
      </c>
      <c r="F108" s="5">
        <f t="shared" si="2"/>
        <v>11518.86564</v>
      </c>
      <c r="G108" s="5">
        <v>3566.8137854110937</v>
      </c>
      <c r="H108" s="5">
        <v>1885.4998092039045</v>
      </c>
      <c r="I108" s="5">
        <v>1681.3139762071892</v>
      </c>
      <c r="J108" s="5">
        <v>4318.566899034515</v>
      </c>
      <c r="K108" s="5">
        <f t="shared" si="3"/>
        <v>4318.566899</v>
      </c>
      <c r="L108" s="5">
        <f t="shared" si="4"/>
        <v>0</v>
      </c>
      <c r="M108" s="5">
        <v>1984.3987110477965</v>
      </c>
      <c r="N108" s="5">
        <f t="shared" si="5"/>
        <v>0</v>
      </c>
      <c r="O108" s="5">
        <f t="shared" si="6"/>
        <v>1984.398711</v>
      </c>
      <c r="P108" s="5">
        <f t="shared" si="9"/>
        <v>21388.64503</v>
      </c>
      <c r="Q108" s="5">
        <f t="shared" si="7"/>
        <v>15184.57833</v>
      </c>
      <c r="R108" s="5">
        <f t="shared" si="8"/>
        <v>6204.066708</v>
      </c>
    </row>
    <row r="109" ht="15.75" customHeight="1">
      <c r="A109" s="4">
        <v>2020.0</v>
      </c>
      <c r="B109" s="4">
        <v>306.0</v>
      </c>
      <c r="C109" s="4" t="s">
        <v>20</v>
      </c>
      <c r="D109" s="5" t="s">
        <v>19</v>
      </c>
      <c r="E109" s="5" t="str">
        <f t="shared" si="1"/>
        <v/>
      </c>
      <c r="F109" s="5" t="str">
        <f t="shared" si="2"/>
        <v/>
      </c>
      <c r="G109" s="5" t="s">
        <v>19</v>
      </c>
      <c r="H109" s="5" t="s">
        <v>19</v>
      </c>
      <c r="I109" s="5" t="s">
        <v>19</v>
      </c>
      <c r="J109" s="5">
        <v>0.0</v>
      </c>
      <c r="K109" s="5">
        <f t="shared" si="3"/>
        <v>0</v>
      </c>
      <c r="L109" s="5">
        <f t="shared" si="4"/>
        <v>0</v>
      </c>
      <c r="M109" s="5">
        <v>678.7022054538711</v>
      </c>
      <c r="N109" s="5">
        <f t="shared" si="5"/>
        <v>0</v>
      </c>
      <c r="O109" s="5">
        <f t="shared" si="6"/>
        <v>678.7022055</v>
      </c>
      <c r="P109" s="5">
        <f t="shared" si="9"/>
        <v>678.7022055</v>
      </c>
      <c r="Q109" s="5">
        <f t="shared" si="7"/>
        <v>678.7022055</v>
      </c>
      <c r="R109" s="5">
        <f t="shared" si="8"/>
        <v>0</v>
      </c>
    </row>
    <row r="110" ht="15.75" customHeight="1">
      <c r="A110" s="4">
        <v>2020.0</v>
      </c>
      <c r="B110" s="4">
        <v>307.0</v>
      </c>
      <c r="C110" s="4" t="s">
        <v>20</v>
      </c>
      <c r="D110" s="5" t="s">
        <v>19</v>
      </c>
      <c r="E110" s="5" t="str">
        <f t="shared" si="1"/>
        <v/>
      </c>
      <c r="F110" s="5" t="str">
        <f t="shared" si="2"/>
        <v/>
      </c>
      <c r="G110" s="5" t="s">
        <v>19</v>
      </c>
      <c r="H110" s="5" t="s">
        <v>19</v>
      </c>
      <c r="I110" s="5" t="s">
        <v>19</v>
      </c>
      <c r="J110" s="5">
        <v>0.0</v>
      </c>
      <c r="K110" s="5">
        <f t="shared" si="3"/>
        <v>0</v>
      </c>
      <c r="L110" s="5">
        <f t="shared" si="4"/>
        <v>0</v>
      </c>
      <c r="M110" s="5">
        <v>0.0</v>
      </c>
      <c r="N110" s="5">
        <f t="shared" si="5"/>
        <v>0</v>
      </c>
      <c r="O110" s="5">
        <f t="shared" si="6"/>
        <v>0</v>
      </c>
      <c r="P110" s="5">
        <f t="shared" si="9"/>
        <v>0</v>
      </c>
      <c r="Q110" s="5">
        <f t="shared" si="7"/>
        <v>0</v>
      </c>
      <c r="R110" s="5">
        <f t="shared" si="8"/>
        <v>0</v>
      </c>
    </row>
    <row r="111" ht="15.75" customHeight="1">
      <c r="A111" s="4">
        <v>2020.0</v>
      </c>
      <c r="B111" s="4">
        <v>308.0</v>
      </c>
      <c r="C111" s="4" t="s">
        <v>20</v>
      </c>
      <c r="D111" s="5">
        <v>1631.90312912881</v>
      </c>
      <c r="E111" s="5">
        <f t="shared" si="1"/>
        <v>0</v>
      </c>
      <c r="F111" s="5">
        <f t="shared" si="2"/>
        <v>1631.903129</v>
      </c>
      <c r="G111" s="5">
        <v>5411.108525613858</v>
      </c>
      <c r="H111" s="5">
        <v>2087.0367449076894</v>
      </c>
      <c r="I111" s="5">
        <v>3324.0717807061683</v>
      </c>
      <c r="J111" s="5">
        <v>2991.17088797579</v>
      </c>
      <c r="K111" s="5">
        <f t="shared" si="3"/>
        <v>2991.170888</v>
      </c>
      <c r="L111" s="5">
        <f t="shared" si="4"/>
        <v>0</v>
      </c>
      <c r="M111" s="5">
        <v>7070.351466747672</v>
      </c>
      <c r="N111" s="5">
        <f t="shared" si="5"/>
        <v>0</v>
      </c>
      <c r="O111" s="5">
        <f t="shared" si="6"/>
        <v>7070.351467</v>
      </c>
      <c r="P111" s="5">
        <f t="shared" si="9"/>
        <v>17104.53401</v>
      </c>
      <c r="Q111" s="5">
        <f t="shared" si="7"/>
        <v>12026.32638</v>
      </c>
      <c r="R111" s="5">
        <f t="shared" si="8"/>
        <v>5078.207633</v>
      </c>
    </row>
    <row r="112" ht="15.75" customHeight="1">
      <c r="A112" s="4">
        <v>2020.0</v>
      </c>
      <c r="B112" s="4">
        <v>309.0</v>
      </c>
      <c r="C112" s="4" t="s">
        <v>20</v>
      </c>
      <c r="D112" s="5" t="s">
        <v>19</v>
      </c>
      <c r="E112" s="5" t="str">
        <f t="shared" si="1"/>
        <v/>
      </c>
      <c r="F112" s="5" t="str">
        <f t="shared" si="2"/>
        <v/>
      </c>
      <c r="G112" s="5" t="s">
        <v>19</v>
      </c>
      <c r="H112" s="5" t="s">
        <v>19</v>
      </c>
      <c r="I112" s="5" t="s">
        <v>19</v>
      </c>
      <c r="J112" s="5">
        <v>0.0</v>
      </c>
      <c r="K112" s="5">
        <f t="shared" si="3"/>
        <v>0</v>
      </c>
      <c r="L112" s="5">
        <f t="shared" si="4"/>
        <v>0</v>
      </c>
      <c r="M112" s="5">
        <v>0.0</v>
      </c>
      <c r="N112" s="5">
        <f t="shared" si="5"/>
        <v>0</v>
      </c>
      <c r="O112" s="5">
        <f t="shared" si="6"/>
        <v>0</v>
      </c>
      <c r="P112" s="5">
        <f t="shared" si="9"/>
        <v>0</v>
      </c>
      <c r="Q112" s="5">
        <f t="shared" si="7"/>
        <v>0</v>
      </c>
      <c r="R112" s="5">
        <f t="shared" si="8"/>
        <v>0</v>
      </c>
    </row>
    <row r="113" ht="15.75" customHeight="1">
      <c r="A113" s="4">
        <v>2020.0</v>
      </c>
      <c r="B113" s="4">
        <v>310.0</v>
      </c>
      <c r="C113" s="4" t="s">
        <v>20</v>
      </c>
      <c r="D113" s="5">
        <v>5946.287340575578</v>
      </c>
      <c r="E113" s="5">
        <f t="shared" si="1"/>
        <v>0</v>
      </c>
      <c r="F113" s="5">
        <f t="shared" si="2"/>
        <v>5946.287341</v>
      </c>
      <c r="G113" s="5" t="s">
        <v>19</v>
      </c>
      <c r="H113" s="5" t="s">
        <v>19</v>
      </c>
      <c r="I113" s="5" t="s">
        <v>19</v>
      </c>
      <c r="J113" s="5">
        <v>0.0</v>
      </c>
      <c r="K113" s="5">
        <f t="shared" si="3"/>
        <v>0</v>
      </c>
      <c r="L113" s="5">
        <f t="shared" si="4"/>
        <v>0</v>
      </c>
      <c r="M113" s="5">
        <v>0.0</v>
      </c>
      <c r="N113" s="5">
        <f t="shared" si="5"/>
        <v>0</v>
      </c>
      <c r="O113" s="5">
        <f t="shared" si="6"/>
        <v>0</v>
      </c>
      <c r="P113" s="5">
        <f t="shared" si="9"/>
        <v>5946.287341</v>
      </c>
      <c r="Q113" s="5">
        <f t="shared" si="7"/>
        <v>5946.287341</v>
      </c>
      <c r="R113" s="5">
        <f t="shared" si="8"/>
        <v>0</v>
      </c>
    </row>
    <row r="114" ht="15.75" customHeight="1">
      <c r="A114" s="4">
        <v>2020.0</v>
      </c>
      <c r="B114" s="4">
        <v>311.0</v>
      </c>
      <c r="C114" s="4" t="s">
        <v>20</v>
      </c>
      <c r="D114" s="5">
        <v>1271.497645571212</v>
      </c>
      <c r="E114" s="5">
        <f t="shared" si="1"/>
        <v>0</v>
      </c>
      <c r="F114" s="5">
        <f t="shared" si="2"/>
        <v>1271.497646</v>
      </c>
      <c r="G114" s="5" t="s">
        <v>19</v>
      </c>
      <c r="H114" s="5" t="s">
        <v>19</v>
      </c>
      <c r="I114" s="5" t="s">
        <v>19</v>
      </c>
      <c r="J114" s="5">
        <v>0.0</v>
      </c>
      <c r="K114" s="5">
        <f t="shared" si="3"/>
        <v>0</v>
      </c>
      <c r="L114" s="5">
        <f t="shared" si="4"/>
        <v>0</v>
      </c>
      <c r="M114" s="5">
        <v>0.0</v>
      </c>
      <c r="N114" s="5">
        <f t="shared" si="5"/>
        <v>0</v>
      </c>
      <c r="O114" s="5">
        <f t="shared" si="6"/>
        <v>0</v>
      </c>
      <c r="P114" s="5">
        <f t="shared" si="9"/>
        <v>1271.497646</v>
      </c>
      <c r="Q114" s="5">
        <f t="shared" si="7"/>
        <v>1271.497646</v>
      </c>
      <c r="R114" s="5">
        <f t="shared" si="8"/>
        <v>0</v>
      </c>
    </row>
    <row r="115" ht="15.75" customHeight="1">
      <c r="A115" s="4">
        <v>2020.0</v>
      </c>
      <c r="B115" s="4">
        <v>312.0</v>
      </c>
      <c r="C115" s="4" t="s">
        <v>20</v>
      </c>
      <c r="D115" s="5">
        <v>1447.2658679773783</v>
      </c>
      <c r="E115" s="5">
        <f t="shared" si="1"/>
        <v>0</v>
      </c>
      <c r="F115" s="5">
        <f t="shared" si="2"/>
        <v>1447.265868</v>
      </c>
      <c r="G115" s="5" t="s">
        <v>19</v>
      </c>
      <c r="H115" s="5" t="s">
        <v>19</v>
      </c>
      <c r="I115" s="5" t="s">
        <v>19</v>
      </c>
      <c r="J115" s="5">
        <v>0.0</v>
      </c>
      <c r="K115" s="5">
        <f t="shared" si="3"/>
        <v>0</v>
      </c>
      <c r="L115" s="5">
        <f t="shared" si="4"/>
        <v>0</v>
      </c>
      <c r="M115" s="5">
        <v>247.32368503827502</v>
      </c>
      <c r="N115" s="5">
        <f t="shared" si="5"/>
        <v>0</v>
      </c>
      <c r="O115" s="5">
        <f t="shared" si="6"/>
        <v>247.323685</v>
      </c>
      <c r="P115" s="5">
        <f t="shared" si="9"/>
        <v>1694.589553</v>
      </c>
      <c r="Q115" s="5">
        <f t="shared" si="7"/>
        <v>1694.589553</v>
      </c>
      <c r="R115" s="5">
        <f t="shared" si="8"/>
        <v>0</v>
      </c>
    </row>
    <row r="116" ht="15.75" customHeight="1">
      <c r="A116" s="4">
        <v>2020.0</v>
      </c>
      <c r="B116" s="4">
        <v>313.0</v>
      </c>
      <c r="C116" s="4" t="s">
        <v>20</v>
      </c>
      <c r="D116" s="5">
        <v>6093.029617997242</v>
      </c>
      <c r="E116" s="5">
        <f t="shared" si="1"/>
        <v>0</v>
      </c>
      <c r="F116" s="5">
        <f t="shared" si="2"/>
        <v>6093.029618</v>
      </c>
      <c r="G116" s="5" t="s">
        <v>19</v>
      </c>
      <c r="H116" s="5" t="s">
        <v>19</v>
      </c>
      <c r="I116" s="5" t="s">
        <v>19</v>
      </c>
      <c r="J116" s="5">
        <v>0.0</v>
      </c>
      <c r="K116" s="5">
        <f t="shared" si="3"/>
        <v>0</v>
      </c>
      <c r="L116" s="5">
        <f t="shared" si="4"/>
        <v>0</v>
      </c>
      <c r="M116" s="5">
        <v>1446.5559717936317</v>
      </c>
      <c r="N116" s="5">
        <f t="shared" si="5"/>
        <v>0</v>
      </c>
      <c r="O116" s="5">
        <f t="shared" si="6"/>
        <v>1446.555972</v>
      </c>
      <c r="P116" s="5">
        <f t="shared" si="9"/>
        <v>7539.58559</v>
      </c>
      <c r="Q116" s="5">
        <f t="shared" si="7"/>
        <v>7539.58559</v>
      </c>
      <c r="R116" s="5">
        <f t="shared" si="8"/>
        <v>0</v>
      </c>
    </row>
    <row r="117" ht="15.75" customHeight="1">
      <c r="A117" s="4">
        <v>2020.0</v>
      </c>
      <c r="B117" s="4">
        <v>314.0</v>
      </c>
      <c r="C117" s="4" t="s">
        <v>20</v>
      </c>
      <c r="D117" s="5" t="s">
        <v>19</v>
      </c>
      <c r="E117" s="5" t="str">
        <f t="shared" si="1"/>
        <v/>
      </c>
      <c r="F117" s="5" t="str">
        <f t="shared" si="2"/>
        <v/>
      </c>
      <c r="G117" s="5" t="s">
        <v>19</v>
      </c>
      <c r="H117" s="5" t="s">
        <v>19</v>
      </c>
      <c r="I117" s="5" t="s">
        <v>19</v>
      </c>
      <c r="J117" s="5">
        <v>0.0</v>
      </c>
      <c r="K117" s="5">
        <f t="shared" si="3"/>
        <v>0</v>
      </c>
      <c r="L117" s="5">
        <f t="shared" si="4"/>
        <v>0</v>
      </c>
      <c r="M117" s="5">
        <v>0.0</v>
      </c>
      <c r="N117" s="5">
        <f t="shared" si="5"/>
        <v>0</v>
      </c>
      <c r="O117" s="5">
        <f t="shared" si="6"/>
        <v>0</v>
      </c>
      <c r="P117" s="5">
        <f t="shared" si="9"/>
        <v>0</v>
      </c>
      <c r="Q117" s="5">
        <f t="shared" si="7"/>
        <v>0</v>
      </c>
      <c r="R117" s="5">
        <f t="shared" si="8"/>
        <v>0</v>
      </c>
    </row>
    <row r="118" ht="15.75" customHeight="1">
      <c r="A118" s="4">
        <v>2020.0</v>
      </c>
      <c r="B118" s="4">
        <v>320.0</v>
      </c>
      <c r="C118" s="4" t="s">
        <v>20</v>
      </c>
      <c r="D118" s="5">
        <v>69784.41881462066</v>
      </c>
      <c r="E118" s="5">
        <f t="shared" si="1"/>
        <v>0</v>
      </c>
      <c r="F118" s="5">
        <f t="shared" si="2"/>
        <v>69784.41881</v>
      </c>
      <c r="G118" s="5">
        <v>30115.38690380566</v>
      </c>
      <c r="H118" s="5">
        <v>13508.86113058234</v>
      </c>
      <c r="I118" s="5">
        <v>16606.52577322332</v>
      </c>
      <c r="J118" s="5">
        <v>15814.774932283526</v>
      </c>
      <c r="K118" s="5">
        <f t="shared" si="3"/>
        <v>15814.77493</v>
      </c>
      <c r="L118" s="5">
        <f t="shared" si="4"/>
        <v>0</v>
      </c>
      <c r="M118" s="5">
        <v>18595.577672395237</v>
      </c>
      <c r="N118" s="5">
        <f t="shared" si="5"/>
        <v>0</v>
      </c>
      <c r="O118" s="5">
        <f t="shared" si="6"/>
        <v>18595.57767</v>
      </c>
      <c r="P118" s="5">
        <f t="shared" si="9"/>
        <v>134310.1583</v>
      </c>
      <c r="Q118" s="5">
        <f t="shared" si="7"/>
        <v>104986.5223</v>
      </c>
      <c r="R118" s="5">
        <f t="shared" si="8"/>
        <v>29323.63606</v>
      </c>
    </row>
    <row r="119" ht="15.75" customHeight="1">
      <c r="A119" s="4">
        <v>2020.0</v>
      </c>
      <c r="B119" s="4">
        <v>321.0</v>
      </c>
      <c r="C119" s="4" t="s">
        <v>20</v>
      </c>
      <c r="D119" s="5">
        <v>27390.41361225265</v>
      </c>
      <c r="E119" s="5">
        <f t="shared" si="1"/>
        <v>0</v>
      </c>
      <c r="F119" s="5">
        <f t="shared" si="2"/>
        <v>27390.41361</v>
      </c>
      <c r="G119" s="5">
        <v>2263.7034782500723</v>
      </c>
      <c r="H119" s="5">
        <v>873.6946237848647</v>
      </c>
      <c r="I119" s="5">
        <v>1390.0088544652076</v>
      </c>
      <c r="J119" s="5">
        <v>6558.072762694355</v>
      </c>
      <c r="K119" s="5">
        <f t="shared" si="3"/>
        <v>6558.072763</v>
      </c>
      <c r="L119" s="5">
        <f t="shared" si="4"/>
        <v>0</v>
      </c>
      <c r="M119" s="5">
        <v>465.8888020488437</v>
      </c>
      <c r="N119" s="5">
        <f t="shared" si="5"/>
        <v>0</v>
      </c>
      <c r="O119" s="5">
        <f t="shared" si="6"/>
        <v>465.888802</v>
      </c>
      <c r="P119" s="5">
        <f t="shared" si="9"/>
        <v>36678.07866</v>
      </c>
      <c r="Q119" s="5">
        <f t="shared" si="7"/>
        <v>29246.31127</v>
      </c>
      <c r="R119" s="5">
        <f t="shared" si="8"/>
        <v>7431.767386</v>
      </c>
    </row>
    <row r="120" ht="15.75" customHeight="1">
      <c r="A120" s="4">
        <v>2020.0</v>
      </c>
      <c r="B120" s="4">
        <v>322.0</v>
      </c>
      <c r="C120" s="4" t="s">
        <v>20</v>
      </c>
      <c r="D120" s="5">
        <v>24367.280814491547</v>
      </c>
      <c r="E120" s="5">
        <f t="shared" si="1"/>
        <v>0</v>
      </c>
      <c r="F120" s="5">
        <f t="shared" si="2"/>
        <v>24367.28081</v>
      </c>
      <c r="G120" s="5" t="s">
        <v>19</v>
      </c>
      <c r="H120" s="5" t="s">
        <v>19</v>
      </c>
      <c r="I120" s="5" t="s">
        <v>19</v>
      </c>
      <c r="J120" s="5">
        <v>0.0</v>
      </c>
      <c r="K120" s="5">
        <f t="shared" si="3"/>
        <v>0</v>
      </c>
      <c r="L120" s="5">
        <f t="shared" si="4"/>
        <v>0</v>
      </c>
      <c r="M120" s="5">
        <v>30931.427386753363</v>
      </c>
      <c r="N120" s="5">
        <f t="shared" si="5"/>
        <v>0</v>
      </c>
      <c r="O120" s="5">
        <f t="shared" si="6"/>
        <v>30931.42739</v>
      </c>
      <c r="P120" s="5">
        <f t="shared" si="9"/>
        <v>55298.7082</v>
      </c>
      <c r="Q120" s="5">
        <f t="shared" si="7"/>
        <v>55298.7082</v>
      </c>
      <c r="R120" s="5">
        <f t="shared" si="8"/>
        <v>0</v>
      </c>
    </row>
    <row r="121" ht="15.75" customHeight="1">
      <c r="A121" s="4">
        <v>2020.0</v>
      </c>
      <c r="B121" s="4">
        <v>323.0</v>
      </c>
      <c r="C121" s="4" t="s">
        <v>20</v>
      </c>
      <c r="D121" s="5">
        <v>6567.120052744149</v>
      </c>
      <c r="E121" s="5">
        <f t="shared" si="1"/>
        <v>0</v>
      </c>
      <c r="F121" s="5">
        <f t="shared" si="2"/>
        <v>6567.120053</v>
      </c>
      <c r="G121" s="5">
        <v>699.0145634121792</v>
      </c>
      <c r="H121" s="5">
        <v>340.6776240629884</v>
      </c>
      <c r="I121" s="5">
        <v>358.3369393491908</v>
      </c>
      <c r="J121" s="5">
        <v>943.3805204089741</v>
      </c>
      <c r="K121" s="5">
        <f t="shared" si="3"/>
        <v>943.3805204</v>
      </c>
      <c r="L121" s="5">
        <f t="shared" si="4"/>
        <v>0</v>
      </c>
      <c r="M121" s="5">
        <v>72557.98216817537</v>
      </c>
      <c r="N121" s="5">
        <f t="shared" si="5"/>
        <v>0</v>
      </c>
      <c r="O121" s="5">
        <f t="shared" si="6"/>
        <v>72557.98217</v>
      </c>
      <c r="P121" s="5">
        <f t="shared" si="9"/>
        <v>80767.4973</v>
      </c>
      <c r="Q121" s="5">
        <f t="shared" si="7"/>
        <v>79483.43916</v>
      </c>
      <c r="R121" s="5">
        <f t="shared" si="8"/>
        <v>1284.058144</v>
      </c>
    </row>
    <row r="122" ht="15.75" customHeight="1">
      <c r="A122" s="4">
        <v>2020.0</v>
      </c>
      <c r="B122" s="4">
        <v>324.0</v>
      </c>
      <c r="C122" s="4" t="s">
        <v>20</v>
      </c>
      <c r="D122" s="5">
        <v>2555.0894348859674</v>
      </c>
      <c r="E122" s="5">
        <f t="shared" si="1"/>
        <v>0</v>
      </c>
      <c r="F122" s="5">
        <f t="shared" si="2"/>
        <v>2555.089435</v>
      </c>
      <c r="G122" s="5" t="s">
        <v>19</v>
      </c>
      <c r="H122" s="5" t="s">
        <v>19</v>
      </c>
      <c r="I122" s="5" t="s">
        <v>19</v>
      </c>
      <c r="J122" s="5">
        <v>0.0</v>
      </c>
      <c r="K122" s="5">
        <f t="shared" si="3"/>
        <v>0</v>
      </c>
      <c r="L122" s="5">
        <f t="shared" si="4"/>
        <v>0</v>
      </c>
      <c r="M122" s="5">
        <v>24275.337340731196</v>
      </c>
      <c r="N122" s="5">
        <f t="shared" si="5"/>
        <v>0</v>
      </c>
      <c r="O122" s="5">
        <f t="shared" si="6"/>
        <v>24275.33734</v>
      </c>
      <c r="P122" s="5">
        <f t="shared" si="9"/>
        <v>26830.42678</v>
      </c>
      <c r="Q122" s="5">
        <f t="shared" si="7"/>
        <v>26830.42678</v>
      </c>
      <c r="R122" s="5">
        <f t="shared" si="8"/>
        <v>0</v>
      </c>
    </row>
    <row r="123" ht="15.75" customHeight="1">
      <c r="A123" s="4">
        <v>2020.0</v>
      </c>
      <c r="B123" s="4">
        <v>325.0</v>
      </c>
      <c r="C123" s="4" t="s">
        <v>20</v>
      </c>
      <c r="D123" s="5">
        <v>2221.291067564165</v>
      </c>
      <c r="E123" s="5">
        <f t="shared" si="1"/>
        <v>0</v>
      </c>
      <c r="F123" s="5">
        <f t="shared" si="2"/>
        <v>2221.291068</v>
      </c>
      <c r="G123" s="5" t="s">
        <v>19</v>
      </c>
      <c r="H123" s="5" t="s">
        <v>19</v>
      </c>
      <c r="I123" s="5" t="s">
        <v>19</v>
      </c>
      <c r="J123" s="5">
        <v>0.0</v>
      </c>
      <c r="K123" s="5">
        <f t="shared" si="3"/>
        <v>0</v>
      </c>
      <c r="L123" s="5">
        <f t="shared" si="4"/>
        <v>0</v>
      </c>
      <c r="M123" s="5">
        <v>8678.185488040683</v>
      </c>
      <c r="N123" s="5">
        <f t="shared" si="5"/>
        <v>0</v>
      </c>
      <c r="O123" s="5">
        <f t="shared" si="6"/>
        <v>8678.185488</v>
      </c>
      <c r="P123" s="5">
        <f t="shared" si="9"/>
        <v>10899.47656</v>
      </c>
      <c r="Q123" s="5">
        <f t="shared" si="7"/>
        <v>10899.47656</v>
      </c>
      <c r="R123" s="5">
        <f t="shared" si="8"/>
        <v>0</v>
      </c>
    </row>
    <row r="124" ht="15.75" customHeight="1">
      <c r="A124" s="4">
        <v>2020.0</v>
      </c>
      <c r="B124" s="4">
        <v>326.0</v>
      </c>
      <c r="C124" s="4" t="s">
        <v>20</v>
      </c>
      <c r="D124" s="5" t="s">
        <v>19</v>
      </c>
      <c r="E124" s="5" t="str">
        <f t="shared" si="1"/>
        <v/>
      </c>
      <c r="F124" s="5" t="str">
        <f t="shared" si="2"/>
        <v/>
      </c>
      <c r="G124" s="5" t="s">
        <v>19</v>
      </c>
      <c r="H124" s="5" t="s">
        <v>19</v>
      </c>
      <c r="I124" s="5" t="s">
        <v>19</v>
      </c>
      <c r="J124" s="5">
        <v>0.0</v>
      </c>
      <c r="K124" s="5">
        <f t="shared" si="3"/>
        <v>0</v>
      </c>
      <c r="L124" s="5">
        <f t="shared" si="4"/>
        <v>0</v>
      </c>
      <c r="M124" s="5">
        <v>23750.090854273156</v>
      </c>
      <c r="N124" s="5">
        <f t="shared" si="5"/>
        <v>0</v>
      </c>
      <c r="O124" s="5">
        <f t="shared" si="6"/>
        <v>23750.09085</v>
      </c>
      <c r="P124" s="5">
        <f t="shared" si="9"/>
        <v>23750.09085</v>
      </c>
      <c r="Q124" s="5">
        <f t="shared" si="7"/>
        <v>23750.09085</v>
      </c>
      <c r="R124" s="5">
        <f t="shared" si="8"/>
        <v>0</v>
      </c>
    </row>
    <row r="125" ht="15.75" customHeight="1">
      <c r="A125" s="4">
        <v>2020.0</v>
      </c>
      <c r="B125" s="4">
        <v>327.0</v>
      </c>
      <c r="C125" s="4" t="s">
        <v>20</v>
      </c>
      <c r="D125" s="5">
        <v>44889.43019478582</v>
      </c>
      <c r="E125" s="5">
        <f t="shared" si="1"/>
        <v>0</v>
      </c>
      <c r="F125" s="5">
        <f t="shared" si="2"/>
        <v>44889.43019</v>
      </c>
      <c r="G125" s="5">
        <v>3758.4909367467485</v>
      </c>
      <c r="H125" s="5">
        <v>1279.9324558478797</v>
      </c>
      <c r="I125" s="5">
        <v>2478.5584808988688</v>
      </c>
      <c r="J125" s="5">
        <v>119.82218505814107</v>
      </c>
      <c r="K125" s="5">
        <f t="shared" si="3"/>
        <v>119.8221851</v>
      </c>
      <c r="L125" s="5">
        <f t="shared" si="4"/>
        <v>0</v>
      </c>
      <c r="M125" s="5">
        <v>11428.424865666297</v>
      </c>
      <c r="N125" s="5">
        <f t="shared" si="5"/>
        <v>0</v>
      </c>
      <c r="O125" s="5">
        <f t="shared" si="6"/>
        <v>11428.42487</v>
      </c>
      <c r="P125" s="5">
        <f t="shared" si="9"/>
        <v>60196.16818</v>
      </c>
      <c r="Q125" s="5">
        <f t="shared" si="7"/>
        <v>58796.41354</v>
      </c>
      <c r="R125" s="5">
        <f t="shared" si="8"/>
        <v>1399.754641</v>
      </c>
    </row>
    <row r="126" ht="15.75" customHeight="1">
      <c r="A126" s="4">
        <v>2020.0</v>
      </c>
      <c r="B126" s="4">
        <v>328.0</v>
      </c>
      <c r="C126" s="4" t="s">
        <v>20</v>
      </c>
      <c r="D126" s="5">
        <v>5228.701478458662</v>
      </c>
      <c r="E126" s="5">
        <f t="shared" si="1"/>
        <v>0</v>
      </c>
      <c r="F126" s="5">
        <f t="shared" si="2"/>
        <v>5228.701478</v>
      </c>
      <c r="G126" s="5">
        <v>1392.51059079742</v>
      </c>
      <c r="H126" s="5">
        <v>1019.0896529745982</v>
      </c>
      <c r="I126" s="5">
        <v>373.4209378228219</v>
      </c>
      <c r="J126" s="5">
        <v>0.0</v>
      </c>
      <c r="K126" s="5">
        <f t="shared" si="3"/>
        <v>0</v>
      </c>
      <c r="L126" s="5">
        <f t="shared" si="4"/>
        <v>0</v>
      </c>
      <c r="M126" s="5">
        <v>22683.608117533702</v>
      </c>
      <c r="N126" s="5">
        <f t="shared" si="5"/>
        <v>0</v>
      </c>
      <c r="O126" s="5">
        <f t="shared" si="6"/>
        <v>22683.60812</v>
      </c>
      <c r="P126" s="5">
        <f t="shared" si="9"/>
        <v>29304.82019</v>
      </c>
      <c r="Q126" s="5">
        <f t="shared" si="7"/>
        <v>28285.73053</v>
      </c>
      <c r="R126" s="5">
        <f t="shared" si="8"/>
        <v>1019.089653</v>
      </c>
    </row>
    <row r="127" ht="15.75" customHeight="1">
      <c r="A127" s="4">
        <v>2020.0</v>
      </c>
      <c r="B127" s="4">
        <v>331.0</v>
      </c>
      <c r="C127" s="4" t="s">
        <v>20</v>
      </c>
      <c r="D127" s="5">
        <v>126207.22762137436</v>
      </c>
      <c r="E127" s="5">
        <f t="shared" si="1"/>
        <v>0</v>
      </c>
      <c r="F127" s="5">
        <f t="shared" si="2"/>
        <v>126207.2276</v>
      </c>
      <c r="G127" s="5">
        <v>79207.91549704658</v>
      </c>
      <c r="H127" s="5">
        <v>26103.8526951037</v>
      </c>
      <c r="I127" s="5">
        <v>53104.06280194288</v>
      </c>
      <c r="J127" s="5">
        <v>4068.255431955739</v>
      </c>
      <c r="K127" s="5">
        <f t="shared" si="3"/>
        <v>4068.255432</v>
      </c>
      <c r="L127" s="5">
        <f t="shared" si="4"/>
        <v>0</v>
      </c>
      <c r="M127" s="5">
        <v>15115.733423906706</v>
      </c>
      <c r="N127" s="5">
        <f t="shared" si="5"/>
        <v>0</v>
      </c>
      <c r="O127" s="5">
        <f t="shared" si="6"/>
        <v>15115.73342</v>
      </c>
      <c r="P127" s="5">
        <f t="shared" si="9"/>
        <v>224599.132</v>
      </c>
      <c r="Q127" s="5">
        <f t="shared" si="7"/>
        <v>194427.0238</v>
      </c>
      <c r="R127" s="5">
        <f t="shared" si="8"/>
        <v>30172.10813</v>
      </c>
    </row>
    <row r="128" ht="15.75" customHeight="1">
      <c r="A128" s="4">
        <v>2020.0</v>
      </c>
      <c r="B128" s="4">
        <v>332.0</v>
      </c>
      <c r="C128" s="4" t="s">
        <v>20</v>
      </c>
      <c r="D128" s="5">
        <v>840.5429901762767</v>
      </c>
      <c r="E128" s="5">
        <f t="shared" si="1"/>
        <v>0</v>
      </c>
      <c r="F128" s="5">
        <f t="shared" si="2"/>
        <v>840.5429902</v>
      </c>
      <c r="G128" s="5" t="s">
        <v>19</v>
      </c>
      <c r="H128" s="5" t="s">
        <v>19</v>
      </c>
      <c r="I128" s="5" t="s">
        <v>19</v>
      </c>
      <c r="J128" s="5">
        <v>0.0</v>
      </c>
      <c r="K128" s="5">
        <f t="shared" si="3"/>
        <v>0</v>
      </c>
      <c r="L128" s="5">
        <f t="shared" si="4"/>
        <v>0</v>
      </c>
      <c r="M128" s="5">
        <v>2645.788258548989</v>
      </c>
      <c r="N128" s="5">
        <f t="shared" si="5"/>
        <v>0</v>
      </c>
      <c r="O128" s="5">
        <f t="shared" si="6"/>
        <v>2645.788259</v>
      </c>
      <c r="P128" s="5">
        <f t="shared" si="9"/>
        <v>3486.331249</v>
      </c>
      <c r="Q128" s="5">
        <f t="shared" si="7"/>
        <v>3486.331249</v>
      </c>
      <c r="R128" s="5">
        <f t="shared" si="8"/>
        <v>0</v>
      </c>
    </row>
    <row r="129" ht="15.75" customHeight="1">
      <c r="A129" s="4">
        <v>2020.0</v>
      </c>
      <c r="B129" s="4">
        <v>333.0</v>
      </c>
      <c r="C129" s="4" t="s">
        <v>20</v>
      </c>
      <c r="D129" s="5" t="s">
        <v>19</v>
      </c>
      <c r="E129" s="5" t="str">
        <f t="shared" si="1"/>
        <v/>
      </c>
      <c r="F129" s="5" t="str">
        <f t="shared" si="2"/>
        <v/>
      </c>
      <c r="G129" s="5" t="s">
        <v>19</v>
      </c>
      <c r="H129" s="5" t="s">
        <v>19</v>
      </c>
      <c r="I129" s="5" t="s">
        <v>19</v>
      </c>
      <c r="J129" s="5">
        <v>0.0</v>
      </c>
      <c r="K129" s="5">
        <f t="shared" si="3"/>
        <v>0</v>
      </c>
      <c r="L129" s="5">
        <f t="shared" si="4"/>
        <v>0</v>
      </c>
      <c r="M129" s="5">
        <v>571.4902638465815</v>
      </c>
      <c r="N129" s="5">
        <f t="shared" si="5"/>
        <v>0</v>
      </c>
      <c r="O129" s="5">
        <f t="shared" si="6"/>
        <v>571.4902638</v>
      </c>
      <c r="P129" s="5">
        <f t="shared" si="9"/>
        <v>571.4902638</v>
      </c>
      <c r="Q129" s="5">
        <f t="shared" si="7"/>
        <v>571.4902638</v>
      </c>
      <c r="R129" s="5">
        <f t="shared" si="8"/>
        <v>0</v>
      </c>
    </row>
    <row r="130" ht="15.75" customHeight="1">
      <c r="A130" s="4">
        <v>2020.0</v>
      </c>
      <c r="B130" s="4">
        <v>400.0</v>
      </c>
      <c r="C130" s="4" t="s">
        <v>21</v>
      </c>
      <c r="D130" s="5" t="s">
        <v>19</v>
      </c>
      <c r="E130" s="5" t="str">
        <f t="shared" si="1"/>
        <v/>
      </c>
      <c r="F130" s="5" t="str">
        <f t="shared" si="2"/>
        <v/>
      </c>
      <c r="G130" s="5">
        <v>129.8962855296268</v>
      </c>
      <c r="H130" s="5">
        <v>86.2975087775806</v>
      </c>
      <c r="I130" s="5">
        <v>43.59877675204619</v>
      </c>
      <c r="J130" s="5">
        <v>16339.279706772639</v>
      </c>
      <c r="K130" s="5">
        <f t="shared" si="3"/>
        <v>16339.27971</v>
      </c>
      <c r="L130" s="5">
        <f t="shared" si="4"/>
        <v>0</v>
      </c>
      <c r="M130" s="5">
        <v>75.08318031017404</v>
      </c>
      <c r="N130" s="5">
        <f t="shared" si="5"/>
        <v>0</v>
      </c>
      <c r="O130" s="5">
        <f t="shared" si="6"/>
        <v>75.08318031</v>
      </c>
      <c r="P130" s="5">
        <f t="shared" si="9"/>
        <v>16544.25917</v>
      </c>
      <c r="Q130" s="5">
        <f t="shared" si="7"/>
        <v>118.6819571</v>
      </c>
      <c r="R130" s="5">
        <f t="shared" si="8"/>
        <v>16425.57722</v>
      </c>
    </row>
    <row r="131" ht="15.75" customHeight="1">
      <c r="A131" s="4">
        <v>2020.0</v>
      </c>
      <c r="B131" s="4">
        <v>401.0</v>
      </c>
      <c r="C131" s="4" t="s">
        <v>21</v>
      </c>
      <c r="D131" s="5">
        <v>533.8574753496407</v>
      </c>
      <c r="E131" s="5">
        <f t="shared" si="1"/>
        <v>0</v>
      </c>
      <c r="F131" s="5">
        <f t="shared" si="2"/>
        <v>533.8574753</v>
      </c>
      <c r="G131" s="5">
        <v>1252.0537445501018</v>
      </c>
      <c r="H131" s="5">
        <v>933.4531663602892</v>
      </c>
      <c r="I131" s="5">
        <v>318.6005781898126</v>
      </c>
      <c r="J131" s="5">
        <v>119094.4626039616</v>
      </c>
      <c r="K131" s="5">
        <f t="shared" si="3"/>
        <v>119094.4626</v>
      </c>
      <c r="L131" s="5">
        <f t="shared" si="4"/>
        <v>0</v>
      </c>
      <c r="M131" s="5">
        <v>269.2221687034805</v>
      </c>
      <c r="N131" s="5">
        <f t="shared" si="5"/>
        <v>0</v>
      </c>
      <c r="O131" s="5">
        <f t="shared" si="6"/>
        <v>269.2221687</v>
      </c>
      <c r="P131" s="5">
        <f t="shared" si="9"/>
        <v>121149.596</v>
      </c>
      <c r="Q131" s="5">
        <f t="shared" si="7"/>
        <v>1121.680222</v>
      </c>
      <c r="R131" s="5">
        <f t="shared" si="8"/>
        <v>120027.9158</v>
      </c>
    </row>
    <row r="132" ht="15.75" customHeight="1">
      <c r="A132" s="4">
        <v>2020.0</v>
      </c>
      <c r="B132" s="4">
        <v>402.0</v>
      </c>
      <c r="C132" s="4" t="s">
        <v>21</v>
      </c>
      <c r="D132" s="5">
        <v>398.1108161901038</v>
      </c>
      <c r="E132" s="5">
        <f t="shared" si="1"/>
        <v>0</v>
      </c>
      <c r="F132" s="5">
        <f t="shared" si="2"/>
        <v>398.1108162</v>
      </c>
      <c r="G132" s="5">
        <v>1976.0939620427512</v>
      </c>
      <c r="H132" s="5">
        <v>1464.8609298863666</v>
      </c>
      <c r="I132" s="5">
        <v>511.2330321563845</v>
      </c>
      <c r="J132" s="5">
        <v>107607.28403563192</v>
      </c>
      <c r="K132" s="5">
        <f t="shared" si="3"/>
        <v>107607.284</v>
      </c>
      <c r="L132" s="5">
        <f t="shared" si="4"/>
        <v>0</v>
      </c>
      <c r="M132" s="5">
        <v>757.8830930786958</v>
      </c>
      <c r="N132" s="5">
        <f t="shared" si="5"/>
        <v>0</v>
      </c>
      <c r="O132" s="5">
        <f t="shared" si="6"/>
        <v>757.8830931</v>
      </c>
      <c r="P132" s="5">
        <f t="shared" si="9"/>
        <v>110739.3719</v>
      </c>
      <c r="Q132" s="5">
        <f t="shared" si="7"/>
        <v>1667.226941</v>
      </c>
      <c r="R132" s="5">
        <f t="shared" si="8"/>
        <v>109072.145</v>
      </c>
    </row>
    <row r="133" ht="15.75" customHeight="1">
      <c r="A133" s="4">
        <v>2020.0</v>
      </c>
      <c r="B133" s="4">
        <v>403.0</v>
      </c>
      <c r="C133" s="4" t="s">
        <v>21</v>
      </c>
      <c r="D133" s="5">
        <v>6025.246450414533</v>
      </c>
      <c r="E133" s="5">
        <f t="shared" si="1"/>
        <v>0</v>
      </c>
      <c r="F133" s="5">
        <f t="shared" si="2"/>
        <v>6025.24645</v>
      </c>
      <c r="G133" s="5">
        <v>14558.299726305193</v>
      </c>
      <c r="H133" s="5">
        <v>7646.848643923397</v>
      </c>
      <c r="I133" s="5">
        <v>6911.451082381796</v>
      </c>
      <c r="J133" s="5">
        <v>295427.5165514055</v>
      </c>
      <c r="K133" s="5">
        <f t="shared" si="3"/>
        <v>295427.5166</v>
      </c>
      <c r="L133" s="5">
        <f t="shared" si="4"/>
        <v>0</v>
      </c>
      <c r="M133" s="5">
        <v>3685.474227955394</v>
      </c>
      <c r="N133" s="5">
        <f t="shared" si="5"/>
        <v>0</v>
      </c>
      <c r="O133" s="5">
        <f t="shared" si="6"/>
        <v>3685.474228</v>
      </c>
      <c r="P133" s="5">
        <f t="shared" si="9"/>
        <v>319696.537</v>
      </c>
      <c r="Q133" s="5">
        <f t="shared" si="7"/>
        <v>16622.17176</v>
      </c>
      <c r="R133" s="5">
        <f t="shared" si="8"/>
        <v>303074.3652</v>
      </c>
    </row>
    <row r="134" ht="15.75" customHeight="1">
      <c r="A134" s="4">
        <v>2020.0</v>
      </c>
      <c r="B134" s="4">
        <v>404.0</v>
      </c>
      <c r="C134" s="4" t="s">
        <v>21</v>
      </c>
      <c r="D134" s="5">
        <v>6616.657333887369</v>
      </c>
      <c r="E134" s="5">
        <f t="shared" si="1"/>
        <v>0</v>
      </c>
      <c r="F134" s="5">
        <f t="shared" si="2"/>
        <v>6616.657334</v>
      </c>
      <c r="G134" s="5">
        <v>3056.910383625142</v>
      </c>
      <c r="H134" s="5">
        <v>1619.9279577675943</v>
      </c>
      <c r="I134" s="5">
        <v>1436.9824258575477</v>
      </c>
      <c r="J134" s="5">
        <v>150485.6964851691</v>
      </c>
      <c r="K134" s="5">
        <f t="shared" si="3"/>
        <v>150485.6965</v>
      </c>
      <c r="L134" s="5">
        <f t="shared" si="4"/>
        <v>0</v>
      </c>
      <c r="M134" s="5">
        <v>87.48822749185501</v>
      </c>
      <c r="N134" s="5">
        <f t="shared" si="5"/>
        <v>0</v>
      </c>
      <c r="O134" s="5">
        <f t="shared" si="6"/>
        <v>87.48822749</v>
      </c>
      <c r="P134" s="5">
        <f t="shared" si="9"/>
        <v>160246.7524</v>
      </c>
      <c r="Q134" s="5">
        <f t="shared" si="7"/>
        <v>8141.127987</v>
      </c>
      <c r="R134" s="5">
        <f t="shared" si="8"/>
        <v>152105.6244</v>
      </c>
    </row>
    <row r="135" ht="15.75" customHeight="1">
      <c r="A135" s="4">
        <v>2020.0</v>
      </c>
      <c r="B135" s="4">
        <v>405.0</v>
      </c>
      <c r="C135" s="4" t="s">
        <v>21</v>
      </c>
      <c r="D135" s="5">
        <v>1600.3816658808562</v>
      </c>
      <c r="E135" s="5">
        <f t="shared" si="1"/>
        <v>0</v>
      </c>
      <c r="F135" s="5">
        <f t="shared" si="2"/>
        <v>1600.381666</v>
      </c>
      <c r="G135" s="5">
        <v>2000.2349922072417</v>
      </c>
      <c r="H135" s="5">
        <v>1391.0420073170344</v>
      </c>
      <c r="I135" s="5">
        <v>609.1929848902073</v>
      </c>
      <c r="J135" s="5">
        <v>96753.43380318751</v>
      </c>
      <c r="K135" s="5">
        <f t="shared" si="3"/>
        <v>96753.4338</v>
      </c>
      <c r="L135" s="5">
        <f t="shared" si="4"/>
        <v>0</v>
      </c>
      <c r="M135" s="5">
        <v>318.6138434031732</v>
      </c>
      <c r="N135" s="5">
        <f t="shared" si="5"/>
        <v>0</v>
      </c>
      <c r="O135" s="5">
        <f t="shared" si="6"/>
        <v>318.6138434</v>
      </c>
      <c r="P135" s="5">
        <f t="shared" si="9"/>
        <v>100672.6643</v>
      </c>
      <c r="Q135" s="5">
        <f t="shared" si="7"/>
        <v>2528.188494</v>
      </c>
      <c r="R135" s="5">
        <f t="shared" si="8"/>
        <v>98144.47581</v>
      </c>
    </row>
    <row r="136" ht="15.75" customHeight="1">
      <c r="A136" s="4">
        <v>2020.0</v>
      </c>
      <c r="B136" s="4">
        <v>406.0</v>
      </c>
      <c r="C136" s="4" t="s">
        <v>21</v>
      </c>
      <c r="D136" s="5" t="s">
        <v>19</v>
      </c>
      <c r="E136" s="5" t="str">
        <f t="shared" si="1"/>
        <v/>
      </c>
      <c r="F136" s="5" t="str">
        <f t="shared" si="2"/>
        <v/>
      </c>
      <c r="G136" s="5">
        <v>1595.0623153232855</v>
      </c>
      <c r="H136" s="5">
        <v>1206.0294235350834</v>
      </c>
      <c r="I136" s="5">
        <v>389.03289178820205</v>
      </c>
      <c r="J136" s="5">
        <v>76549.47906482729</v>
      </c>
      <c r="K136" s="5">
        <f t="shared" si="3"/>
        <v>76549.47906</v>
      </c>
      <c r="L136" s="5">
        <f t="shared" si="4"/>
        <v>0</v>
      </c>
      <c r="M136" s="5">
        <v>0.0</v>
      </c>
      <c r="N136" s="5">
        <f t="shared" si="5"/>
        <v>0</v>
      </c>
      <c r="O136" s="5">
        <f t="shared" si="6"/>
        <v>0</v>
      </c>
      <c r="P136" s="5">
        <f t="shared" si="9"/>
        <v>78144.54138</v>
      </c>
      <c r="Q136" s="5">
        <f t="shared" si="7"/>
        <v>389.0328918</v>
      </c>
      <c r="R136" s="5">
        <f t="shared" si="8"/>
        <v>77755.50849</v>
      </c>
    </row>
    <row r="137" ht="15.75" customHeight="1">
      <c r="A137" s="4">
        <v>2020.0</v>
      </c>
      <c r="B137" s="4">
        <v>407.0</v>
      </c>
      <c r="C137" s="4" t="s">
        <v>21</v>
      </c>
      <c r="D137" s="5" t="s">
        <v>19</v>
      </c>
      <c r="E137" s="5" t="str">
        <f t="shared" si="1"/>
        <v/>
      </c>
      <c r="F137" s="5" t="str">
        <f t="shared" si="2"/>
        <v/>
      </c>
      <c r="G137" s="5">
        <v>3895.210516398697</v>
      </c>
      <c r="H137" s="5">
        <v>2953.931537416365</v>
      </c>
      <c r="I137" s="5">
        <v>941.2789789823323</v>
      </c>
      <c r="J137" s="5">
        <v>92185.32855029039</v>
      </c>
      <c r="K137" s="5">
        <f t="shared" si="3"/>
        <v>92185.32855</v>
      </c>
      <c r="L137" s="5">
        <f t="shared" si="4"/>
        <v>0</v>
      </c>
      <c r="M137" s="5">
        <v>0.0</v>
      </c>
      <c r="N137" s="5">
        <f t="shared" si="5"/>
        <v>0</v>
      </c>
      <c r="O137" s="5">
        <f t="shared" si="6"/>
        <v>0</v>
      </c>
      <c r="P137" s="5">
        <f t="shared" si="9"/>
        <v>96080.53907</v>
      </c>
      <c r="Q137" s="5">
        <f t="shared" si="7"/>
        <v>941.278979</v>
      </c>
      <c r="R137" s="5">
        <f t="shared" si="8"/>
        <v>95139.26009</v>
      </c>
    </row>
    <row r="138" ht="15.75" customHeight="1">
      <c r="A138" s="4">
        <v>2020.0</v>
      </c>
      <c r="B138" s="4">
        <v>408.0</v>
      </c>
      <c r="C138" s="4" t="s">
        <v>21</v>
      </c>
      <c r="D138" s="5" t="s">
        <v>19</v>
      </c>
      <c r="E138" s="5" t="str">
        <f t="shared" si="1"/>
        <v/>
      </c>
      <c r="F138" s="5" t="str">
        <f t="shared" si="2"/>
        <v/>
      </c>
      <c r="G138" s="5">
        <v>503.0334721479088</v>
      </c>
      <c r="H138" s="5">
        <v>253.23292305247264</v>
      </c>
      <c r="I138" s="5">
        <v>249.80054909543617</v>
      </c>
      <c r="J138" s="5">
        <v>4647.4794188259875</v>
      </c>
      <c r="K138" s="5">
        <f t="shared" si="3"/>
        <v>4647.479419</v>
      </c>
      <c r="L138" s="5">
        <f t="shared" si="4"/>
        <v>0</v>
      </c>
      <c r="M138" s="5">
        <v>0.0</v>
      </c>
      <c r="N138" s="5">
        <f t="shared" si="5"/>
        <v>0</v>
      </c>
      <c r="O138" s="5">
        <f t="shared" si="6"/>
        <v>0</v>
      </c>
      <c r="P138" s="5">
        <f t="shared" si="9"/>
        <v>5150.512891</v>
      </c>
      <c r="Q138" s="5">
        <f t="shared" si="7"/>
        <v>249.8005491</v>
      </c>
      <c r="R138" s="5">
        <f t="shared" si="8"/>
        <v>4900.712342</v>
      </c>
    </row>
    <row r="139" ht="15.75" customHeight="1">
      <c r="A139" s="4">
        <v>2020.0</v>
      </c>
      <c r="B139" s="4">
        <v>409.0</v>
      </c>
      <c r="C139" s="4" t="s">
        <v>21</v>
      </c>
      <c r="D139" s="5">
        <v>1274.1133798307412</v>
      </c>
      <c r="E139" s="5">
        <f t="shared" si="1"/>
        <v>0</v>
      </c>
      <c r="F139" s="5">
        <f t="shared" si="2"/>
        <v>1274.11338</v>
      </c>
      <c r="G139" s="5">
        <v>2458.1518155643257</v>
      </c>
      <c r="H139" s="5">
        <v>1787.122706963685</v>
      </c>
      <c r="I139" s="5">
        <v>671.0291086006407</v>
      </c>
      <c r="J139" s="5">
        <v>34557.27271886705</v>
      </c>
      <c r="K139" s="5">
        <f t="shared" si="3"/>
        <v>34557.27272</v>
      </c>
      <c r="L139" s="5">
        <f t="shared" si="4"/>
        <v>0</v>
      </c>
      <c r="M139" s="5">
        <v>671.8312394710356</v>
      </c>
      <c r="N139" s="5">
        <f t="shared" si="5"/>
        <v>0</v>
      </c>
      <c r="O139" s="5">
        <f t="shared" si="6"/>
        <v>671.8312395</v>
      </c>
      <c r="P139" s="5">
        <f t="shared" si="9"/>
        <v>38961.36915</v>
      </c>
      <c r="Q139" s="5">
        <f t="shared" si="7"/>
        <v>2616.973728</v>
      </c>
      <c r="R139" s="5">
        <f t="shared" si="8"/>
        <v>36344.39543</v>
      </c>
    </row>
    <row r="140" ht="15.75" customHeight="1">
      <c r="A140" s="4">
        <v>2020.0</v>
      </c>
      <c r="B140" s="4">
        <v>420.0</v>
      </c>
      <c r="C140" s="4" t="s">
        <v>21</v>
      </c>
      <c r="D140" s="5">
        <v>879.1779240888137</v>
      </c>
      <c r="E140" s="5">
        <f t="shared" si="1"/>
        <v>0</v>
      </c>
      <c r="F140" s="5">
        <f t="shared" si="2"/>
        <v>879.1779241</v>
      </c>
      <c r="G140" s="5">
        <v>776.0978891743702</v>
      </c>
      <c r="H140" s="5">
        <v>517.9070926284004</v>
      </c>
      <c r="I140" s="5">
        <v>258.19079654596976</v>
      </c>
      <c r="J140" s="5">
        <v>0.0</v>
      </c>
      <c r="K140" s="5">
        <f t="shared" si="3"/>
        <v>0</v>
      </c>
      <c r="L140" s="5">
        <f t="shared" si="4"/>
        <v>0</v>
      </c>
      <c r="M140" s="5">
        <v>2887.111507231215</v>
      </c>
      <c r="N140" s="5">
        <f t="shared" si="5"/>
        <v>0</v>
      </c>
      <c r="O140" s="5">
        <f t="shared" si="6"/>
        <v>2887.111507</v>
      </c>
      <c r="P140" s="5">
        <f t="shared" si="9"/>
        <v>4542.38732</v>
      </c>
      <c r="Q140" s="5">
        <f t="shared" si="7"/>
        <v>4024.480228</v>
      </c>
      <c r="R140" s="5">
        <f t="shared" si="8"/>
        <v>517.9070926</v>
      </c>
    </row>
    <row r="141" ht="15.75" customHeight="1">
      <c r="A141" s="4">
        <v>2020.0</v>
      </c>
      <c r="B141" s="4">
        <v>421.0</v>
      </c>
      <c r="C141" s="4" t="s">
        <v>21</v>
      </c>
      <c r="D141" s="5">
        <v>492.1808694673268</v>
      </c>
      <c r="E141" s="5">
        <f t="shared" si="1"/>
        <v>0</v>
      </c>
      <c r="F141" s="5">
        <f t="shared" si="2"/>
        <v>492.1808695</v>
      </c>
      <c r="G141" s="5" t="s">
        <v>19</v>
      </c>
      <c r="H141" s="5" t="s">
        <v>19</v>
      </c>
      <c r="I141" s="5" t="s">
        <v>19</v>
      </c>
      <c r="J141" s="5">
        <v>667.4319558213917</v>
      </c>
      <c r="K141" s="5">
        <f t="shared" si="3"/>
        <v>667.4319558</v>
      </c>
      <c r="L141" s="5">
        <f t="shared" si="4"/>
        <v>0</v>
      </c>
      <c r="M141" s="5">
        <v>21869.837022415435</v>
      </c>
      <c r="N141" s="5">
        <f t="shared" si="5"/>
        <v>0</v>
      </c>
      <c r="O141" s="5">
        <f t="shared" si="6"/>
        <v>21869.83702</v>
      </c>
      <c r="P141" s="5">
        <f t="shared" si="9"/>
        <v>23029.44985</v>
      </c>
      <c r="Q141" s="5">
        <f t="shared" si="7"/>
        <v>22362.01789</v>
      </c>
      <c r="R141" s="5">
        <f t="shared" si="8"/>
        <v>667.4319558</v>
      </c>
    </row>
    <row r="142" ht="15.75" customHeight="1">
      <c r="A142" s="4">
        <v>2020.0</v>
      </c>
      <c r="B142" s="4">
        <v>422.0</v>
      </c>
      <c r="C142" s="4" t="s">
        <v>21</v>
      </c>
      <c r="D142" s="5">
        <v>230.2136324927819</v>
      </c>
      <c r="E142" s="5">
        <f t="shared" si="1"/>
        <v>0</v>
      </c>
      <c r="F142" s="5">
        <f t="shared" si="2"/>
        <v>230.2136325</v>
      </c>
      <c r="G142" s="5" t="s">
        <v>19</v>
      </c>
      <c r="H142" s="5" t="s">
        <v>19</v>
      </c>
      <c r="I142" s="5" t="s">
        <v>19</v>
      </c>
      <c r="J142" s="5">
        <v>961.2455501367442</v>
      </c>
      <c r="K142" s="5">
        <f t="shared" si="3"/>
        <v>961.2455501</v>
      </c>
      <c r="L142" s="5">
        <f t="shared" si="4"/>
        <v>0</v>
      </c>
      <c r="M142" s="5">
        <v>23382.53459163841</v>
      </c>
      <c r="N142" s="5">
        <f t="shared" si="5"/>
        <v>0</v>
      </c>
      <c r="O142" s="5">
        <f t="shared" si="6"/>
        <v>23382.53459</v>
      </c>
      <c r="P142" s="5">
        <f t="shared" si="9"/>
        <v>24573.99377</v>
      </c>
      <c r="Q142" s="5">
        <f t="shared" si="7"/>
        <v>23612.74822</v>
      </c>
      <c r="R142" s="5">
        <f t="shared" si="8"/>
        <v>961.2455501</v>
      </c>
    </row>
    <row r="143" ht="15.75" customHeight="1">
      <c r="A143" s="4">
        <v>2020.0</v>
      </c>
      <c r="B143" s="4">
        <v>423.0</v>
      </c>
      <c r="C143" s="4" t="s">
        <v>21</v>
      </c>
      <c r="D143" s="5">
        <v>5402.478882515957</v>
      </c>
      <c r="E143" s="5">
        <f t="shared" si="1"/>
        <v>0</v>
      </c>
      <c r="F143" s="5">
        <f t="shared" si="2"/>
        <v>5402.478883</v>
      </c>
      <c r="G143" s="5">
        <v>4143.371153492438</v>
      </c>
      <c r="H143" s="5">
        <v>2180.2058000211905</v>
      </c>
      <c r="I143" s="5">
        <v>1963.1653534712473</v>
      </c>
      <c r="J143" s="5">
        <v>20445.493339490567</v>
      </c>
      <c r="K143" s="5">
        <f t="shared" si="3"/>
        <v>20445.49334</v>
      </c>
      <c r="L143" s="5">
        <f t="shared" si="4"/>
        <v>0</v>
      </c>
      <c r="M143" s="5">
        <v>49732.83308410557</v>
      </c>
      <c r="N143" s="5">
        <f t="shared" si="5"/>
        <v>0</v>
      </c>
      <c r="O143" s="5">
        <f t="shared" si="6"/>
        <v>49732.83308</v>
      </c>
      <c r="P143" s="5">
        <f t="shared" si="9"/>
        <v>79724.17646</v>
      </c>
      <c r="Q143" s="5">
        <f t="shared" si="7"/>
        <v>57098.47732</v>
      </c>
      <c r="R143" s="5">
        <f t="shared" si="8"/>
        <v>22625.69914</v>
      </c>
    </row>
    <row r="144" ht="15.75" customHeight="1">
      <c r="A144" s="4">
        <v>2020.0</v>
      </c>
      <c r="B144" s="4">
        <v>424.0</v>
      </c>
      <c r="C144" s="4" t="s">
        <v>21</v>
      </c>
      <c r="D144" s="5" t="s">
        <v>19</v>
      </c>
      <c r="E144" s="5" t="str">
        <f t="shared" si="1"/>
        <v/>
      </c>
      <c r="F144" s="5" t="str">
        <f t="shared" si="2"/>
        <v/>
      </c>
      <c r="G144" s="5" t="s">
        <v>19</v>
      </c>
      <c r="H144" s="5" t="s">
        <v>19</v>
      </c>
      <c r="I144" s="5" t="s">
        <v>19</v>
      </c>
      <c r="J144" s="5">
        <v>17175.076755965747</v>
      </c>
      <c r="K144" s="5">
        <f t="shared" si="3"/>
        <v>17175.07676</v>
      </c>
      <c r="L144" s="5">
        <f t="shared" si="4"/>
        <v>0</v>
      </c>
      <c r="M144" s="5">
        <v>29708.67121315823</v>
      </c>
      <c r="N144" s="5">
        <f t="shared" si="5"/>
        <v>0</v>
      </c>
      <c r="O144" s="5">
        <f t="shared" si="6"/>
        <v>29708.67121</v>
      </c>
      <c r="P144" s="5">
        <f t="shared" si="9"/>
        <v>46883.74797</v>
      </c>
      <c r="Q144" s="5">
        <f t="shared" si="7"/>
        <v>29708.67121</v>
      </c>
      <c r="R144" s="5">
        <f t="shared" si="8"/>
        <v>17175.07676</v>
      </c>
    </row>
    <row r="145" ht="15.75" customHeight="1">
      <c r="A145" s="4">
        <v>2020.0</v>
      </c>
      <c r="B145" s="4">
        <v>425.0</v>
      </c>
      <c r="C145" s="4" t="s">
        <v>21</v>
      </c>
      <c r="D145" s="5" t="s">
        <v>19</v>
      </c>
      <c r="E145" s="5" t="str">
        <f t="shared" si="1"/>
        <v/>
      </c>
      <c r="F145" s="5" t="str">
        <f t="shared" si="2"/>
        <v/>
      </c>
      <c r="G145" s="5" t="s">
        <v>19</v>
      </c>
      <c r="H145" s="5" t="s">
        <v>19</v>
      </c>
      <c r="I145" s="5" t="s">
        <v>19</v>
      </c>
      <c r="J145" s="5">
        <v>0.0</v>
      </c>
      <c r="K145" s="5">
        <f t="shared" si="3"/>
        <v>0</v>
      </c>
      <c r="L145" s="5">
        <f t="shared" si="4"/>
        <v>0</v>
      </c>
      <c r="M145" s="5">
        <v>36027.42356711885</v>
      </c>
      <c r="N145" s="5">
        <f t="shared" si="5"/>
        <v>0</v>
      </c>
      <c r="O145" s="5">
        <f t="shared" si="6"/>
        <v>36027.42357</v>
      </c>
      <c r="P145" s="5">
        <f t="shared" si="9"/>
        <v>36027.42357</v>
      </c>
      <c r="Q145" s="5">
        <f t="shared" si="7"/>
        <v>36027.42357</v>
      </c>
      <c r="R145" s="5">
        <f t="shared" si="8"/>
        <v>0</v>
      </c>
    </row>
    <row r="146" ht="15.75" customHeight="1">
      <c r="A146" s="4">
        <v>2020.0</v>
      </c>
      <c r="B146" s="4">
        <v>426.0</v>
      </c>
      <c r="C146" s="4" t="s">
        <v>21</v>
      </c>
      <c r="D146" s="5" t="s">
        <v>19</v>
      </c>
      <c r="E146" s="5" t="str">
        <f t="shared" si="1"/>
        <v/>
      </c>
      <c r="F146" s="5" t="str">
        <f t="shared" si="2"/>
        <v/>
      </c>
      <c r="G146" s="5" t="s">
        <v>19</v>
      </c>
      <c r="H146" s="5" t="s">
        <v>19</v>
      </c>
      <c r="I146" s="5" t="s">
        <v>19</v>
      </c>
      <c r="J146" s="5">
        <v>0.0</v>
      </c>
      <c r="K146" s="5">
        <f t="shared" si="3"/>
        <v>0</v>
      </c>
      <c r="L146" s="5">
        <f t="shared" si="4"/>
        <v>0</v>
      </c>
      <c r="M146" s="5">
        <v>32630.22957772133</v>
      </c>
      <c r="N146" s="5">
        <f t="shared" si="5"/>
        <v>0</v>
      </c>
      <c r="O146" s="5">
        <f t="shared" si="6"/>
        <v>32630.22958</v>
      </c>
      <c r="P146" s="5">
        <f t="shared" si="9"/>
        <v>32630.22958</v>
      </c>
      <c r="Q146" s="5">
        <f t="shared" si="7"/>
        <v>32630.22958</v>
      </c>
      <c r="R146" s="5">
        <f t="shared" si="8"/>
        <v>0</v>
      </c>
    </row>
    <row r="147" ht="15.75" customHeight="1">
      <c r="A147" s="4">
        <v>2020.0</v>
      </c>
      <c r="B147" s="4">
        <v>427.0</v>
      </c>
      <c r="C147" s="4" t="s">
        <v>21</v>
      </c>
      <c r="D147" s="5" t="s">
        <v>19</v>
      </c>
      <c r="E147" s="5" t="str">
        <f t="shared" si="1"/>
        <v/>
      </c>
      <c r="F147" s="5" t="str">
        <f t="shared" si="2"/>
        <v/>
      </c>
      <c r="G147" s="5">
        <v>1149.8452756072365</v>
      </c>
      <c r="H147" s="5">
        <v>839.7874948216037</v>
      </c>
      <c r="I147" s="5">
        <v>310.0577807856329</v>
      </c>
      <c r="J147" s="5">
        <v>2039.6146434885973</v>
      </c>
      <c r="K147" s="5">
        <f t="shared" si="3"/>
        <v>2039.614643</v>
      </c>
      <c r="L147" s="5">
        <f t="shared" si="4"/>
        <v>0</v>
      </c>
      <c r="M147" s="5">
        <v>42444.52182934139</v>
      </c>
      <c r="N147" s="5">
        <f t="shared" si="5"/>
        <v>0</v>
      </c>
      <c r="O147" s="5">
        <f t="shared" si="6"/>
        <v>42444.52183</v>
      </c>
      <c r="P147" s="5">
        <f t="shared" si="9"/>
        <v>45633.98175</v>
      </c>
      <c r="Q147" s="5">
        <f t="shared" si="7"/>
        <v>42754.57961</v>
      </c>
      <c r="R147" s="5">
        <f t="shared" si="8"/>
        <v>2879.402138</v>
      </c>
    </row>
    <row r="148" ht="15.75" customHeight="1">
      <c r="A148" s="4">
        <v>2020.0</v>
      </c>
      <c r="B148" s="4">
        <v>428.0</v>
      </c>
      <c r="C148" s="4" t="s">
        <v>21</v>
      </c>
      <c r="D148" s="5" t="s">
        <v>19</v>
      </c>
      <c r="E148" s="5" t="str">
        <f t="shared" si="1"/>
        <v/>
      </c>
      <c r="F148" s="5" t="str">
        <f t="shared" si="2"/>
        <v/>
      </c>
      <c r="G148" s="5" t="s">
        <v>19</v>
      </c>
      <c r="H148" s="5" t="s">
        <v>19</v>
      </c>
      <c r="I148" s="5" t="s">
        <v>19</v>
      </c>
      <c r="J148" s="5">
        <v>0.0</v>
      </c>
      <c r="K148" s="5">
        <f t="shared" si="3"/>
        <v>0</v>
      </c>
      <c r="L148" s="5">
        <f t="shared" si="4"/>
        <v>0</v>
      </c>
      <c r="M148" s="5">
        <v>8711.607607640457</v>
      </c>
      <c r="N148" s="5">
        <f t="shared" si="5"/>
        <v>0</v>
      </c>
      <c r="O148" s="5">
        <f t="shared" si="6"/>
        <v>8711.607608</v>
      </c>
      <c r="P148" s="5">
        <f t="shared" si="9"/>
        <v>8711.607608</v>
      </c>
      <c r="Q148" s="5">
        <f t="shared" si="7"/>
        <v>8711.607608</v>
      </c>
      <c r="R148" s="5">
        <f t="shared" si="8"/>
        <v>0</v>
      </c>
    </row>
    <row r="149" ht="15.75" customHeight="1">
      <c r="A149" s="4">
        <v>2020.0</v>
      </c>
      <c r="B149" s="4">
        <v>429.0</v>
      </c>
      <c r="C149" s="4" t="s">
        <v>21</v>
      </c>
      <c r="D149" s="5">
        <v>2133.445301118453</v>
      </c>
      <c r="E149" s="5">
        <f t="shared" si="1"/>
        <v>0</v>
      </c>
      <c r="F149" s="5">
        <f t="shared" si="2"/>
        <v>2133.445301</v>
      </c>
      <c r="G149" s="5">
        <v>3904.897438455222</v>
      </c>
      <c r="H149" s="5">
        <v>2656.8862676767408</v>
      </c>
      <c r="I149" s="5">
        <v>1248.0111707784813</v>
      </c>
      <c r="J149" s="5">
        <v>4009.2422285560087</v>
      </c>
      <c r="K149" s="5">
        <f t="shared" si="3"/>
        <v>4009.242229</v>
      </c>
      <c r="L149" s="5">
        <f t="shared" si="4"/>
        <v>0</v>
      </c>
      <c r="M149" s="5">
        <v>1337.5252450732396</v>
      </c>
      <c r="N149" s="5">
        <f t="shared" si="5"/>
        <v>0</v>
      </c>
      <c r="O149" s="5">
        <f t="shared" si="6"/>
        <v>1337.525245</v>
      </c>
      <c r="P149" s="5">
        <f t="shared" si="9"/>
        <v>11385.11021</v>
      </c>
      <c r="Q149" s="5">
        <f t="shared" si="7"/>
        <v>4718.981717</v>
      </c>
      <c r="R149" s="5">
        <f t="shared" si="8"/>
        <v>6666.128496</v>
      </c>
    </row>
    <row r="150" ht="15.75" customHeight="1">
      <c r="A150" s="4">
        <v>2020.0</v>
      </c>
      <c r="B150" s="4">
        <v>500.0</v>
      </c>
      <c r="C150" s="4" t="s">
        <v>22</v>
      </c>
      <c r="D150" s="5">
        <v>4019.8788569815615</v>
      </c>
      <c r="E150" s="5">
        <f t="shared" si="1"/>
        <v>0</v>
      </c>
      <c r="F150" s="5">
        <f t="shared" si="2"/>
        <v>4019.878857</v>
      </c>
      <c r="G150" s="5">
        <v>11906.047163470455</v>
      </c>
      <c r="H150" s="5">
        <v>6643.229214400182</v>
      </c>
      <c r="I150" s="5">
        <v>5262.817949070273</v>
      </c>
      <c r="J150" s="5">
        <v>84723.95134216982</v>
      </c>
      <c r="K150" s="5">
        <f t="shared" si="3"/>
        <v>84723.95134</v>
      </c>
      <c r="L150" s="5">
        <f t="shared" si="4"/>
        <v>0</v>
      </c>
      <c r="M150" s="5">
        <v>2430.9436193481306</v>
      </c>
      <c r="N150" s="5">
        <f t="shared" si="5"/>
        <v>0</v>
      </c>
      <c r="O150" s="5">
        <f t="shared" si="6"/>
        <v>2430.943619</v>
      </c>
      <c r="P150" s="5">
        <f t="shared" si="9"/>
        <v>103080.821</v>
      </c>
      <c r="Q150" s="5">
        <f t="shared" si="7"/>
        <v>11713.64043</v>
      </c>
      <c r="R150" s="5">
        <f t="shared" si="8"/>
        <v>91367.18056</v>
      </c>
    </row>
    <row r="151" ht="15.75" customHeight="1">
      <c r="A151" s="4">
        <v>2020.0</v>
      </c>
      <c r="B151" s="4">
        <v>501.0</v>
      </c>
      <c r="C151" s="4" t="s">
        <v>22</v>
      </c>
      <c r="D151" s="5">
        <v>12148.673097558465</v>
      </c>
      <c r="E151" s="5">
        <f t="shared" si="1"/>
        <v>0</v>
      </c>
      <c r="F151" s="5">
        <f t="shared" si="2"/>
        <v>12148.6731</v>
      </c>
      <c r="G151" s="5">
        <v>7637.8922205851195</v>
      </c>
      <c r="H151" s="5">
        <v>3375.2589227611047</v>
      </c>
      <c r="I151" s="5">
        <v>4262.633297824015</v>
      </c>
      <c r="J151" s="5">
        <v>59406.479667456886</v>
      </c>
      <c r="K151" s="5">
        <f t="shared" si="3"/>
        <v>59406.47967</v>
      </c>
      <c r="L151" s="5">
        <f t="shared" si="4"/>
        <v>0</v>
      </c>
      <c r="M151" s="5">
        <v>1151.638152100495</v>
      </c>
      <c r="N151" s="5">
        <f t="shared" si="5"/>
        <v>0</v>
      </c>
      <c r="O151" s="5">
        <f t="shared" si="6"/>
        <v>1151.638152</v>
      </c>
      <c r="P151" s="5">
        <f t="shared" si="9"/>
        <v>80344.68314</v>
      </c>
      <c r="Q151" s="5">
        <f t="shared" si="7"/>
        <v>17562.94455</v>
      </c>
      <c r="R151" s="5">
        <f t="shared" si="8"/>
        <v>62781.73859</v>
      </c>
    </row>
    <row r="152" ht="15.75" customHeight="1">
      <c r="A152" s="4">
        <v>2020.0</v>
      </c>
      <c r="B152" s="4">
        <v>502.0</v>
      </c>
      <c r="C152" s="4" t="s">
        <v>22</v>
      </c>
      <c r="D152" s="5" t="s">
        <v>19</v>
      </c>
      <c r="E152" s="5" t="str">
        <f t="shared" si="1"/>
        <v/>
      </c>
      <c r="F152" s="5" t="str">
        <f t="shared" si="2"/>
        <v/>
      </c>
      <c r="G152" s="5" t="s">
        <v>19</v>
      </c>
      <c r="H152" s="5" t="s">
        <v>19</v>
      </c>
      <c r="I152" s="5" t="s">
        <v>19</v>
      </c>
      <c r="J152" s="5">
        <v>0.0</v>
      </c>
      <c r="K152" s="5">
        <f t="shared" si="3"/>
        <v>0</v>
      </c>
      <c r="L152" s="5">
        <f t="shared" si="4"/>
        <v>0</v>
      </c>
      <c r="M152" s="5">
        <v>0.0</v>
      </c>
      <c r="N152" s="5">
        <f t="shared" si="5"/>
        <v>0</v>
      </c>
      <c r="O152" s="5">
        <f t="shared" si="6"/>
        <v>0</v>
      </c>
      <c r="P152" s="5">
        <f t="shared" si="9"/>
        <v>0</v>
      </c>
      <c r="Q152" s="5">
        <f t="shared" si="7"/>
        <v>0</v>
      </c>
      <c r="R152" s="5">
        <f t="shared" si="8"/>
        <v>0</v>
      </c>
    </row>
    <row r="153" ht="15.75" customHeight="1">
      <c r="A153" s="4">
        <v>2020.0</v>
      </c>
      <c r="B153" s="4">
        <v>503.0</v>
      </c>
      <c r="C153" s="4" t="s">
        <v>22</v>
      </c>
      <c r="D153" s="5">
        <v>3860.2548137730755</v>
      </c>
      <c r="E153" s="5">
        <f t="shared" si="1"/>
        <v>0</v>
      </c>
      <c r="F153" s="5">
        <f t="shared" si="2"/>
        <v>3860.254814</v>
      </c>
      <c r="G153" s="5">
        <v>4781.591244073319</v>
      </c>
      <c r="H153" s="5">
        <v>1738.5512991682783</v>
      </c>
      <c r="I153" s="5">
        <v>3043.039944905041</v>
      </c>
      <c r="J153" s="5">
        <v>3783.3217580059863</v>
      </c>
      <c r="K153" s="5">
        <f t="shared" si="3"/>
        <v>3783.321758</v>
      </c>
      <c r="L153" s="5">
        <f t="shared" si="4"/>
        <v>0</v>
      </c>
      <c r="M153" s="5">
        <v>1038.448573722618</v>
      </c>
      <c r="N153" s="5">
        <f t="shared" si="5"/>
        <v>0</v>
      </c>
      <c r="O153" s="5">
        <f t="shared" si="6"/>
        <v>1038.448574</v>
      </c>
      <c r="P153" s="5">
        <f t="shared" si="9"/>
        <v>13463.61639</v>
      </c>
      <c r="Q153" s="5">
        <f t="shared" si="7"/>
        <v>7941.743332</v>
      </c>
      <c r="R153" s="5">
        <f t="shared" si="8"/>
        <v>5521.873057</v>
      </c>
    </row>
    <row r="154" ht="15.75" customHeight="1">
      <c r="A154" s="4">
        <v>2020.0</v>
      </c>
      <c r="B154" s="4">
        <v>504.0</v>
      </c>
      <c r="C154" s="4" t="s">
        <v>22</v>
      </c>
      <c r="D154" s="5">
        <v>11361.782713701554</v>
      </c>
      <c r="E154" s="5">
        <f t="shared" si="1"/>
        <v>0</v>
      </c>
      <c r="F154" s="5">
        <f t="shared" si="2"/>
        <v>11361.78271</v>
      </c>
      <c r="G154" s="5">
        <v>8559.316740192831</v>
      </c>
      <c r="H154" s="5">
        <v>3682.8605663854532</v>
      </c>
      <c r="I154" s="5">
        <v>4876.456173807378</v>
      </c>
      <c r="J154" s="5">
        <v>62372.22321411013</v>
      </c>
      <c r="K154" s="5">
        <f t="shared" si="3"/>
        <v>62372.22321</v>
      </c>
      <c r="L154" s="5">
        <f t="shared" si="4"/>
        <v>0</v>
      </c>
      <c r="M154" s="5">
        <v>11923.074308432435</v>
      </c>
      <c r="N154" s="5">
        <f t="shared" si="5"/>
        <v>0</v>
      </c>
      <c r="O154" s="5">
        <f t="shared" si="6"/>
        <v>11923.07431</v>
      </c>
      <c r="P154" s="5">
        <f t="shared" si="9"/>
        <v>94216.39698</v>
      </c>
      <c r="Q154" s="5">
        <f t="shared" si="7"/>
        <v>28161.3132</v>
      </c>
      <c r="R154" s="5">
        <f t="shared" si="8"/>
        <v>66055.08378</v>
      </c>
    </row>
    <row r="155" ht="15.75" customHeight="1">
      <c r="A155" s="4">
        <v>2020.0</v>
      </c>
      <c r="B155" s="4">
        <v>505.0</v>
      </c>
      <c r="C155" s="4" t="s">
        <v>22</v>
      </c>
      <c r="D155" s="5">
        <v>2015.353811865943</v>
      </c>
      <c r="E155" s="5">
        <f t="shared" si="1"/>
        <v>0</v>
      </c>
      <c r="F155" s="5">
        <f t="shared" si="2"/>
        <v>2015.353812</v>
      </c>
      <c r="G155" s="5">
        <v>7877.5469541493385</v>
      </c>
      <c r="H155" s="5">
        <v>3597.58182599396</v>
      </c>
      <c r="I155" s="5">
        <v>4279.965128155378</v>
      </c>
      <c r="J155" s="5">
        <v>74597.61702038745</v>
      </c>
      <c r="K155" s="5">
        <f t="shared" si="3"/>
        <v>74597.61702</v>
      </c>
      <c r="L155" s="5">
        <f t="shared" si="4"/>
        <v>0</v>
      </c>
      <c r="M155" s="5">
        <v>1007.5188633519188</v>
      </c>
      <c r="N155" s="5">
        <f t="shared" si="5"/>
        <v>0</v>
      </c>
      <c r="O155" s="5">
        <f t="shared" si="6"/>
        <v>1007.518863</v>
      </c>
      <c r="P155" s="5">
        <f t="shared" si="9"/>
        <v>85498.03665</v>
      </c>
      <c r="Q155" s="5">
        <f t="shared" si="7"/>
        <v>7302.837803</v>
      </c>
      <c r="R155" s="5">
        <f t="shared" si="8"/>
        <v>78195.19885</v>
      </c>
    </row>
    <row r="156" ht="15.75" customHeight="1">
      <c r="A156" s="4">
        <v>2020.0</v>
      </c>
      <c r="B156" s="4">
        <v>506.0</v>
      </c>
      <c r="C156" s="4" t="s">
        <v>22</v>
      </c>
      <c r="D156" s="5">
        <v>12372.868675833703</v>
      </c>
      <c r="E156" s="5">
        <f t="shared" si="1"/>
        <v>0</v>
      </c>
      <c r="F156" s="5">
        <f t="shared" si="2"/>
        <v>12372.86868</v>
      </c>
      <c r="G156" s="5">
        <v>18717.993310299848</v>
      </c>
      <c r="H156" s="5">
        <v>12514.961910510425</v>
      </c>
      <c r="I156" s="5">
        <v>6203.031399789423</v>
      </c>
      <c r="J156" s="5">
        <v>13423.505182503708</v>
      </c>
      <c r="K156" s="5">
        <f t="shared" si="3"/>
        <v>13423.50518</v>
      </c>
      <c r="L156" s="5">
        <f t="shared" si="4"/>
        <v>0</v>
      </c>
      <c r="M156" s="5">
        <v>377.7373138889624</v>
      </c>
      <c r="N156" s="5">
        <f t="shared" si="5"/>
        <v>0</v>
      </c>
      <c r="O156" s="5">
        <f t="shared" si="6"/>
        <v>377.7373139</v>
      </c>
      <c r="P156" s="5">
        <f t="shared" si="9"/>
        <v>44892.10448</v>
      </c>
      <c r="Q156" s="5">
        <f t="shared" si="7"/>
        <v>18953.63739</v>
      </c>
      <c r="R156" s="5">
        <f t="shared" si="8"/>
        <v>25938.46709</v>
      </c>
    </row>
    <row r="157" ht="15.75" customHeight="1">
      <c r="A157" s="4">
        <v>2020.0</v>
      </c>
      <c r="B157" s="4">
        <v>507.0</v>
      </c>
      <c r="C157" s="4" t="s">
        <v>22</v>
      </c>
      <c r="D157" s="5" t="s">
        <v>19</v>
      </c>
      <c r="E157" s="5" t="str">
        <f t="shared" si="1"/>
        <v/>
      </c>
      <c r="F157" s="5" t="str">
        <f t="shared" si="2"/>
        <v/>
      </c>
      <c r="G157" s="5" t="s">
        <v>19</v>
      </c>
      <c r="H157" s="5" t="s">
        <v>19</v>
      </c>
      <c r="I157" s="5" t="s">
        <v>19</v>
      </c>
      <c r="J157" s="5">
        <v>0.0</v>
      </c>
      <c r="K157" s="5">
        <f t="shared" si="3"/>
        <v>0</v>
      </c>
      <c r="L157" s="5">
        <f t="shared" si="4"/>
        <v>0</v>
      </c>
      <c r="M157" s="5">
        <v>0.0</v>
      </c>
      <c r="N157" s="5">
        <f t="shared" si="5"/>
        <v>0</v>
      </c>
      <c r="O157" s="5">
        <f t="shared" si="6"/>
        <v>0</v>
      </c>
      <c r="P157" s="5">
        <f t="shared" si="9"/>
        <v>0</v>
      </c>
      <c r="Q157" s="5">
        <f t="shared" si="7"/>
        <v>0</v>
      </c>
      <c r="R157" s="5">
        <f t="shared" si="8"/>
        <v>0</v>
      </c>
    </row>
    <row r="158" ht="15.75" customHeight="1">
      <c r="A158" s="4">
        <v>2020.0</v>
      </c>
      <c r="B158" s="4">
        <v>508.0</v>
      </c>
      <c r="C158" s="4" t="s">
        <v>22</v>
      </c>
      <c r="D158" s="5" t="s">
        <v>19</v>
      </c>
      <c r="E158" s="5" t="str">
        <f t="shared" si="1"/>
        <v/>
      </c>
      <c r="F158" s="5" t="str">
        <f t="shared" si="2"/>
        <v/>
      </c>
      <c r="G158" s="5">
        <v>1970.9205288321457</v>
      </c>
      <c r="H158" s="5">
        <v>987.7609498582893</v>
      </c>
      <c r="I158" s="5">
        <v>983.1595789738564</v>
      </c>
      <c r="J158" s="5">
        <v>0.0</v>
      </c>
      <c r="K158" s="5">
        <f t="shared" si="3"/>
        <v>0</v>
      </c>
      <c r="L158" s="5">
        <f t="shared" si="4"/>
        <v>0</v>
      </c>
      <c r="M158" s="5">
        <v>24335.7593512436</v>
      </c>
      <c r="N158" s="5">
        <f t="shared" si="5"/>
        <v>0</v>
      </c>
      <c r="O158" s="5">
        <f t="shared" si="6"/>
        <v>24335.75935</v>
      </c>
      <c r="P158" s="5">
        <f t="shared" si="9"/>
        <v>26306.67988</v>
      </c>
      <c r="Q158" s="5">
        <f t="shared" si="7"/>
        <v>25318.91893</v>
      </c>
      <c r="R158" s="5">
        <f t="shared" si="8"/>
        <v>987.7609499</v>
      </c>
    </row>
    <row r="159" ht="15.75" customHeight="1">
      <c r="A159" s="4">
        <v>2020.0</v>
      </c>
      <c r="B159" s="4">
        <v>520.0</v>
      </c>
      <c r="C159" s="4" t="s">
        <v>22</v>
      </c>
      <c r="D159" s="5">
        <v>1012.6902238729367</v>
      </c>
      <c r="E159" s="5">
        <f t="shared" si="1"/>
        <v>0</v>
      </c>
      <c r="F159" s="5">
        <f t="shared" si="2"/>
        <v>1012.690224</v>
      </c>
      <c r="G159" s="5">
        <v>3224.7940948401456</v>
      </c>
      <c r="H159" s="5">
        <v>1236.234977617673</v>
      </c>
      <c r="I159" s="5">
        <v>1988.5591172224727</v>
      </c>
      <c r="J159" s="5">
        <v>3265.7918948825254</v>
      </c>
      <c r="K159" s="5">
        <f t="shared" si="3"/>
        <v>3265.791895</v>
      </c>
      <c r="L159" s="5">
        <f t="shared" si="4"/>
        <v>0</v>
      </c>
      <c r="M159" s="5">
        <v>176936.76437819836</v>
      </c>
      <c r="N159" s="5">
        <f t="shared" si="5"/>
        <v>0</v>
      </c>
      <c r="O159" s="5">
        <f t="shared" si="6"/>
        <v>176936.7644</v>
      </c>
      <c r="P159" s="5">
        <f t="shared" si="9"/>
        <v>184440.0406</v>
      </c>
      <c r="Q159" s="5">
        <f t="shared" si="7"/>
        <v>179938.0137</v>
      </c>
      <c r="R159" s="5">
        <f t="shared" si="8"/>
        <v>4502.026873</v>
      </c>
    </row>
    <row r="160" ht="15.75" customHeight="1">
      <c r="A160" s="4">
        <v>2020.0</v>
      </c>
      <c r="B160" s="4">
        <v>521.0</v>
      </c>
      <c r="C160" s="4" t="s">
        <v>22</v>
      </c>
      <c r="D160" s="5">
        <v>4935.110180101578</v>
      </c>
      <c r="E160" s="5">
        <f t="shared" si="1"/>
        <v>0</v>
      </c>
      <c r="F160" s="5">
        <f t="shared" si="2"/>
        <v>4935.11018</v>
      </c>
      <c r="G160" s="5">
        <v>4049.2063783010626</v>
      </c>
      <c r="H160" s="5">
        <v>1511.550335536249</v>
      </c>
      <c r="I160" s="5">
        <v>2537.6560427648137</v>
      </c>
      <c r="J160" s="5">
        <v>0.0</v>
      </c>
      <c r="K160" s="5">
        <f t="shared" si="3"/>
        <v>0</v>
      </c>
      <c r="L160" s="5">
        <f t="shared" si="4"/>
        <v>0</v>
      </c>
      <c r="M160" s="5">
        <v>22634.36204927753</v>
      </c>
      <c r="N160" s="5">
        <f t="shared" si="5"/>
        <v>0</v>
      </c>
      <c r="O160" s="5">
        <f t="shared" si="6"/>
        <v>22634.36205</v>
      </c>
      <c r="P160" s="5">
        <f t="shared" si="9"/>
        <v>31618.67861</v>
      </c>
      <c r="Q160" s="5">
        <f t="shared" si="7"/>
        <v>30107.12827</v>
      </c>
      <c r="R160" s="5">
        <f t="shared" si="8"/>
        <v>1511.550336</v>
      </c>
    </row>
    <row r="161" ht="15.75" customHeight="1">
      <c r="A161" s="4">
        <v>2020.0</v>
      </c>
      <c r="B161" s="4">
        <v>522.0</v>
      </c>
      <c r="C161" s="4" t="s">
        <v>22</v>
      </c>
      <c r="D161" s="5" t="s">
        <v>19</v>
      </c>
      <c r="E161" s="5" t="str">
        <f t="shared" si="1"/>
        <v/>
      </c>
      <c r="F161" s="5" t="str">
        <f t="shared" si="2"/>
        <v/>
      </c>
      <c r="G161" s="5" t="s">
        <v>19</v>
      </c>
      <c r="H161" s="5" t="s">
        <v>19</v>
      </c>
      <c r="I161" s="5" t="s">
        <v>19</v>
      </c>
      <c r="J161" s="5">
        <v>0.0</v>
      </c>
      <c r="K161" s="5">
        <f t="shared" si="3"/>
        <v>0</v>
      </c>
      <c r="L161" s="5">
        <f t="shared" si="4"/>
        <v>0</v>
      </c>
      <c r="M161" s="5">
        <v>3687.874402497813</v>
      </c>
      <c r="N161" s="5">
        <f t="shared" si="5"/>
        <v>0</v>
      </c>
      <c r="O161" s="5">
        <f t="shared" si="6"/>
        <v>3687.874402</v>
      </c>
      <c r="P161" s="5">
        <f t="shared" si="9"/>
        <v>3687.874402</v>
      </c>
      <c r="Q161" s="5">
        <f t="shared" si="7"/>
        <v>3687.874402</v>
      </c>
      <c r="R161" s="5">
        <f t="shared" si="8"/>
        <v>0</v>
      </c>
    </row>
    <row r="162" ht="15.75" customHeight="1">
      <c r="A162" s="4">
        <v>2020.0</v>
      </c>
      <c r="B162" s="4">
        <v>523.0</v>
      </c>
      <c r="C162" s="4" t="s">
        <v>22</v>
      </c>
      <c r="D162" s="5">
        <v>4884.977000701928</v>
      </c>
      <c r="E162" s="5">
        <f t="shared" si="1"/>
        <v>0</v>
      </c>
      <c r="F162" s="5">
        <f t="shared" si="2"/>
        <v>4884.977001</v>
      </c>
      <c r="G162" s="5" t="s">
        <v>19</v>
      </c>
      <c r="H162" s="5" t="s">
        <v>19</v>
      </c>
      <c r="I162" s="5" t="s">
        <v>19</v>
      </c>
      <c r="J162" s="5">
        <v>0.0</v>
      </c>
      <c r="K162" s="5">
        <f t="shared" si="3"/>
        <v>0</v>
      </c>
      <c r="L162" s="5">
        <f t="shared" si="4"/>
        <v>0</v>
      </c>
      <c r="M162" s="5">
        <v>36479.94818487934</v>
      </c>
      <c r="N162" s="5">
        <f t="shared" si="5"/>
        <v>0</v>
      </c>
      <c r="O162" s="5">
        <f t="shared" si="6"/>
        <v>36479.94818</v>
      </c>
      <c r="P162" s="5">
        <f t="shared" si="9"/>
        <v>41364.92519</v>
      </c>
      <c r="Q162" s="5">
        <f t="shared" si="7"/>
        <v>41364.92519</v>
      </c>
      <c r="R162" s="5">
        <f t="shared" si="8"/>
        <v>0</v>
      </c>
    </row>
    <row r="163" ht="15.75" customHeight="1">
      <c r="A163" s="4">
        <v>2020.0</v>
      </c>
      <c r="B163" s="4">
        <v>524.0</v>
      </c>
      <c r="C163" s="4" t="s">
        <v>22</v>
      </c>
      <c r="D163" s="5">
        <v>3376.569898925249</v>
      </c>
      <c r="E163" s="5">
        <f t="shared" si="1"/>
        <v>0</v>
      </c>
      <c r="F163" s="5">
        <f t="shared" si="2"/>
        <v>3376.569899</v>
      </c>
      <c r="G163" s="5">
        <v>7431.980873506742</v>
      </c>
      <c r="H163" s="5">
        <v>4652.13934319127</v>
      </c>
      <c r="I163" s="5">
        <v>2779.8415303154716</v>
      </c>
      <c r="J163" s="5">
        <v>3821.9877822623366</v>
      </c>
      <c r="K163" s="5">
        <f t="shared" si="3"/>
        <v>3821.987782</v>
      </c>
      <c r="L163" s="5">
        <f t="shared" si="4"/>
        <v>0</v>
      </c>
      <c r="M163" s="5">
        <v>104451.86939026034</v>
      </c>
      <c r="N163" s="5">
        <f t="shared" si="5"/>
        <v>0</v>
      </c>
      <c r="O163" s="5">
        <f t="shared" si="6"/>
        <v>104451.8694</v>
      </c>
      <c r="P163" s="5">
        <f t="shared" si="9"/>
        <v>119082.4079</v>
      </c>
      <c r="Q163" s="5">
        <f t="shared" si="7"/>
        <v>110608.2808</v>
      </c>
      <c r="R163" s="5">
        <f t="shared" si="8"/>
        <v>8474.127125</v>
      </c>
    </row>
    <row r="164" ht="15.75" customHeight="1">
      <c r="A164" s="4">
        <v>2020.0</v>
      </c>
      <c r="B164" s="4">
        <v>525.0</v>
      </c>
      <c r="C164" s="4" t="s">
        <v>22</v>
      </c>
      <c r="D164" s="5">
        <v>4670.406992871424</v>
      </c>
      <c r="E164" s="5">
        <f t="shared" si="1"/>
        <v>0</v>
      </c>
      <c r="F164" s="5">
        <f t="shared" si="2"/>
        <v>4670.406993</v>
      </c>
      <c r="G164" s="5">
        <v>2799.1672880300903</v>
      </c>
      <c r="H164" s="5">
        <v>1019.9705460493205</v>
      </c>
      <c r="I164" s="5">
        <v>1779.1967419807697</v>
      </c>
      <c r="J164" s="5">
        <v>0.0</v>
      </c>
      <c r="K164" s="5">
        <f t="shared" si="3"/>
        <v>0</v>
      </c>
      <c r="L164" s="5">
        <f t="shared" si="4"/>
        <v>0</v>
      </c>
      <c r="M164" s="5">
        <v>10579.277104667173</v>
      </c>
      <c r="N164" s="5">
        <f t="shared" si="5"/>
        <v>0</v>
      </c>
      <c r="O164" s="5">
        <f t="shared" si="6"/>
        <v>10579.2771</v>
      </c>
      <c r="P164" s="5">
        <f t="shared" si="9"/>
        <v>18048.85139</v>
      </c>
      <c r="Q164" s="5">
        <f t="shared" si="7"/>
        <v>17028.88084</v>
      </c>
      <c r="R164" s="5">
        <f t="shared" si="8"/>
        <v>1019.970546</v>
      </c>
    </row>
    <row r="165" ht="15.75" customHeight="1">
      <c r="A165" s="4">
        <v>2020.0</v>
      </c>
      <c r="B165" s="4">
        <v>526.0</v>
      </c>
      <c r="C165" s="4" t="s">
        <v>22</v>
      </c>
      <c r="D165" s="5">
        <v>3449.162742695943</v>
      </c>
      <c r="E165" s="5">
        <f t="shared" si="1"/>
        <v>0</v>
      </c>
      <c r="F165" s="5">
        <f t="shared" si="2"/>
        <v>3449.162743</v>
      </c>
      <c r="G165" s="5" t="s">
        <v>19</v>
      </c>
      <c r="H165" s="5" t="s">
        <v>19</v>
      </c>
      <c r="I165" s="5" t="s">
        <v>19</v>
      </c>
      <c r="J165" s="5">
        <v>0.0</v>
      </c>
      <c r="K165" s="5">
        <f t="shared" si="3"/>
        <v>0</v>
      </c>
      <c r="L165" s="5">
        <f t="shared" si="4"/>
        <v>0</v>
      </c>
      <c r="M165" s="5">
        <v>778.5073908199349</v>
      </c>
      <c r="N165" s="5">
        <f t="shared" si="5"/>
        <v>0</v>
      </c>
      <c r="O165" s="5">
        <f t="shared" si="6"/>
        <v>778.5073908</v>
      </c>
      <c r="P165" s="5">
        <f t="shared" si="9"/>
        <v>4227.670134</v>
      </c>
      <c r="Q165" s="5">
        <f t="shared" si="7"/>
        <v>4227.670134</v>
      </c>
      <c r="R165" s="5">
        <f t="shared" si="8"/>
        <v>0</v>
      </c>
    </row>
    <row r="166" ht="15.75" customHeight="1">
      <c r="A166" s="4">
        <v>2020.0</v>
      </c>
      <c r="B166" s="4">
        <v>527.0</v>
      </c>
      <c r="C166" s="4" t="s">
        <v>22</v>
      </c>
      <c r="D166" s="5" t="s">
        <v>19</v>
      </c>
      <c r="E166" s="5" t="str">
        <f t="shared" si="1"/>
        <v/>
      </c>
      <c r="F166" s="5" t="str">
        <f t="shared" si="2"/>
        <v/>
      </c>
      <c r="G166" s="5" t="s">
        <v>19</v>
      </c>
      <c r="H166" s="5" t="s">
        <v>19</v>
      </c>
      <c r="I166" s="5" t="s">
        <v>19</v>
      </c>
      <c r="J166" s="5">
        <v>0.0</v>
      </c>
      <c r="K166" s="5">
        <f t="shared" si="3"/>
        <v>0</v>
      </c>
      <c r="L166" s="5">
        <f t="shared" si="4"/>
        <v>0</v>
      </c>
      <c r="M166" s="5">
        <v>2559.9270923833865</v>
      </c>
      <c r="N166" s="5">
        <f t="shared" si="5"/>
        <v>0</v>
      </c>
      <c r="O166" s="5">
        <f t="shared" si="6"/>
        <v>2559.927092</v>
      </c>
      <c r="P166" s="5">
        <f t="shared" si="9"/>
        <v>2559.927092</v>
      </c>
      <c r="Q166" s="5">
        <f t="shared" si="7"/>
        <v>2559.927092</v>
      </c>
      <c r="R166" s="5">
        <f t="shared" si="8"/>
        <v>0</v>
      </c>
    </row>
    <row r="167" ht="15.75" customHeight="1">
      <c r="A167" s="4">
        <v>2020.0</v>
      </c>
      <c r="B167" s="4">
        <v>528.0</v>
      </c>
      <c r="C167" s="4" t="s">
        <v>22</v>
      </c>
      <c r="D167" s="5" t="s">
        <v>19</v>
      </c>
      <c r="E167" s="5" t="str">
        <f t="shared" si="1"/>
        <v/>
      </c>
      <c r="F167" s="5" t="str">
        <f t="shared" si="2"/>
        <v/>
      </c>
      <c r="G167" s="5" t="s">
        <v>19</v>
      </c>
      <c r="H167" s="5" t="s">
        <v>19</v>
      </c>
      <c r="I167" s="5" t="s">
        <v>19</v>
      </c>
      <c r="J167" s="5">
        <v>0.0</v>
      </c>
      <c r="K167" s="5">
        <f t="shared" si="3"/>
        <v>0</v>
      </c>
      <c r="L167" s="5">
        <f t="shared" si="4"/>
        <v>0</v>
      </c>
      <c r="M167" s="5">
        <v>5118.538026878658</v>
      </c>
      <c r="N167" s="5">
        <f t="shared" si="5"/>
        <v>0</v>
      </c>
      <c r="O167" s="5">
        <f t="shared" si="6"/>
        <v>5118.538027</v>
      </c>
      <c r="P167" s="5">
        <f t="shared" si="9"/>
        <v>5118.538027</v>
      </c>
      <c r="Q167" s="5">
        <f t="shared" si="7"/>
        <v>5118.538027</v>
      </c>
      <c r="R167" s="5">
        <f t="shared" si="8"/>
        <v>0</v>
      </c>
    </row>
    <row r="168" ht="15.75" customHeight="1">
      <c r="A168" s="4">
        <v>2019.0</v>
      </c>
      <c r="B168" s="4">
        <v>100.0</v>
      </c>
      <c r="C168" s="4" t="s">
        <v>18</v>
      </c>
      <c r="D168" s="5">
        <v>6257.2077303658725</v>
      </c>
      <c r="E168" s="5">
        <f t="shared" si="1"/>
        <v>0</v>
      </c>
      <c r="F168" s="5">
        <f t="shared" si="2"/>
        <v>6257.20773</v>
      </c>
      <c r="G168" s="5">
        <v>783.2222457674991</v>
      </c>
      <c r="H168" s="5">
        <v>472.80755753671053</v>
      </c>
      <c r="I168" s="5">
        <v>310.41468823078856</v>
      </c>
      <c r="J168" s="5">
        <v>8178.978286683694</v>
      </c>
      <c r="K168" s="5">
        <f t="shared" si="3"/>
        <v>8178.978287</v>
      </c>
      <c r="L168" s="5">
        <f t="shared" si="4"/>
        <v>0</v>
      </c>
      <c r="M168" s="5">
        <v>65445.409257490246</v>
      </c>
      <c r="N168" s="5">
        <f t="shared" si="5"/>
        <v>0</v>
      </c>
      <c r="O168" s="5">
        <f t="shared" si="6"/>
        <v>65445.40926</v>
      </c>
      <c r="P168" s="5">
        <f t="shared" si="9"/>
        <v>80664.81752</v>
      </c>
      <c r="Q168" s="5">
        <f t="shared" si="7"/>
        <v>72013.03168</v>
      </c>
      <c r="R168" s="5">
        <f t="shared" si="8"/>
        <v>8651.785844</v>
      </c>
    </row>
    <row r="169" ht="15.75" customHeight="1">
      <c r="A169" s="4">
        <v>2019.0</v>
      </c>
      <c r="B169" s="4">
        <v>101.0</v>
      </c>
      <c r="C169" s="4" t="s">
        <v>18</v>
      </c>
      <c r="D169" s="5">
        <v>14706.823985270717</v>
      </c>
      <c r="E169" s="5">
        <f t="shared" si="1"/>
        <v>0</v>
      </c>
      <c r="F169" s="5">
        <f t="shared" si="2"/>
        <v>14706.82399</v>
      </c>
      <c r="G169" s="5">
        <v>3688.170401960206</v>
      </c>
      <c r="H169" s="5">
        <v>1846.6001347967879</v>
      </c>
      <c r="I169" s="5">
        <v>1841.5702671634183</v>
      </c>
      <c r="J169" s="5">
        <v>275464.9048642217</v>
      </c>
      <c r="K169" s="5">
        <f t="shared" si="3"/>
        <v>275464.9049</v>
      </c>
      <c r="L169" s="5">
        <f t="shared" si="4"/>
        <v>0</v>
      </c>
      <c r="M169" s="5">
        <v>79485.86202065909</v>
      </c>
      <c r="N169" s="5">
        <f t="shared" si="5"/>
        <v>0</v>
      </c>
      <c r="O169" s="5">
        <f t="shared" si="6"/>
        <v>79485.86202</v>
      </c>
      <c r="P169" s="5">
        <f t="shared" si="9"/>
        <v>373345.7613</v>
      </c>
      <c r="Q169" s="5">
        <f t="shared" si="7"/>
        <v>96034.25627</v>
      </c>
      <c r="R169" s="5">
        <f t="shared" si="8"/>
        <v>277311.505</v>
      </c>
    </row>
    <row r="170" ht="15.75" customHeight="1">
      <c r="A170" s="4">
        <v>2019.0</v>
      </c>
      <c r="B170" s="4">
        <v>102.0</v>
      </c>
      <c r="C170" s="4" t="s">
        <v>18</v>
      </c>
      <c r="D170" s="5">
        <v>7886.9447229541</v>
      </c>
      <c r="E170" s="5">
        <f t="shared" si="1"/>
        <v>0</v>
      </c>
      <c r="F170" s="5">
        <f t="shared" si="2"/>
        <v>7886.944723</v>
      </c>
      <c r="G170" s="5">
        <v>5512.894604510277</v>
      </c>
      <c r="H170" s="5">
        <v>2313.5794330122926</v>
      </c>
      <c r="I170" s="5">
        <v>3199.315171497984</v>
      </c>
      <c r="J170" s="5">
        <v>12129.167606381765</v>
      </c>
      <c r="K170" s="5">
        <f t="shared" si="3"/>
        <v>12129.16761</v>
      </c>
      <c r="L170" s="5">
        <f t="shared" si="4"/>
        <v>0</v>
      </c>
      <c r="M170" s="5">
        <v>27070.786220652182</v>
      </c>
      <c r="N170" s="5">
        <f t="shared" si="5"/>
        <v>0</v>
      </c>
      <c r="O170" s="5">
        <f t="shared" si="6"/>
        <v>27070.78622</v>
      </c>
      <c r="P170" s="5">
        <f t="shared" si="9"/>
        <v>52599.79315</v>
      </c>
      <c r="Q170" s="5">
        <f t="shared" si="7"/>
        <v>38157.04612</v>
      </c>
      <c r="R170" s="5">
        <f t="shared" si="8"/>
        <v>14442.74704</v>
      </c>
    </row>
    <row r="171" ht="15.75" customHeight="1">
      <c r="A171" s="4">
        <v>2019.0</v>
      </c>
      <c r="B171" s="4">
        <v>103.0</v>
      </c>
      <c r="C171" s="4" t="s">
        <v>18</v>
      </c>
      <c r="D171" s="5" t="s">
        <v>19</v>
      </c>
      <c r="E171" s="5" t="str">
        <f t="shared" si="1"/>
        <v/>
      </c>
      <c r="F171" s="5" t="str">
        <f t="shared" si="2"/>
        <v/>
      </c>
      <c r="G171" s="5" t="s">
        <v>19</v>
      </c>
      <c r="H171" s="5" t="s">
        <v>19</v>
      </c>
      <c r="I171" s="5" t="s">
        <v>19</v>
      </c>
      <c r="J171" s="5">
        <v>0.0</v>
      </c>
      <c r="K171" s="5">
        <f t="shared" si="3"/>
        <v>0</v>
      </c>
      <c r="L171" s="5">
        <f t="shared" si="4"/>
        <v>0</v>
      </c>
      <c r="M171" s="5">
        <v>2877.6433774229654</v>
      </c>
      <c r="N171" s="5">
        <f t="shared" si="5"/>
        <v>0</v>
      </c>
      <c r="O171" s="5">
        <f t="shared" si="6"/>
        <v>2877.643377</v>
      </c>
      <c r="P171" s="5">
        <f t="shared" si="9"/>
        <v>2877.643377</v>
      </c>
      <c r="Q171" s="5">
        <f t="shared" si="7"/>
        <v>2877.643377</v>
      </c>
      <c r="R171" s="5">
        <f t="shared" si="8"/>
        <v>0</v>
      </c>
    </row>
    <row r="172" ht="15.75" customHeight="1">
      <c r="A172" s="4">
        <v>2019.0</v>
      </c>
      <c r="B172" s="4">
        <v>104.0</v>
      </c>
      <c r="C172" s="4" t="s">
        <v>18</v>
      </c>
      <c r="D172" s="5">
        <v>5072.357041006302</v>
      </c>
      <c r="E172" s="5">
        <f t="shared" si="1"/>
        <v>0</v>
      </c>
      <c r="F172" s="5">
        <f t="shared" si="2"/>
        <v>5072.357041</v>
      </c>
      <c r="G172" s="5" t="s">
        <v>19</v>
      </c>
      <c r="H172" s="5" t="s">
        <v>19</v>
      </c>
      <c r="I172" s="5" t="s">
        <v>19</v>
      </c>
      <c r="J172" s="5">
        <v>5870.510296107658</v>
      </c>
      <c r="K172" s="5">
        <f t="shared" si="3"/>
        <v>5870.510296</v>
      </c>
      <c r="L172" s="5">
        <f t="shared" si="4"/>
        <v>0</v>
      </c>
      <c r="M172" s="5">
        <v>103.12812414526874</v>
      </c>
      <c r="N172" s="5">
        <f t="shared" si="5"/>
        <v>0</v>
      </c>
      <c r="O172" s="5">
        <f t="shared" si="6"/>
        <v>103.1281241</v>
      </c>
      <c r="P172" s="5">
        <f t="shared" si="9"/>
        <v>11045.99546</v>
      </c>
      <c r="Q172" s="5">
        <f t="shared" si="7"/>
        <v>5175.485165</v>
      </c>
      <c r="R172" s="5">
        <f t="shared" si="8"/>
        <v>5870.510296</v>
      </c>
    </row>
    <row r="173" ht="15.75" customHeight="1">
      <c r="A173" s="4">
        <v>2019.0</v>
      </c>
      <c r="B173" s="4">
        <v>105.0</v>
      </c>
      <c r="C173" s="4" t="s">
        <v>18</v>
      </c>
      <c r="D173" s="5">
        <v>19836.016534554874</v>
      </c>
      <c r="E173" s="5">
        <f t="shared" si="1"/>
        <v>0</v>
      </c>
      <c r="F173" s="5">
        <f t="shared" si="2"/>
        <v>19836.01653</v>
      </c>
      <c r="G173" s="5">
        <v>2142.4840943089544</v>
      </c>
      <c r="H173" s="5">
        <v>847.8919724822467</v>
      </c>
      <c r="I173" s="5">
        <v>1294.5921218267076</v>
      </c>
      <c r="J173" s="5">
        <v>13208.353433875945</v>
      </c>
      <c r="K173" s="5">
        <f t="shared" si="3"/>
        <v>13208.35343</v>
      </c>
      <c r="L173" s="5">
        <f t="shared" si="4"/>
        <v>0</v>
      </c>
      <c r="M173" s="5">
        <v>15928.099668230854</v>
      </c>
      <c r="N173" s="5">
        <f t="shared" si="5"/>
        <v>0</v>
      </c>
      <c r="O173" s="5">
        <f t="shared" si="6"/>
        <v>15928.09967</v>
      </c>
      <c r="P173" s="5">
        <f t="shared" si="9"/>
        <v>51114.95373</v>
      </c>
      <c r="Q173" s="5">
        <f t="shared" si="7"/>
        <v>37058.70832</v>
      </c>
      <c r="R173" s="5">
        <f t="shared" si="8"/>
        <v>14056.24541</v>
      </c>
    </row>
    <row r="174" ht="15.75" customHeight="1">
      <c r="A174" s="4">
        <v>2019.0</v>
      </c>
      <c r="B174" s="4">
        <v>106.0</v>
      </c>
      <c r="C174" s="4" t="s">
        <v>18</v>
      </c>
      <c r="D174" s="5">
        <v>10067.943731279087</v>
      </c>
      <c r="E174" s="5">
        <f t="shared" si="1"/>
        <v>0</v>
      </c>
      <c r="F174" s="5">
        <f t="shared" si="2"/>
        <v>10067.94373</v>
      </c>
      <c r="G174" s="5">
        <v>2532.897629660949</v>
      </c>
      <c r="H174" s="5">
        <v>1275.6702388249848</v>
      </c>
      <c r="I174" s="5">
        <v>1257.2273908359641</v>
      </c>
      <c r="J174" s="5">
        <v>28385.67419682817</v>
      </c>
      <c r="K174" s="5">
        <f t="shared" si="3"/>
        <v>28385.6742</v>
      </c>
      <c r="L174" s="5">
        <f t="shared" si="4"/>
        <v>0</v>
      </c>
      <c r="M174" s="5">
        <v>38336.39970935152</v>
      </c>
      <c r="N174" s="5">
        <f t="shared" si="5"/>
        <v>0</v>
      </c>
      <c r="O174" s="5">
        <f t="shared" si="6"/>
        <v>38336.39971</v>
      </c>
      <c r="P174" s="5">
        <f t="shared" si="9"/>
        <v>79322.91527</v>
      </c>
      <c r="Q174" s="5">
        <f t="shared" si="7"/>
        <v>49661.57083</v>
      </c>
      <c r="R174" s="5">
        <f t="shared" si="8"/>
        <v>29661.34444</v>
      </c>
    </row>
    <row r="175" ht="15.75" customHeight="1">
      <c r="A175" s="4">
        <v>2019.0</v>
      </c>
      <c r="B175" s="4">
        <v>107.0</v>
      </c>
      <c r="C175" s="4" t="s">
        <v>18</v>
      </c>
      <c r="D175" s="5">
        <v>15247.185459494487</v>
      </c>
      <c r="E175" s="5">
        <f t="shared" si="1"/>
        <v>0</v>
      </c>
      <c r="F175" s="5">
        <f t="shared" si="2"/>
        <v>15247.18546</v>
      </c>
      <c r="G175" s="5" t="s">
        <v>19</v>
      </c>
      <c r="H175" s="5" t="s">
        <v>19</v>
      </c>
      <c r="I175" s="5" t="s">
        <v>19</v>
      </c>
      <c r="J175" s="5">
        <v>1877.6002955281917</v>
      </c>
      <c r="K175" s="5">
        <f t="shared" si="3"/>
        <v>1877.600296</v>
      </c>
      <c r="L175" s="5">
        <f t="shared" si="4"/>
        <v>0</v>
      </c>
      <c r="M175" s="5">
        <v>24431.97998101136</v>
      </c>
      <c r="N175" s="5">
        <f t="shared" si="5"/>
        <v>0</v>
      </c>
      <c r="O175" s="5">
        <f t="shared" si="6"/>
        <v>24431.97998</v>
      </c>
      <c r="P175" s="5">
        <f t="shared" si="9"/>
        <v>41556.76574</v>
      </c>
      <c r="Q175" s="5">
        <f t="shared" si="7"/>
        <v>39679.16544</v>
      </c>
      <c r="R175" s="5">
        <f t="shared" si="8"/>
        <v>1877.600296</v>
      </c>
    </row>
    <row r="176" ht="15.75" customHeight="1">
      <c r="A176" s="4">
        <v>2019.0</v>
      </c>
      <c r="B176" s="4">
        <v>108.0</v>
      </c>
      <c r="C176" s="4" t="s">
        <v>18</v>
      </c>
      <c r="D176" s="5">
        <v>17265.694294526595</v>
      </c>
      <c r="E176" s="5">
        <f t="shared" si="1"/>
        <v>0</v>
      </c>
      <c r="F176" s="5">
        <f t="shared" si="2"/>
        <v>17265.69429</v>
      </c>
      <c r="G176" s="5">
        <v>6278.951428989294</v>
      </c>
      <c r="H176" s="5">
        <v>3061.7522836837747</v>
      </c>
      <c r="I176" s="5">
        <v>3217.1991453055193</v>
      </c>
      <c r="J176" s="5">
        <v>2388.8833898822</v>
      </c>
      <c r="K176" s="5">
        <f t="shared" si="3"/>
        <v>2388.88339</v>
      </c>
      <c r="L176" s="5">
        <f t="shared" si="4"/>
        <v>0</v>
      </c>
      <c r="M176" s="5">
        <v>50091.21815878505</v>
      </c>
      <c r="N176" s="5">
        <f t="shared" si="5"/>
        <v>0</v>
      </c>
      <c r="O176" s="5">
        <f t="shared" si="6"/>
        <v>50091.21816</v>
      </c>
      <c r="P176" s="5">
        <f t="shared" si="9"/>
        <v>76024.74727</v>
      </c>
      <c r="Q176" s="5">
        <f t="shared" si="7"/>
        <v>70574.1116</v>
      </c>
      <c r="R176" s="5">
        <f t="shared" si="8"/>
        <v>5450.635674</v>
      </c>
    </row>
    <row r="177" ht="15.75" customHeight="1">
      <c r="A177" s="4">
        <v>2019.0</v>
      </c>
      <c r="B177" s="4">
        <v>120.0</v>
      </c>
      <c r="C177" s="4" t="s">
        <v>18</v>
      </c>
      <c r="D177" s="5">
        <v>11052.809777705765</v>
      </c>
      <c r="E177" s="5">
        <f t="shared" si="1"/>
        <v>0</v>
      </c>
      <c r="F177" s="5">
        <f t="shared" si="2"/>
        <v>11052.80978</v>
      </c>
      <c r="G177" s="5">
        <v>3579.9883282583755</v>
      </c>
      <c r="H177" s="5">
        <v>1052.9987970874156</v>
      </c>
      <c r="I177" s="5">
        <v>2526.9895311709597</v>
      </c>
      <c r="J177" s="5">
        <v>3181.8685774846554</v>
      </c>
      <c r="K177" s="5">
        <f t="shared" si="3"/>
        <v>3181.868577</v>
      </c>
      <c r="L177" s="5">
        <f t="shared" si="4"/>
        <v>0</v>
      </c>
      <c r="M177" s="5">
        <v>47217.61945968718</v>
      </c>
      <c r="N177" s="5">
        <f t="shared" si="5"/>
        <v>0</v>
      </c>
      <c r="O177" s="5">
        <f t="shared" si="6"/>
        <v>47217.61946</v>
      </c>
      <c r="P177" s="5">
        <f t="shared" si="9"/>
        <v>65032.28614</v>
      </c>
      <c r="Q177" s="5">
        <f t="shared" si="7"/>
        <v>60797.41877</v>
      </c>
      <c r="R177" s="5">
        <f t="shared" si="8"/>
        <v>4234.867375</v>
      </c>
    </row>
    <row r="178" ht="15.75" customHeight="1">
      <c r="A178" s="4">
        <v>2019.0</v>
      </c>
      <c r="B178" s="4">
        <v>121.0</v>
      </c>
      <c r="C178" s="4" t="s">
        <v>18</v>
      </c>
      <c r="D178" s="5">
        <v>37334.86365669592</v>
      </c>
      <c r="E178" s="5">
        <f t="shared" si="1"/>
        <v>0</v>
      </c>
      <c r="F178" s="5">
        <f t="shared" si="2"/>
        <v>37334.86366</v>
      </c>
      <c r="G178" s="5">
        <v>9682.495194235828</v>
      </c>
      <c r="H178" s="5">
        <v>3349.1732913048754</v>
      </c>
      <c r="I178" s="5">
        <v>6333.321902930952</v>
      </c>
      <c r="J178" s="5">
        <v>41848.95561531013</v>
      </c>
      <c r="K178" s="5">
        <f t="shared" si="3"/>
        <v>41848.95562</v>
      </c>
      <c r="L178" s="5">
        <f t="shared" si="4"/>
        <v>0</v>
      </c>
      <c r="M178" s="5">
        <v>740563.718702703</v>
      </c>
      <c r="N178" s="5">
        <f t="shared" si="5"/>
        <v>0</v>
      </c>
      <c r="O178" s="5">
        <f t="shared" si="6"/>
        <v>740563.7187</v>
      </c>
      <c r="P178" s="5">
        <f t="shared" si="9"/>
        <v>829430.0332</v>
      </c>
      <c r="Q178" s="5">
        <f t="shared" si="7"/>
        <v>784231.9043</v>
      </c>
      <c r="R178" s="5">
        <f t="shared" si="8"/>
        <v>45198.12891</v>
      </c>
    </row>
    <row r="179" ht="15.75" customHeight="1">
      <c r="A179" s="4">
        <v>2019.0</v>
      </c>
      <c r="B179" s="4">
        <v>122.0</v>
      </c>
      <c r="C179" s="4" t="s">
        <v>18</v>
      </c>
      <c r="D179" s="5">
        <v>38956.49946862663</v>
      </c>
      <c r="E179" s="5">
        <f t="shared" si="1"/>
        <v>0</v>
      </c>
      <c r="F179" s="5">
        <f t="shared" si="2"/>
        <v>38956.49947</v>
      </c>
      <c r="G179" s="5">
        <v>11760.708757673952</v>
      </c>
      <c r="H179" s="5">
        <v>4308.04170839638</v>
      </c>
      <c r="I179" s="5">
        <v>7452.667049277572</v>
      </c>
      <c r="J179" s="5">
        <v>2204.5980998055734</v>
      </c>
      <c r="K179" s="5">
        <f t="shared" si="3"/>
        <v>2204.5981</v>
      </c>
      <c r="L179" s="5">
        <f t="shared" si="4"/>
        <v>0</v>
      </c>
      <c r="M179" s="5">
        <v>131965.61915443384</v>
      </c>
      <c r="N179" s="5">
        <f t="shared" si="5"/>
        <v>0</v>
      </c>
      <c r="O179" s="5">
        <f t="shared" si="6"/>
        <v>131965.6192</v>
      </c>
      <c r="P179" s="5">
        <f t="shared" si="9"/>
        <v>184887.4255</v>
      </c>
      <c r="Q179" s="5">
        <f t="shared" si="7"/>
        <v>178374.7857</v>
      </c>
      <c r="R179" s="5">
        <f t="shared" si="8"/>
        <v>6512.639808</v>
      </c>
    </row>
    <row r="180" ht="15.75" customHeight="1">
      <c r="A180" s="4">
        <v>2019.0</v>
      </c>
      <c r="B180" s="4">
        <v>123.0</v>
      </c>
      <c r="C180" s="4" t="s">
        <v>18</v>
      </c>
      <c r="D180" s="5" t="s">
        <v>19</v>
      </c>
      <c r="E180" s="5" t="str">
        <f t="shared" si="1"/>
        <v/>
      </c>
      <c r="F180" s="5" t="str">
        <f t="shared" si="2"/>
        <v/>
      </c>
      <c r="G180" s="5" t="s">
        <v>19</v>
      </c>
      <c r="H180" s="5" t="s">
        <v>19</v>
      </c>
      <c r="I180" s="5" t="s">
        <v>19</v>
      </c>
      <c r="J180" s="5">
        <v>0.0</v>
      </c>
      <c r="K180" s="5">
        <f t="shared" si="3"/>
        <v>0</v>
      </c>
      <c r="L180" s="5">
        <f t="shared" si="4"/>
        <v>0</v>
      </c>
      <c r="M180" s="5">
        <v>3792.7239156133783</v>
      </c>
      <c r="N180" s="5">
        <f t="shared" si="5"/>
        <v>0</v>
      </c>
      <c r="O180" s="5">
        <f t="shared" si="6"/>
        <v>3792.723916</v>
      </c>
      <c r="P180" s="5">
        <f t="shared" si="9"/>
        <v>3792.723916</v>
      </c>
      <c r="Q180" s="5">
        <f t="shared" si="7"/>
        <v>3792.723916</v>
      </c>
      <c r="R180" s="5">
        <f t="shared" si="8"/>
        <v>0</v>
      </c>
    </row>
    <row r="181" ht="15.75" customHeight="1">
      <c r="A181" s="4">
        <v>2019.0</v>
      </c>
      <c r="B181" s="4">
        <v>124.0</v>
      </c>
      <c r="C181" s="4" t="s">
        <v>18</v>
      </c>
      <c r="D181" s="5" t="s">
        <v>19</v>
      </c>
      <c r="E181" s="5" t="str">
        <f t="shared" si="1"/>
        <v/>
      </c>
      <c r="F181" s="5" t="str">
        <f t="shared" si="2"/>
        <v/>
      </c>
      <c r="G181" s="5" t="s">
        <v>19</v>
      </c>
      <c r="H181" s="5" t="s">
        <v>19</v>
      </c>
      <c r="I181" s="5" t="s">
        <v>19</v>
      </c>
      <c r="J181" s="5">
        <v>0.0</v>
      </c>
      <c r="K181" s="5">
        <f t="shared" si="3"/>
        <v>0</v>
      </c>
      <c r="L181" s="5">
        <f t="shared" si="4"/>
        <v>0</v>
      </c>
      <c r="M181" s="5">
        <v>37391.855588997394</v>
      </c>
      <c r="N181" s="5">
        <f t="shared" si="5"/>
        <v>0</v>
      </c>
      <c r="O181" s="5">
        <f t="shared" si="6"/>
        <v>37391.85559</v>
      </c>
      <c r="P181" s="5">
        <f t="shared" si="9"/>
        <v>37391.85559</v>
      </c>
      <c r="Q181" s="5">
        <f t="shared" si="7"/>
        <v>37391.85559</v>
      </c>
      <c r="R181" s="5">
        <f t="shared" si="8"/>
        <v>0</v>
      </c>
    </row>
    <row r="182" ht="15.75" customHeight="1">
      <c r="A182" s="4">
        <v>2019.0</v>
      </c>
      <c r="B182" s="4">
        <v>125.0</v>
      </c>
      <c r="C182" s="4" t="s">
        <v>18</v>
      </c>
      <c r="D182" s="5">
        <v>9229.45032594709</v>
      </c>
      <c r="E182" s="5">
        <f t="shared" si="1"/>
        <v>0</v>
      </c>
      <c r="F182" s="5">
        <f t="shared" si="2"/>
        <v>9229.450326</v>
      </c>
      <c r="G182" s="5">
        <v>4308.121547565163</v>
      </c>
      <c r="H182" s="5">
        <v>2854.6494798590143</v>
      </c>
      <c r="I182" s="5">
        <v>1453.4720677061491</v>
      </c>
      <c r="J182" s="5">
        <v>3714.5585489687774</v>
      </c>
      <c r="K182" s="5">
        <f t="shared" si="3"/>
        <v>3714.558549</v>
      </c>
      <c r="L182" s="5">
        <f t="shared" si="4"/>
        <v>0</v>
      </c>
      <c r="M182" s="5">
        <v>210987.30405813828</v>
      </c>
      <c r="N182" s="5">
        <f t="shared" si="5"/>
        <v>0</v>
      </c>
      <c r="O182" s="5">
        <f t="shared" si="6"/>
        <v>210987.3041</v>
      </c>
      <c r="P182" s="5">
        <f t="shared" si="9"/>
        <v>228239.4345</v>
      </c>
      <c r="Q182" s="5">
        <f t="shared" si="7"/>
        <v>221670.2265</v>
      </c>
      <c r="R182" s="5">
        <f t="shared" si="8"/>
        <v>6569.208029</v>
      </c>
    </row>
    <row r="183" ht="15.75" customHeight="1">
      <c r="A183" s="4">
        <v>2019.0</v>
      </c>
      <c r="B183" s="4">
        <v>126.0</v>
      </c>
      <c r="C183" s="4" t="s">
        <v>18</v>
      </c>
      <c r="D183" s="5">
        <v>2848.6889869145098</v>
      </c>
      <c r="E183" s="5">
        <f t="shared" si="1"/>
        <v>0</v>
      </c>
      <c r="F183" s="5">
        <f t="shared" si="2"/>
        <v>2848.688987</v>
      </c>
      <c r="G183" s="5">
        <v>3678.1905058622515</v>
      </c>
      <c r="H183" s="5">
        <v>2035.7391256452286</v>
      </c>
      <c r="I183" s="5">
        <v>1642.451380217023</v>
      </c>
      <c r="J183" s="5">
        <v>367.95009096107657</v>
      </c>
      <c r="K183" s="5">
        <f t="shared" si="3"/>
        <v>367.950091</v>
      </c>
      <c r="L183" s="5">
        <f t="shared" si="4"/>
        <v>0</v>
      </c>
      <c r="M183" s="5">
        <v>98415.93981880354</v>
      </c>
      <c r="N183" s="5">
        <f t="shared" si="5"/>
        <v>0</v>
      </c>
      <c r="O183" s="5">
        <f t="shared" si="6"/>
        <v>98415.93982</v>
      </c>
      <c r="P183" s="5">
        <f t="shared" si="9"/>
        <v>105310.7694</v>
      </c>
      <c r="Q183" s="5">
        <f t="shared" si="7"/>
        <v>102907.0802</v>
      </c>
      <c r="R183" s="5">
        <f t="shared" si="8"/>
        <v>2403.689217</v>
      </c>
    </row>
    <row r="184" ht="15.75" customHeight="1">
      <c r="A184" s="4">
        <v>2019.0</v>
      </c>
      <c r="B184" s="4">
        <v>127.0</v>
      </c>
      <c r="C184" s="4" t="s">
        <v>18</v>
      </c>
      <c r="D184" s="5">
        <v>3111.1078598362096</v>
      </c>
      <c r="E184" s="5">
        <f t="shared" si="1"/>
        <v>0</v>
      </c>
      <c r="F184" s="5">
        <f t="shared" si="2"/>
        <v>3111.10786</v>
      </c>
      <c r="G184" s="5">
        <v>399.59503976211346</v>
      </c>
      <c r="H184" s="5">
        <v>143.39114713541574</v>
      </c>
      <c r="I184" s="5">
        <v>256.2038926266977</v>
      </c>
      <c r="J184" s="5">
        <v>0.0</v>
      </c>
      <c r="K184" s="5">
        <f t="shared" si="3"/>
        <v>0</v>
      </c>
      <c r="L184" s="5">
        <f t="shared" si="4"/>
        <v>0</v>
      </c>
      <c r="M184" s="5">
        <v>19585.405071965513</v>
      </c>
      <c r="N184" s="5">
        <f t="shared" si="5"/>
        <v>0</v>
      </c>
      <c r="O184" s="5">
        <f t="shared" si="6"/>
        <v>19585.40507</v>
      </c>
      <c r="P184" s="5">
        <f t="shared" si="9"/>
        <v>23096.10797</v>
      </c>
      <c r="Q184" s="5">
        <f t="shared" si="7"/>
        <v>22952.71682</v>
      </c>
      <c r="R184" s="5">
        <f t="shared" si="8"/>
        <v>143.3911471</v>
      </c>
    </row>
    <row r="185" ht="15.75" customHeight="1">
      <c r="A185" s="4">
        <v>2019.0</v>
      </c>
      <c r="B185" s="4">
        <v>128.0</v>
      </c>
      <c r="C185" s="4" t="s">
        <v>18</v>
      </c>
      <c r="D185" s="5">
        <v>10075.15420620986</v>
      </c>
      <c r="E185" s="5">
        <f t="shared" si="1"/>
        <v>0</v>
      </c>
      <c r="F185" s="5">
        <f t="shared" si="2"/>
        <v>10075.15421</v>
      </c>
      <c r="G185" s="5">
        <v>3839.465626805202</v>
      </c>
      <c r="H185" s="5">
        <v>2442.3600122603025</v>
      </c>
      <c r="I185" s="5">
        <v>1397.1056145448997</v>
      </c>
      <c r="J185" s="5">
        <v>0.0</v>
      </c>
      <c r="K185" s="5">
        <f t="shared" si="3"/>
        <v>0</v>
      </c>
      <c r="L185" s="5">
        <f t="shared" si="4"/>
        <v>0</v>
      </c>
      <c r="M185" s="5">
        <v>62821.16162519087</v>
      </c>
      <c r="N185" s="5">
        <f t="shared" si="5"/>
        <v>0</v>
      </c>
      <c r="O185" s="5">
        <f t="shared" si="6"/>
        <v>62821.16163</v>
      </c>
      <c r="P185" s="5">
        <f t="shared" si="9"/>
        <v>76735.78146</v>
      </c>
      <c r="Q185" s="5">
        <f t="shared" si="7"/>
        <v>74293.42145</v>
      </c>
      <c r="R185" s="5">
        <f t="shared" si="8"/>
        <v>2442.360012</v>
      </c>
    </row>
    <row r="186" ht="15.75" customHeight="1">
      <c r="A186" s="4">
        <v>2019.0</v>
      </c>
      <c r="B186" s="4">
        <v>300.0</v>
      </c>
      <c r="C186" s="4" t="s">
        <v>20</v>
      </c>
      <c r="D186" s="5" t="s">
        <v>19</v>
      </c>
      <c r="E186" s="5" t="str">
        <f t="shared" si="1"/>
        <v/>
      </c>
      <c r="F186" s="5" t="str">
        <f t="shared" si="2"/>
        <v/>
      </c>
      <c r="G186" s="5">
        <v>7868.621959149651</v>
      </c>
      <c r="H186" s="5">
        <v>4655.784245393202</v>
      </c>
      <c r="I186" s="5">
        <v>3212.8377137564494</v>
      </c>
      <c r="J186" s="5">
        <v>101485.07093392618</v>
      </c>
      <c r="K186" s="5">
        <f t="shared" si="3"/>
        <v>101485.0709</v>
      </c>
      <c r="L186" s="5">
        <f t="shared" si="4"/>
        <v>0</v>
      </c>
      <c r="M186" s="5">
        <v>3761.596402729594</v>
      </c>
      <c r="N186" s="5">
        <f t="shared" si="5"/>
        <v>0</v>
      </c>
      <c r="O186" s="5">
        <f t="shared" si="6"/>
        <v>3761.596403</v>
      </c>
      <c r="P186" s="5">
        <f t="shared" si="9"/>
        <v>113115.2893</v>
      </c>
      <c r="Q186" s="5">
        <f t="shared" si="7"/>
        <v>6974.434116</v>
      </c>
      <c r="R186" s="5">
        <f t="shared" si="8"/>
        <v>106140.8552</v>
      </c>
    </row>
    <row r="187" ht="15.75" customHeight="1">
      <c r="A187" s="4">
        <v>2019.0</v>
      </c>
      <c r="B187" s="4">
        <v>301.0</v>
      </c>
      <c r="C187" s="4" t="s">
        <v>20</v>
      </c>
      <c r="D187" s="5" t="s">
        <v>19</v>
      </c>
      <c r="E187" s="5" t="str">
        <f t="shared" si="1"/>
        <v/>
      </c>
      <c r="F187" s="5" t="str">
        <f t="shared" si="2"/>
        <v/>
      </c>
      <c r="G187" s="5">
        <v>1276.2009089522803</v>
      </c>
      <c r="H187" s="5">
        <v>364.298750714803</v>
      </c>
      <c r="I187" s="5">
        <v>911.9021582374774</v>
      </c>
      <c r="J187" s="5">
        <v>185.37873956214196</v>
      </c>
      <c r="K187" s="5">
        <f t="shared" si="3"/>
        <v>185.3787396</v>
      </c>
      <c r="L187" s="5">
        <f t="shared" si="4"/>
        <v>0</v>
      </c>
      <c r="M187" s="5">
        <v>0.0</v>
      </c>
      <c r="N187" s="5">
        <f t="shared" si="5"/>
        <v>0</v>
      </c>
      <c r="O187" s="5">
        <f t="shared" si="6"/>
        <v>0</v>
      </c>
      <c r="P187" s="5">
        <f t="shared" si="9"/>
        <v>1461.579649</v>
      </c>
      <c r="Q187" s="5">
        <f t="shared" si="7"/>
        <v>911.9021582</v>
      </c>
      <c r="R187" s="5">
        <f t="shared" si="8"/>
        <v>549.6774903</v>
      </c>
    </row>
    <row r="188" ht="15.75" customHeight="1">
      <c r="A188" s="4">
        <v>2019.0</v>
      </c>
      <c r="B188" s="4">
        <v>302.0</v>
      </c>
      <c r="C188" s="4" t="s">
        <v>20</v>
      </c>
      <c r="D188" s="5">
        <v>9611.770274040777</v>
      </c>
      <c r="E188" s="5">
        <f t="shared" si="1"/>
        <v>0</v>
      </c>
      <c r="F188" s="5">
        <f t="shared" si="2"/>
        <v>9611.770274</v>
      </c>
      <c r="G188" s="5">
        <v>666.9824907378845</v>
      </c>
      <c r="H188" s="5">
        <v>419.9062978640816</v>
      </c>
      <c r="I188" s="5">
        <v>247.07619287380294</v>
      </c>
      <c r="J188" s="5">
        <v>22581.63890385768</v>
      </c>
      <c r="K188" s="5">
        <f t="shared" si="3"/>
        <v>22581.6389</v>
      </c>
      <c r="L188" s="5">
        <f t="shared" si="4"/>
        <v>0</v>
      </c>
      <c r="M188" s="5">
        <v>1359.1837450067746</v>
      </c>
      <c r="N188" s="5">
        <f t="shared" si="5"/>
        <v>0</v>
      </c>
      <c r="O188" s="5">
        <f t="shared" si="6"/>
        <v>1359.183745</v>
      </c>
      <c r="P188" s="5">
        <f t="shared" si="9"/>
        <v>34219.57541</v>
      </c>
      <c r="Q188" s="5">
        <f t="shared" si="7"/>
        <v>11218.03021</v>
      </c>
      <c r="R188" s="5">
        <f t="shared" si="8"/>
        <v>23001.5452</v>
      </c>
    </row>
    <row r="189" ht="15.75" customHeight="1">
      <c r="A189" s="4">
        <v>2019.0</v>
      </c>
      <c r="B189" s="4">
        <v>303.0</v>
      </c>
      <c r="C189" s="4" t="s">
        <v>20</v>
      </c>
      <c r="D189" s="5">
        <v>2082.8737410073436</v>
      </c>
      <c r="E189" s="5">
        <f t="shared" si="1"/>
        <v>0</v>
      </c>
      <c r="F189" s="5">
        <f t="shared" si="2"/>
        <v>2082.873741</v>
      </c>
      <c r="G189" s="5" t="s">
        <v>19</v>
      </c>
      <c r="H189" s="5" t="s">
        <v>19</v>
      </c>
      <c r="I189" s="5" t="s">
        <v>19</v>
      </c>
      <c r="J189" s="5">
        <v>520.0393684086491</v>
      </c>
      <c r="K189" s="5">
        <f t="shared" si="3"/>
        <v>520.0393684</v>
      </c>
      <c r="L189" s="5">
        <f t="shared" si="4"/>
        <v>0</v>
      </c>
      <c r="M189" s="5">
        <v>999.0385836570881</v>
      </c>
      <c r="N189" s="5">
        <f t="shared" si="5"/>
        <v>0</v>
      </c>
      <c r="O189" s="5">
        <f t="shared" si="6"/>
        <v>999.0385837</v>
      </c>
      <c r="P189" s="5">
        <f t="shared" si="9"/>
        <v>3601.951693</v>
      </c>
      <c r="Q189" s="5">
        <f t="shared" si="7"/>
        <v>3081.912325</v>
      </c>
      <c r="R189" s="5">
        <f t="shared" si="8"/>
        <v>520.0393684</v>
      </c>
    </row>
    <row r="190" ht="15.75" customHeight="1">
      <c r="A190" s="4">
        <v>2019.0</v>
      </c>
      <c r="B190" s="4">
        <v>304.0</v>
      </c>
      <c r="C190" s="4" t="s">
        <v>20</v>
      </c>
      <c r="D190" s="5">
        <v>3764.448266516716</v>
      </c>
      <c r="E190" s="5">
        <f t="shared" si="1"/>
        <v>0</v>
      </c>
      <c r="F190" s="5">
        <f t="shared" si="2"/>
        <v>3764.448267</v>
      </c>
      <c r="G190" s="5">
        <v>2099.916583137231</v>
      </c>
      <c r="H190" s="5">
        <v>638.3315107662343</v>
      </c>
      <c r="I190" s="5">
        <v>1461.5850723709968</v>
      </c>
      <c r="J190" s="5">
        <v>13811.633813912062</v>
      </c>
      <c r="K190" s="5">
        <f t="shared" si="3"/>
        <v>13811.63381</v>
      </c>
      <c r="L190" s="5">
        <f t="shared" si="4"/>
        <v>0</v>
      </c>
      <c r="M190" s="5">
        <v>2496.7535918309695</v>
      </c>
      <c r="N190" s="5">
        <f t="shared" si="5"/>
        <v>0</v>
      </c>
      <c r="O190" s="5">
        <f t="shared" si="6"/>
        <v>2496.753592</v>
      </c>
      <c r="P190" s="5">
        <f t="shared" si="9"/>
        <v>22172.75226</v>
      </c>
      <c r="Q190" s="5">
        <f t="shared" si="7"/>
        <v>7722.786931</v>
      </c>
      <c r="R190" s="5">
        <f t="shared" si="8"/>
        <v>14449.96532</v>
      </c>
    </row>
    <row r="191" ht="15.75" customHeight="1">
      <c r="A191" s="4">
        <v>2019.0</v>
      </c>
      <c r="B191" s="4">
        <v>305.0</v>
      </c>
      <c r="C191" s="4" t="s">
        <v>20</v>
      </c>
      <c r="D191" s="5">
        <v>16460.019452081324</v>
      </c>
      <c r="E191" s="5">
        <f t="shared" si="1"/>
        <v>0</v>
      </c>
      <c r="F191" s="5">
        <f t="shared" si="2"/>
        <v>16460.01945</v>
      </c>
      <c r="G191" s="5">
        <v>3125.0363235207474</v>
      </c>
      <c r="H191" s="5">
        <v>1794.8452614498458</v>
      </c>
      <c r="I191" s="5">
        <v>1330.1910620709016</v>
      </c>
      <c r="J191" s="5">
        <v>1521.2681053507129</v>
      </c>
      <c r="K191" s="5">
        <f t="shared" si="3"/>
        <v>1521.268105</v>
      </c>
      <c r="L191" s="5">
        <f t="shared" si="4"/>
        <v>0</v>
      </c>
      <c r="M191" s="5">
        <v>7229.874980969771</v>
      </c>
      <c r="N191" s="5">
        <f t="shared" si="5"/>
        <v>0</v>
      </c>
      <c r="O191" s="5">
        <f t="shared" si="6"/>
        <v>7229.874981</v>
      </c>
      <c r="P191" s="5">
        <f t="shared" si="9"/>
        <v>28336.19886</v>
      </c>
      <c r="Q191" s="5">
        <f t="shared" si="7"/>
        <v>25020.0855</v>
      </c>
      <c r="R191" s="5">
        <f t="shared" si="8"/>
        <v>3316.113367</v>
      </c>
    </row>
    <row r="192" ht="15.75" customHeight="1">
      <c r="A192" s="4">
        <v>2019.0</v>
      </c>
      <c r="B192" s="4">
        <v>306.0</v>
      </c>
      <c r="C192" s="4" t="s">
        <v>20</v>
      </c>
      <c r="D192" s="5" t="s">
        <v>19</v>
      </c>
      <c r="E192" s="5" t="str">
        <f t="shared" si="1"/>
        <v/>
      </c>
      <c r="F192" s="5" t="str">
        <f t="shared" si="2"/>
        <v/>
      </c>
      <c r="G192" s="5" t="s">
        <v>19</v>
      </c>
      <c r="H192" s="5" t="s">
        <v>19</v>
      </c>
      <c r="I192" s="5" t="s">
        <v>19</v>
      </c>
      <c r="J192" s="5">
        <v>0.0</v>
      </c>
      <c r="K192" s="5">
        <f t="shared" si="3"/>
        <v>0</v>
      </c>
      <c r="L192" s="5">
        <f t="shared" si="4"/>
        <v>0</v>
      </c>
      <c r="M192" s="5">
        <v>1245.0956338804535</v>
      </c>
      <c r="N192" s="5">
        <f t="shared" si="5"/>
        <v>0</v>
      </c>
      <c r="O192" s="5">
        <f t="shared" si="6"/>
        <v>1245.095634</v>
      </c>
      <c r="P192" s="5">
        <f t="shared" si="9"/>
        <v>1245.095634</v>
      </c>
      <c r="Q192" s="5">
        <f t="shared" si="7"/>
        <v>1245.095634</v>
      </c>
      <c r="R192" s="5">
        <f t="shared" si="8"/>
        <v>0</v>
      </c>
    </row>
    <row r="193" ht="15.75" customHeight="1">
      <c r="A193" s="4">
        <v>2019.0</v>
      </c>
      <c r="B193" s="4">
        <v>307.0</v>
      </c>
      <c r="C193" s="4" t="s">
        <v>20</v>
      </c>
      <c r="D193" s="5" t="s">
        <v>19</v>
      </c>
      <c r="E193" s="5" t="str">
        <f t="shared" si="1"/>
        <v/>
      </c>
      <c r="F193" s="5" t="str">
        <f t="shared" si="2"/>
        <v/>
      </c>
      <c r="G193" s="5" t="s">
        <v>19</v>
      </c>
      <c r="H193" s="5" t="s">
        <v>19</v>
      </c>
      <c r="I193" s="5" t="s">
        <v>19</v>
      </c>
      <c r="J193" s="5">
        <v>0.0</v>
      </c>
      <c r="K193" s="5">
        <f t="shared" si="3"/>
        <v>0</v>
      </c>
      <c r="L193" s="5">
        <f t="shared" si="4"/>
        <v>0</v>
      </c>
      <c r="M193" s="5">
        <v>0.0</v>
      </c>
      <c r="N193" s="5">
        <f t="shared" si="5"/>
        <v>0</v>
      </c>
      <c r="O193" s="5">
        <f t="shared" si="6"/>
        <v>0</v>
      </c>
      <c r="P193" s="5">
        <f t="shared" si="9"/>
        <v>0</v>
      </c>
      <c r="Q193" s="5">
        <f t="shared" si="7"/>
        <v>0</v>
      </c>
      <c r="R193" s="5">
        <f t="shared" si="8"/>
        <v>0</v>
      </c>
    </row>
    <row r="194" ht="15.75" customHeight="1">
      <c r="A194" s="4">
        <v>2019.0</v>
      </c>
      <c r="B194" s="4">
        <v>308.0</v>
      </c>
      <c r="C194" s="4" t="s">
        <v>20</v>
      </c>
      <c r="D194" s="5">
        <v>2247.4443972052495</v>
      </c>
      <c r="E194" s="5">
        <f t="shared" si="1"/>
        <v>0</v>
      </c>
      <c r="F194" s="5">
        <f t="shared" si="2"/>
        <v>2247.444397</v>
      </c>
      <c r="G194" s="5">
        <v>17446.290277360924</v>
      </c>
      <c r="H194" s="5">
        <v>4462.236093057831</v>
      </c>
      <c r="I194" s="5">
        <v>12984.054184303093</v>
      </c>
      <c r="J194" s="5">
        <v>1077.0933036275608</v>
      </c>
      <c r="K194" s="5">
        <f t="shared" si="3"/>
        <v>1077.093304</v>
      </c>
      <c r="L194" s="5">
        <f t="shared" si="4"/>
        <v>0</v>
      </c>
      <c r="M194" s="5">
        <v>10694.66168034698</v>
      </c>
      <c r="N194" s="5">
        <f t="shared" si="5"/>
        <v>0</v>
      </c>
      <c r="O194" s="5">
        <f t="shared" si="6"/>
        <v>10694.66168</v>
      </c>
      <c r="P194" s="5">
        <f t="shared" si="9"/>
        <v>31465.48966</v>
      </c>
      <c r="Q194" s="5">
        <f t="shared" si="7"/>
        <v>25926.16026</v>
      </c>
      <c r="R194" s="5">
        <f t="shared" si="8"/>
        <v>5539.329397</v>
      </c>
    </row>
    <row r="195" ht="15.75" customHeight="1">
      <c r="A195" s="4">
        <v>2019.0</v>
      </c>
      <c r="B195" s="4">
        <v>309.0</v>
      </c>
      <c r="C195" s="4" t="s">
        <v>20</v>
      </c>
      <c r="D195" s="5" t="s">
        <v>19</v>
      </c>
      <c r="E195" s="5" t="str">
        <f t="shared" si="1"/>
        <v/>
      </c>
      <c r="F195" s="5" t="str">
        <f t="shared" si="2"/>
        <v/>
      </c>
      <c r="G195" s="5" t="s">
        <v>19</v>
      </c>
      <c r="H195" s="5" t="s">
        <v>19</v>
      </c>
      <c r="I195" s="5" t="s">
        <v>19</v>
      </c>
      <c r="J195" s="5">
        <v>0.0</v>
      </c>
      <c r="K195" s="5">
        <f t="shared" si="3"/>
        <v>0</v>
      </c>
      <c r="L195" s="5">
        <f t="shared" si="4"/>
        <v>0</v>
      </c>
      <c r="M195" s="5">
        <v>0.0</v>
      </c>
      <c r="N195" s="5">
        <f t="shared" si="5"/>
        <v>0</v>
      </c>
      <c r="O195" s="5">
        <f t="shared" si="6"/>
        <v>0</v>
      </c>
      <c r="P195" s="5">
        <f t="shared" si="9"/>
        <v>0</v>
      </c>
      <c r="Q195" s="5">
        <f t="shared" si="7"/>
        <v>0</v>
      </c>
      <c r="R195" s="5">
        <f t="shared" si="8"/>
        <v>0</v>
      </c>
    </row>
    <row r="196" ht="15.75" customHeight="1">
      <c r="A196" s="4">
        <v>2019.0</v>
      </c>
      <c r="B196" s="4">
        <v>310.0</v>
      </c>
      <c r="C196" s="4" t="s">
        <v>20</v>
      </c>
      <c r="D196" s="5">
        <v>14257.304515278587</v>
      </c>
      <c r="E196" s="5">
        <f t="shared" si="1"/>
        <v>0</v>
      </c>
      <c r="F196" s="5">
        <f t="shared" si="2"/>
        <v>14257.30452</v>
      </c>
      <c r="G196" s="5" t="s">
        <v>19</v>
      </c>
      <c r="H196" s="5" t="s">
        <v>19</v>
      </c>
      <c r="I196" s="5" t="s">
        <v>19</v>
      </c>
      <c r="J196" s="5">
        <v>2104.6299145008857</v>
      </c>
      <c r="K196" s="5">
        <f t="shared" si="3"/>
        <v>2104.629915</v>
      </c>
      <c r="L196" s="5">
        <f t="shared" si="4"/>
        <v>0</v>
      </c>
      <c r="M196" s="5">
        <v>590.0071182258325</v>
      </c>
      <c r="N196" s="5">
        <f t="shared" si="5"/>
        <v>0</v>
      </c>
      <c r="O196" s="5">
        <f t="shared" si="6"/>
        <v>590.0071182</v>
      </c>
      <c r="P196" s="5">
        <f t="shared" si="9"/>
        <v>16951.94155</v>
      </c>
      <c r="Q196" s="5">
        <f t="shared" si="7"/>
        <v>14847.31163</v>
      </c>
      <c r="R196" s="5">
        <f t="shared" si="8"/>
        <v>2104.629915</v>
      </c>
    </row>
    <row r="197" ht="15.75" customHeight="1">
      <c r="A197" s="4">
        <v>2019.0</v>
      </c>
      <c r="B197" s="4">
        <v>311.0</v>
      </c>
      <c r="C197" s="4" t="s">
        <v>20</v>
      </c>
      <c r="D197" s="5">
        <v>1618.2781192794089</v>
      </c>
      <c r="E197" s="5">
        <f t="shared" si="1"/>
        <v>0</v>
      </c>
      <c r="F197" s="5">
        <f t="shared" si="2"/>
        <v>1618.278119</v>
      </c>
      <c r="G197" s="5">
        <v>5317.375422695561</v>
      </c>
      <c r="H197" s="5">
        <v>1261.721381439726</v>
      </c>
      <c r="I197" s="5">
        <v>4055.6540412558347</v>
      </c>
      <c r="J197" s="5">
        <v>0.0</v>
      </c>
      <c r="K197" s="5">
        <f t="shared" si="3"/>
        <v>0</v>
      </c>
      <c r="L197" s="5">
        <f t="shared" si="4"/>
        <v>0</v>
      </c>
      <c r="M197" s="5">
        <v>459.0014560565047</v>
      </c>
      <c r="N197" s="5">
        <f t="shared" si="5"/>
        <v>0</v>
      </c>
      <c r="O197" s="5">
        <f t="shared" si="6"/>
        <v>459.0014561</v>
      </c>
      <c r="P197" s="5">
        <f t="shared" si="9"/>
        <v>7394.654998</v>
      </c>
      <c r="Q197" s="5">
        <f t="shared" si="7"/>
        <v>6132.933617</v>
      </c>
      <c r="R197" s="5">
        <f t="shared" si="8"/>
        <v>1261.721381</v>
      </c>
    </row>
    <row r="198" ht="15.75" customHeight="1">
      <c r="A198" s="4">
        <v>2019.0</v>
      </c>
      <c r="B198" s="4">
        <v>312.0</v>
      </c>
      <c r="C198" s="4" t="s">
        <v>20</v>
      </c>
      <c r="D198" s="5">
        <v>1073.9290257017199</v>
      </c>
      <c r="E198" s="5">
        <f t="shared" si="1"/>
        <v>0</v>
      </c>
      <c r="F198" s="5">
        <f t="shared" si="2"/>
        <v>1073.929026</v>
      </c>
      <c r="G198" s="5" t="s">
        <v>19</v>
      </c>
      <c r="H198" s="5" t="s">
        <v>19</v>
      </c>
      <c r="I198" s="5" t="s">
        <v>19</v>
      </c>
      <c r="J198" s="5">
        <v>0.0</v>
      </c>
      <c r="K198" s="5">
        <f t="shared" si="3"/>
        <v>0</v>
      </c>
      <c r="L198" s="5">
        <f t="shared" si="4"/>
        <v>0</v>
      </c>
      <c r="M198" s="5">
        <v>647.8037338887711</v>
      </c>
      <c r="N198" s="5">
        <f t="shared" si="5"/>
        <v>0</v>
      </c>
      <c r="O198" s="5">
        <f t="shared" si="6"/>
        <v>647.8037339</v>
      </c>
      <c r="P198" s="5">
        <f t="shared" si="9"/>
        <v>1721.73276</v>
      </c>
      <c r="Q198" s="5">
        <f t="shared" si="7"/>
        <v>1721.73276</v>
      </c>
      <c r="R198" s="5">
        <f t="shared" si="8"/>
        <v>0</v>
      </c>
    </row>
    <row r="199" ht="15.75" customHeight="1">
      <c r="A199" s="4">
        <v>2019.0</v>
      </c>
      <c r="B199" s="4">
        <v>313.0</v>
      </c>
      <c r="C199" s="4" t="s">
        <v>20</v>
      </c>
      <c r="D199" s="5">
        <v>2487.1267887960457</v>
      </c>
      <c r="E199" s="5">
        <f t="shared" si="1"/>
        <v>0</v>
      </c>
      <c r="F199" s="5">
        <f t="shared" si="2"/>
        <v>2487.126789</v>
      </c>
      <c r="G199" s="5" t="s">
        <v>19</v>
      </c>
      <c r="H199" s="5" t="s">
        <v>19</v>
      </c>
      <c r="I199" s="5" t="s">
        <v>19</v>
      </c>
      <c r="J199" s="5">
        <v>0.0</v>
      </c>
      <c r="K199" s="5">
        <f t="shared" si="3"/>
        <v>0</v>
      </c>
      <c r="L199" s="5">
        <f t="shared" si="4"/>
        <v>0</v>
      </c>
      <c r="M199" s="5">
        <v>1235.2822501793503</v>
      </c>
      <c r="N199" s="5">
        <f t="shared" si="5"/>
        <v>0</v>
      </c>
      <c r="O199" s="5">
        <f t="shared" si="6"/>
        <v>1235.28225</v>
      </c>
      <c r="P199" s="5">
        <f t="shared" si="9"/>
        <v>3722.409039</v>
      </c>
      <c r="Q199" s="5">
        <f t="shared" si="7"/>
        <v>3722.409039</v>
      </c>
      <c r="R199" s="5">
        <f t="shared" si="8"/>
        <v>0</v>
      </c>
    </row>
    <row r="200" ht="15.75" customHeight="1">
      <c r="A200" s="4">
        <v>2019.0</v>
      </c>
      <c r="B200" s="4">
        <v>314.0</v>
      </c>
      <c r="C200" s="4" t="s">
        <v>20</v>
      </c>
      <c r="D200" s="5" t="s">
        <v>19</v>
      </c>
      <c r="E200" s="5" t="str">
        <f t="shared" si="1"/>
        <v/>
      </c>
      <c r="F200" s="5" t="str">
        <f t="shared" si="2"/>
        <v/>
      </c>
      <c r="G200" s="5" t="s">
        <v>19</v>
      </c>
      <c r="H200" s="5" t="s">
        <v>19</v>
      </c>
      <c r="I200" s="5" t="s">
        <v>19</v>
      </c>
      <c r="J200" s="5">
        <v>0.0</v>
      </c>
      <c r="K200" s="5">
        <f t="shared" si="3"/>
        <v>0</v>
      </c>
      <c r="L200" s="5">
        <f t="shared" si="4"/>
        <v>0</v>
      </c>
      <c r="M200" s="5">
        <v>190.24719322383982</v>
      </c>
      <c r="N200" s="5">
        <f t="shared" si="5"/>
        <v>0</v>
      </c>
      <c r="O200" s="5">
        <f t="shared" si="6"/>
        <v>190.2471932</v>
      </c>
      <c r="P200" s="5">
        <f t="shared" si="9"/>
        <v>190.2471932</v>
      </c>
      <c r="Q200" s="5">
        <f t="shared" si="7"/>
        <v>190.2471932</v>
      </c>
      <c r="R200" s="5">
        <f t="shared" si="8"/>
        <v>0</v>
      </c>
    </row>
    <row r="201" ht="15.75" customHeight="1">
      <c r="A201" s="4">
        <v>2019.0</v>
      </c>
      <c r="B201" s="4">
        <v>320.0</v>
      </c>
      <c r="C201" s="4" t="s">
        <v>20</v>
      </c>
      <c r="D201" s="5">
        <v>89656.74317328626</v>
      </c>
      <c r="E201" s="5">
        <f t="shared" si="1"/>
        <v>0</v>
      </c>
      <c r="F201" s="5">
        <f t="shared" si="2"/>
        <v>89656.74317</v>
      </c>
      <c r="G201" s="5">
        <v>33287.89462001933</v>
      </c>
      <c r="H201" s="5">
        <v>16958.992561552775</v>
      </c>
      <c r="I201" s="5">
        <v>16328.902058466556</v>
      </c>
      <c r="J201" s="5">
        <v>36626.09740206141</v>
      </c>
      <c r="K201" s="5">
        <f t="shared" si="3"/>
        <v>36626.0974</v>
      </c>
      <c r="L201" s="5">
        <f t="shared" si="4"/>
        <v>0</v>
      </c>
      <c r="M201" s="5">
        <v>19007.380337685106</v>
      </c>
      <c r="N201" s="5">
        <f t="shared" si="5"/>
        <v>0</v>
      </c>
      <c r="O201" s="5">
        <f t="shared" si="6"/>
        <v>19007.38034</v>
      </c>
      <c r="P201" s="5">
        <f t="shared" si="9"/>
        <v>178578.1155</v>
      </c>
      <c r="Q201" s="5">
        <f t="shared" si="7"/>
        <v>124993.0256</v>
      </c>
      <c r="R201" s="5">
        <f t="shared" si="8"/>
        <v>53585.08996</v>
      </c>
    </row>
    <row r="202" ht="15.75" customHeight="1">
      <c r="A202" s="4">
        <v>2019.0</v>
      </c>
      <c r="B202" s="4">
        <v>321.0</v>
      </c>
      <c r="C202" s="4" t="s">
        <v>20</v>
      </c>
      <c r="D202" s="5">
        <v>52375.5818798791</v>
      </c>
      <c r="E202" s="5">
        <f t="shared" si="1"/>
        <v>0</v>
      </c>
      <c r="F202" s="5">
        <f t="shared" si="2"/>
        <v>52375.58188</v>
      </c>
      <c r="G202" s="5">
        <v>7755.019283186791</v>
      </c>
      <c r="H202" s="5">
        <v>3524.4556303298314</v>
      </c>
      <c r="I202" s="5">
        <v>4230.563652856959</v>
      </c>
      <c r="J202" s="5">
        <v>1319.9822792254827</v>
      </c>
      <c r="K202" s="5">
        <f t="shared" si="3"/>
        <v>1319.982279</v>
      </c>
      <c r="L202" s="5">
        <f t="shared" si="4"/>
        <v>0</v>
      </c>
      <c r="M202" s="5">
        <v>2791.456126903974</v>
      </c>
      <c r="N202" s="5">
        <f t="shared" si="5"/>
        <v>0</v>
      </c>
      <c r="O202" s="5">
        <f t="shared" si="6"/>
        <v>2791.456127</v>
      </c>
      <c r="P202" s="5">
        <f t="shared" si="9"/>
        <v>64242.03957</v>
      </c>
      <c r="Q202" s="5">
        <f t="shared" si="7"/>
        <v>59397.60166</v>
      </c>
      <c r="R202" s="5">
        <f t="shared" si="8"/>
        <v>4844.43791</v>
      </c>
    </row>
    <row r="203" ht="15.75" customHeight="1">
      <c r="A203" s="4">
        <v>2019.0</v>
      </c>
      <c r="B203" s="4">
        <v>322.0</v>
      </c>
      <c r="C203" s="4" t="s">
        <v>20</v>
      </c>
      <c r="D203" s="5">
        <v>39511.726648951095</v>
      </c>
      <c r="E203" s="5">
        <f t="shared" si="1"/>
        <v>0</v>
      </c>
      <c r="F203" s="5">
        <f t="shared" si="2"/>
        <v>39511.72665</v>
      </c>
      <c r="G203" s="5">
        <v>2810.029581359321</v>
      </c>
      <c r="H203" s="5">
        <v>876.0114145095498</v>
      </c>
      <c r="I203" s="5">
        <v>1934.0181668497712</v>
      </c>
      <c r="J203" s="5">
        <v>0.0</v>
      </c>
      <c r="K203" s="5">
        <f t="shared" si="3"/>
        <v>0</v>
      </c>
      <c r="L203" s="5">
        <f t="shared" si="4"/>
        <v>0</v>
      </c>
      <c r="M203" s="5">
        <v>61530.04825649419</v>
      </c>
      <c r="N203" s="5">
        <f t="shared" si="5"/>
        <v>0</v>
      </c>
      <c r="O203" s="5">
        <f t="shared" si="6"/>
        <v>61530.04826</v>
      </c>
      <c r="P203" s="5">
        <f t="shared" si="9"/>
        <v>103851.8045</v>
      </c>
      <c r="Q203" s="5">
        <f t="shared" si="7"/>
        <v>102975.7931</v>
      </c>
      <c r="R203" s="5">
        <f t="shared" si="8"/>
        <v>876.0114145</v>
      </c>
    </row>
    <row r="204" ht="15.75" customHeight="1">
      <c r="A204" s="4">
        <v>2019.0</v>
      </c>
      <c r="B204" s="4">
        <v>323.0</v>
      </c>
      <c r="C204" s="4" t="s">
        <v>20</v>
      </c>
      <c r="D204" s="5">
        <v>7695.15509339747</v>
      </c>
      <c r="E204" s="5">
        <f t="shared" si="1"/>
        <v>0</v>
      </c>
      <c r="F204" s="5">
        <f t="shared" si="2"/>
        <v>7695.155093</v>
      </c>
      <c r="G204" s="5" t="s">
        <v>19</v>
      </c>
      <c r="H204" s="5" t="s">
        <v>19</v>
      </c>
      <c r="I204" s="5" t="s">
        <v>19</v>
      </c>
      <c r="J204" s="5">
        <v>0.0</v>
      </c>
      <c r="K204" s="5">
        <f t="shared" si="3"/>
        <v>0</v>
      </c>
      <c r="L204" s="5">
        <f t="shared" si="4"/>
        <v>0</v>
      </c>
      <c r="M204" s="5">
        <v>112752.88889489186</v>
      </c>
      <c r="N204" s="5">
        <f t="shared" si="5"/>
        <v>0</v>
      </c>
      <c r="O204" s="5">
        <f t="shared" si="6"/>
        <v>112752.8889</v>
      </c>
      <c r="P204" s="5">
        <f t="shared" si="9"/>
        <v>120448.044</v>
      </c>
      <c r="Q204" s="5">
        <f t="shared" si="7"/>
        <v>120448.044</v>
      </c>
      <c r="R204" s="5">
        <f t="shared" si="8"/>
        <v>0</v>
      </c>
    </row>
    <row r="205" ht="15.75" customHeight="1">
      <c r="A205" s="4">
        <v>2019.0</v>
      </c>
      <c r="B205" s="4">
        <v>324.0</v>
      </c>
      <c r="C205" s="4" t="s">
        <v>20</v>
      </c>
      <c r="D205" s="5">
        <v>17844.10086830987</v>
      </c>
      <c r="E205" s="5">
        <f t="shared" si="1"/>
        <v>0</v>
      </c>
      <c r="F205" s="5">
        <f t="shared" si="2"/>
        <v>17844.10087</v>
      </c>
      <c r="G205" s="5">
        <v>1276.2009089522803</v>
      </c>
      <c r="H205" s="5">
        <v>443.5510582170298</v>
      </c>
      <c r="I205" s="5">
        <v>832.6498507352505</v>
      </c>
      <c r="J205" s="5">
        <v>0.0</v>
      </c>
      <c r="K205" s="5">
        <f t="shared" si="3"/>
        <v>0</v>
      </c>
      <c r="L205" s="5">
        <f t="shared" si="4"/>
        <v>0</v>
      </c>
      <c r="M205" s="5">
        <v>66701.20778755008</v>
      </c>
      <c r="N205" s="5">
        <f t="shared" si="5"/>
        <v>0</v>
      </c>
      <c r="O205" s="5">
        <f t="shared" si="6"/>
        <v>66701.20779</v>
      </c>
      <c r="P205" s="5">
        <f t="shared" si="9"/>
        <v>85821.50956</v>
      </c>
      <c r="Q205" s="5">
        <f t="shared" si="7"/>
        <v>85377.95851</v>
      </c>
      <c r="R205" s="5">
        <f t="shared" si="8"/>
        <v>443.5510582</v>
      </c>
    </row>
    <row r="206" ht="15.75" customHeight="1">
      <c r="A206" s="4">
        <v>2019.0</v>
      </c>
      <c r="B206" s="4">
        <v>325.0</v>
      </c>
      <c r="C206" s="4" t="s">
        <v>20</v>
      </c>
      <c r="D206" s="5">
        <v>8011.215148505757</v>
      </c>
      <c r="E206" s="5">
        <f t="shared" si="1"/>
        <v>0</v>
      </c>
      <c r="F206" s="5">
        <f t="shared" si="2"/>
        <v>8011.215149</v>
      </c>
      <c r="G206" s="5" t="s">
        <v>19</v>
      </c>
      <c r="H206" s="5" t="s">
        <v>19</v>
      </c>
      <c r="I206" s="5" t="s">
        <v>19</v>
      </c>
      <c r="J206" s="5">
        <v>0.0</v>
      </c>
      <c r="K206" s="5">
        <f t="shared" si="3"/>
        <v>0</v>
      </c>
      <c r="L206" s="5">
        <f t="shared" si="4"/>
        <v>0</v>
      </c>
      <c r="M206" s="5">
        <v>18500.21503524282</v>
      </c>
      <c r="N206" s="5">
        <f t="shared" si="5"/>
        <v>0</v>
      </c>
      <c r="O206" s="5">
        <f t="shared" si="6"/>
        <v>18500.21504</v>
      </c>
      <c r="P206" s="5">
        <f t="shared" si="9"/>
        <v>26511.43018</v>
      </c>
      <c r="Q206" s="5">
        <f t="shared" si="7"/>
        <v>26511.43018</v>
      </c>
      <c r="R206" s="5">
        <f t="shared" si="8"/>
        <v>0</v>
      </c>
    </row>
    <row r="207" ht="15.75" customHeight="1">
      <c r="A207" s="4">
        <v>2019.0</v>
      </c>
      <c r="B207" s="4">
        <v>326.0</v>
      </c>
      <c r="C207" s="4" t="s">
        <v>20</v>
      </c>
      <c r="D207" s="5" t="s">
        <v>19</v>
      </c>
      <c r="E207" s="5" t="str">
        <f t="shared" si="1"/>
        <v/>
      </c>
      <c r="F207" s="5" t="str">
        <f t="shared" si="2"/>
        <v/>
      </c>
      <c r="G207" s="5" t="s">
        <v>19</v>
      </c>
      <c r="H207" s="5" t="s">
        <v>19</v>
      </c>
      <c r="I207" s="5" t="s">
        <v>19</v>
      </c>
      <c r="J207" s="5">
        <v>0.0</v>
      </c>
      <c r="K207" s="5">
        <f t="shared" si="3"/>
        <v>0</v>
      </c>
      <c r="L207" s="5">
        <f t="shared" si="4"/>
        <v>0</v>
      </c>
      <c r="M207" s="5">
        <v>17550.42398451519</v>
      </c>
      <c r="N207" s="5">
        <f t="shared" si="5"/>
        <v>0</v>
      </c>
      <c r="O207" s="5">
        <f t="shared" si="6"/>
        <v>17550.42398</v>
      </c>
      <c r="P207" s="5">
        <f t="shared" si="9"/>
        <v>17550.42398</v>
      </c>
      <c r="Q207" s="5">
        <f t="shared" si="7"/>
        <v>17550.42398</v>
      </c>
      <c r="R207" s="5">
        <f t="shared" si="8"/>
        <v>0</v>
      </c>
    </row>
    <row r="208" ht="15.75" customHeight="1">
      <c r="A208" s="4">
        <v>2019.0</v>
      </c>
      <c r="B208" s="4">
        <v>327.0</v>
      </c>
      <c r="C208" s="4" t="s">
        <v>20</v>
      </c>
      <c r="D208" s="5">
        <v>70789.01282342541</v>
      </c>
      <c r="E208" s="5">
        <f t="shared" si="1"/>
        <v>0</v>
      </c>
      <c r="F208" s="5">
        <f t="shared" si="2"/>
        <v>70789.01282</v>
      </c>
      <c r="G208" s="5">
        <v>10238.104214063165</v>
      </c>
      <c r="H208" s="5">
        <v>2576.739747127791</v>
      </c>
      <c r="I208" s="5">
        <v>7661.364466935374</v>
      </c>
      <c r="J208" s="5">
        <v>81.06496036958353</v>
      </c>
      <c r="K208" s="5">
        <f t="shared" si="3"/>
        <v>81.06496037</v>
      </c>
      <c r="L208" s="5">
        <f t="shared" si="4"/>
        <v>0</v>
      </c>
      <c r="M208" s="5">
        <v>60610.82920725996</v>
      </c>
      <c r="N208" s="5">
        <f t="shared" si="5"/>
        <v>0</v>
      </c>
      <c r="O208" s="5">
        <f t="shared" si="6"/>
        <v>60610.82921</v>
      </c>
      <c r="P208" s="5">
        <f t="shared" si="9"/>
        <v>141719.0112</v>
      </c>
      <c r="Q208" s="5">
        <f t="shared" si="7"/>
        <v>139061.2065</v>
      </c>
      <c r="R208" s="5">
        <f t="shared" si="8"/>
        <v>2657.804707</v>
      </c>
    </row>
    <row r="209" ht="15.75" customHeight="1">
      <c r="A209" s="4">
        <v>2019.0</v>
      </c>
      <c r="B209" s="4">
        <v>328.0</v>
      </c>
      <c r="C209" s="4" t="s">
        <v>20</v>
      </c>
      <c r="D209" s="5">
        <v>1889.186737943654</v>
      </c>
      <c r="E209" s="5">
        <f t="shared" si="1"/>
        <v>0</v>
      </c>
      <c r="F209" s="5">
        <f t="shared" si="2"/>
        <v>1889.186738</v>
      </c>
      <c r="G209" s="5">
        <v>1353.2196723169322</v>
      </c>
      <c r="H209" s="5">
        <v>855.2163484010937</v>
      </c>
      <c r="I209" s="5">
        <v>498.00332391583856</v>
      </c>
      <c r="J209" s="5">
        <v>0.0</v>
      </c>
      <c r="K209" s="5">
        <f t="shared" si="3"/>
        <v>0</v>
      </c>
      <c r="L209" s="5">
        <f t="shared" si="4"/>
        <v>0</v>
      </c>
      <c r="M209" s="5">
        <v>48217.72968892634</v>
      </c>
      <c r="N209" s="5">
        <f t="shared" si="5"/>
        <v>0</v>
      </c>
      <c r="O209" s="5">
        <f t="shared" si="6"/>
        <v>48217.72969</v>
      </c>
      <c r="P209" s="5">
        <f t="shared" si="9"/>
        <v>51460.1361</v>
      </c>
      <c r="Q209" s="5">
        <f t="shared" si="7"/>
        <v>50604.91975</v>
      </c>
      <c r="R209" s="5">
        <f t="shared" si="8"/>
        <v>855.2163484</v>
      </c>
    </row>
    <row r="210" ht="15.75" customHeight="1">
      <c r="A210" s="4">
        <v>2019.0</v>
      </c>
      <c r="B210" s="4">
        <v>331.0</v>
      </c>
      <c r="C210" s="4" t="s">
        <v>20</v>
      </c>
      <c r="D210" s="5">
        <v>101792.56313975723</v>
      </c>
      <c r="E210" s="5">
        <f t="shared" si="1"/>
        <v>0</v>
      </c>
      <c r="F210" s="5">
        <f t="shared" si="2"/>
        <v>101792.5631</v>
      </c>
      <c r="G210" s="5">
        <v>187462.514748112</v>
      </c>
      <c r="H210" s="5">
        <v>48915.46381928736</v>
      </c>
      <c r="I210" s="5">
        <v>138547.05092882464</v>
      </c>
      <c r="J210" s="5">
        <v>3942.5714046613825</v>
      </c>
      <c r="K210" s="5">
        <f t="shared" si="3"/>
        <v>3942.571405</v>
      </c>
      <c r="L210" s="5">
        <f t="shared" si="4"/>
        <v>0</v>
      </c>
      <c r="M210" s="5">
        <v>26493.968619891093</v>
      </c>
      <c r="N210" s="5">
        <f t="shared" si="5"/>
        <v>0</v>
      </c>
      <c r="O210" s="5">
        <f t="shared" si="6"/>
        <v>26493.96862</v>
      </c>
      <c r="P210" s="5">
        <f t="shared" si="9"/>
        <v>319691.6179</v>
      </c>
      <c r="Q210" s="5">
        <f t="shared" si="7"/>
        <v>266833.5827</v>
      </c>
      <c r="R210" s="5">
        <f t="shared" si="8"/>
        <v>52858.03522</v>
      </c>
    </row>
    <row r="211" ht="15.75" customHeight="1">
      <c r="A211" s="4">
        <v>2019.0</v>
      </c>
      <c r="B211" s="4">
        <v>332.0</v>
      </c>
      <c r="C211" s="4" t="s">
        <v>20</v>
      </c>
      <c r="D211" s="5">
        <v>1951.639192090552</v>
      </c>
      <c r="E211" s="5">
        <f t="shared" si="1"/>
        <v>0</v>
      </c>
      <c r="F211" s="5">
        <f t="shared" si="2"/>
        <v>1951.639192</v>
      </c>
      <c r="G211" s="5" t="s">
        <v>19</v>
      </c>
      <c r="H211" s="5" t="s">
        <v>19</v>
      </c>
      <c r="I211" s="5" t="s">
        <v>19</v>
      </c>
      <c r="J211" s="5">
        <v>0.0</v>
      </c>
      <c r="K211" s="5">
        <f t="shared" si="3"/>
        <v>0</v>
      </c>
      <c r="L211" s="5">
        <f t="shared" si="4"/>
        <v>0</v>
      </c>
      <c r="M211" s="5">
        <v>4046.003915637637</v>
      </c>
      <c r="N211" s="5">
        <f t="shared" si="5"/>
        <v>0</v>
      </c>
      <c r="O211" s="5">
        <f t="shared" si="6"/>
        <v>4046.003916</v>
      </c>
      <c r="P211" s="5">
        <f t="shared" si="9"/>
        <v>5997.643108</v>
      </c>
      <c r="Q211" s="5">
        <f t="shared" si="7"/>
        <v>5997.643108</v>
      </c>
      <c r="R211" s="5">
        <f t="shared" si="8"/>
        <v>0</v>
      </c>
    </row>
    <row r="212" ht="15.75" customHeight="1">
      <c r="A212" s="4">
        <v>2019.0</v>
      </c>
      <c r="B212" s="4">
        <v>333.0</v>
      </c>
      <c r="C212" s="4" t="s">
        <v>20</v>
      </c>
      <c r="D212" s="5" t="s">
        <v>19</v>
      </c>
      <c r="E212" s="5" t="str">
        <f t="shared" si="1"/>
        <v/>
      </c>
      <c r="F212" s="5" t="str">
        <f t="shared" si="2"/>
        <v/>
      </c>
      <c r="G212" s="5" t="s">
        <v>19</v>
      </c>
      <c r="H212" s="5" t="s">
        <v>19</v>
      </c>
      <c r="I212" s="5" t="s">
        <v>19</v>
      </c>
      <c r="J212" s="5">
        <v>0.0</v>
      </c>
      <c r="K212" s="5">
        <f t="shared" si="3"/>
        <v>0</v>
      </c>
      <c r="L212" s="5">
        <f t="shared" si="4"/>
        <v>0</v>
      </c>
      <c r="M212" s="5">
        <v>2837.0913713545033</v>
      </c>
      <c r="N212" s="5">
        <f t="shared" si="5"/>
        <v>0</v>
      </c>
      <c r="O212" s="5">
        <f t="shared" si="6"/>
        <v>2837.091371</v>
      </c>
      <c r="P212" s="5">
        <f t="shared" si="9"/>
        <v>2837.091371</v>
      </c>
      <c r="Q212" s="5">
        <f t="shared" si="7"/>
        <v>2837.091371</v>
      </c>
      <c r="R212" s="5">
        <f t="shared" si="8"/>
        <v>0</v>
      </c>
    </row>
    <row r="213" ht="15.75" customHeight="1">
      <c r="A213" s="4">
        <v>2019.0</v>
      </c>
      <c r="B213" s="4">
        <v>400.0</v>
      </c>
      <c r="C213" s="4" t="s">
        <v>21</v>
      </c>
      <c r="D213" s="5" t="s">
        <v>19</v>
      </c>
      <c r="E213" s="5" t="str">
        <f t="shared" si="1"/>
        <v/>
      </c>
      <c r="F213" s="5" t="str">
        <f t="shared" si="2"/>
        <v/>
      </c>
      <c r="G213" s="5" t="s">
        <v>19</v>
      </c>
      <c r="H213" s="5" t="s">
        <v>19</v>
      </c>
      <c r="I213" s="5" t="s">
        <v>19</v>
      </c>
      <c r="J213" s="5">
        <v>37874.78102554333</v>
      </c>
      <c r="K213" s="5">
        <f t="shared" si="3"/>
        <v>37874.78103</v>
      </c>
      <c r="L213" s="5">
        <f t="shared" si="4"/>
        <v>0</v>
      </c>
      <c r="M213" s="5">
        <v>138.73140347472292</v>
      </c>
      <c r="N213" s="5">
        <f t="shared" si="5"/>
        <v>0</v>
      </c>
      <c r="O213" s="5">
        <f t="shared" si="6"/>
        <v>138.7314035</v>
      </c>
      <c r="P213" s="5">
        <f t="shared" si="9"/>
        <v>38013.51243</v>
      </c>
      <c r="Q213" s="5">
        <f t="shared" si="7"/>
        <v>138.7314035</v>
      </c>
      <c r="R213" s="5">
        <f t="shared" si="8"/>
        <v>37874.78103</v>
      </c>
    </row>
    <row r="214" ht="15.75" customHeight="1">
      <c r="A214" s="4">
        <v>2019.0</v>
      </c>
      <c r="B214" s="4">
        <v>401.0</v>
      </c>
      <c r="C214" s="4" t="s">
        <v>21</v>
      </c>
      <c r="D214" s="5">
        <v>1262.6054700614463</v>
      </c>
      <c r="E214" s="5">
        <f t="shared" si="1"/>
        <v>0</v>
      </c>
      <c r="F214" s="5">
        <f t="shared" si="2"/>
        <v>1262.60547</v>
      </c>
      <c r="G214" s="5">
        <v>847.4927766383285</v>
      </c>
      <c r="H214" s="5">
        <v>631.048790065883</v>
      </c>
      <c r="I214" s="5">
        <v>216.4439865724454</v>
      </c>
      <c r="J214" s="5">
        <v>107208.81937299135</v>
      </c>
      <c r="K214" s="5">
        <f t="shared" si="3"/>
        <v>107208.8194</v>
      </c>
      <c r="L214" s="5">
        <f t="shared" si="4"/>
        <v>0</v>
      </c>
      <c r="M214" s="5">
        <v>1256.3051182639565</v>
      </c>
      <c r="N214" s="5">
        <f t="shared" si="5"/>
        <v>0</v>
      </c>
      <c r="O214" s="5">
        <f t="shared" si="6"/>
        <v>1256.305118</v>
      </c>
      <c r="P214" s="5">
        <f t="shared" si="9"/>
        <v>110575.2227</v>
      </c>
      <c r="Q214" s="5">
        <f t="shared" si="7"/>
        <v>2735.354575</v>
      </c>
      <c r="R214" s="5">
        <f t="shared" si="8"/>
        <v>107839.8682</v>
      </c>
    </row>
    <row r="215" ht="15.75" customHeight="1">
      <c r="A215" s="4">
        <v>2019.0</v>
      </c>
      <c r="B215" s="4">
        <v>402.0</v>
      </c>
      <c r="C215" s="4" t="s">
        <v>21</v>
      </c>
      <c r="D215" s="5">
        <v>646.0518282150542</v>
      </c>
      <c r="E215" s="5">
        <f t="shared" si="1"/>
        <v>0</v>
      </c>
      <c r="F215" s="5">
        <f t="shared" si="2"/>
        <v>646.0518282</v>
      </c>
      <c r="G215" s="5">
        <v>12267.88707737202</v>
      </c>
      <c r="H215" s="5">
        <v>9584.133338294385</v>
      </c>
      <c r="I215" s="5">
        <v>2683.7537390776342</v>
      </c>
      <c r="J215" s="5">
        <v>151524.75518728117</v>
      </c>
      <c r="K215" s="5">
        <f t="shared" si="3"/>
        <v>151524.7552</v>
      </c>
      <c r="L215" s="5">
        <f t="shared" si="4"/>
        <v>0</v>
      </c>
      <c r="M215" s="5">
        <v>1776.1036674406769</v>
      </c>
      <c r="N215" s="5">
        <f t="shared" si="5"/>
        <v>0</v>
      </c>
      <c r="O215" s="5">
        <f t="shared" si="6"/>
        <v>1776.103667</v>
      </c>
      <c r="P215" s="5">
        <f t="shared" si="9"/>
        <v>166214.7978</v>
      </c>
      <c r="Q215" s="5">
        <f t="shared" si="7"/>
        <v>5105.909235</v>
      </c>
      <c r="R215" s="5">
        <f t="shared" si="8"/>
        <v>161108.8885</v>
      </c>
    </row>
    <row r="216" ht="15.75" customHeight="1">
      <c r="A216" s="4">
        <v>2019.0</v>
      </c>
      <c r="B216" s="4">
        <v>403.0</v>
      </c>
      <c r="C216" s="4" t="s">
        <v>21</v>
      </c>
      <c r="D216" s="5">
        <v>5934.7442701851705</v>
      </c>
      <c r="E216" s="5">
        <f t="shared" si="1"/>
        <v>0</v>
      </c>
      <c r="F216" s="5">
        <f t="shared" si="2"/>
        <v>5934.74427</v>
      </c>
      <c r="G216" s="5">
        <v>18702.245448398662</v>
      </c>
      <c r="H216" s="5">
        <v>9498.593652859592</v>
      </c>
      <c r="I216" s="5">
        <v>9203.65179553907</v>
      </c>
      <c r="J216" s="5">
        <v>334095.0345067252</v>
      </c>
      <c r="K216" s="5">
        <f t="shared" si="3"/>
        <v>334095.0345</v>
      </c>
      <c r="L216" s="5">
        <f t="shared" si="4"/>
        <v>0</v>
      </c>
      <c r="M216" s="5">
        <v>5969.01772835958</v>
      </c>
      <c r="N216" s="5">
        <f t="shared" si="5"/>
        <v>0</v>
      </c>
      <c r="O216" s="5">
        <f t="shared" si="6"/>
        <v>5969.017728</v>
      </c>
      <c r="P216" s="5">
        <f t="shared" si="9"/>
        <v>364701.042</v>
      </c>
      <c r="Q216" s="5">
        <f t="shared" si="7"/>
        <v>21107.41379</v>
      </c>
      <c r="R216" s="5">
        <f t="shared" si="8"/>
        <v>343593.6282</v>
      </c>
    </row>
    <row r="217" ht="15.75" customHeight="1">
      <c r="A217" s="4">
        <v>2019.0</v>
      </c>
      <c r="B217" s="4">
        <v>404.0</v>
      </c>
      <c r="C217" s="4" t="s">
        <v>21</v>
      </c>
      <c r="D217" s="5">
        <v>972.1937479249046</v>
      </c>
      <c r="E217" s="5">
        <f t="shared" si="1"/>
        <v>0</v>
      </c>
      <c r="F217" s="5">
        <f t="shared" si="2"/>
        <v>972.1937479</v>
      </c>
      <c r="G217" s="5">
        <v>6329.250105322986</v>
      </c>
      <c r="H217" s="5">
        <v>3209.295067595939</v>
      </c>
      <c r="I217" s="5">
        <v>3119.955037727047</v>
      </c>
      <c r="J217" s="5">
        <v>170149.96028536605</v>
      </c>
      <c r="K217" s="5">
        <f t="shared" si="3"/>
        <v>170149.9603</v>
      </c>
      <c r="L217" s="5">
        <f t="shared" si="4"/>
        <v>0</v>
      </c>
      <c r="M217" s="5">
        <v>414.62237678874067</v>
      </c>
      <c r="N217" s="5">
        <f t="shared" si="5"/>
        <v>0</v>
      </c>
      <c r="O217" s="5">
        <f t="shared" si="6"/>
        <v>414.6223768</v>
      </c>
      <c r="P217" s="5">
        <f t="shared" si="9"/>
        <v>177866.0265</v>
      </c>
      <c r="Q217" s="5">
        <f t="shared" si="7"/>
        <v>4506.771162</v>
      </c>
      <c r="R217" s="5">
        <f t="shared" si="8"/>
        <v>173359.2554</v>
      </c>
    </row>
    <row r="218" ht="15.75" customHeight="1">
      <c r="A218" s="4">
        <v>2019.0</v>
      </c>
      <c r="B218" s="4">
        <v>405.0</v>
      </c>
      <c r="C218" s="4" t="s">
        <v>21</v>
      </c>
      <c r="D218" s="5" t="s">
        <v>19</v>
      </c>
      <c r="E218" s="5" t="str">
        <f t="shared" si="1"/>
        <v/>
      </c>
      <c r="F218" s="5" t="str">
        <f t="shared" si="2"/>
        <v/>
      </c>
      <c r="G218" s="5">
        <v>3082.191110892386</v>
      </c>
      <c r="H218" s="5">
        <v>715.1194347950551</v>
      </c>
      <c r="I218" s="5">
        <v>2367.071676097331</v>
      </c>
      <c r="J218" s="5">
        <v>66944.09741401084</v>
      </c>
      <c r="K218" s="5">
        <f t="shared" si="3"/>
        <v>66944.09741</v>
      </c>
      <c r="L218" s="5">
        <f t="shared" si="4"/>
        <v>0</v>
      </c>
      <c r="M218" s="5">
        <v>103.87770112393042</v>
      </c>
      <c r="N218" s="5">
        <f t="shared" si="5"/>
        <v>0</v>
      </c>
      <c r="O218" s="5">
        <f t="shared" si="6"/>
        <v>103.8777011</v>
      </c>
      <c r="P218" s="5">
        <f t="shared" si="9"/>
        <v>70130.16623</v>
      </c>
      <c r="Q218" s="5">
        <f t="shared" si="7"/>
        <v>2470.949377</v>
      </c>
      <c r="R218" s="5">
        <f t="shared" si="8"/>
        <v>67659.21685</v>
      </c>
    </row>
    <row r="219" ht="15.75" customHeight="1">
      <c r="A219" s="4">
        <v>2019.0</v>
      </c>
      <c r="B219" s="4">
        <v>406.0</v>
      </c>
      <c r="C219" s="4" t="s">
        <v>21</v>
      </c>
      <c r="D219" s="5" t="s">
        <v>19</v>
      </c>
      <c r="E219" s="5" t="str">
        <f t="shared" si="1"/>
        <v/>
      </c>
      <c r="F219" s="5" t="str">
        <f t="shared" si="2"/>
        <v/>
      </c>
      <c r="G219" s="5">
        <v>4397.501497018447</v>
      </c>
      <c r="H219" s="5">
        <v>3409.6195259909673</v>
      </c>
      <c r="I219" s="5">
        <v>987.8819710274793</v>
      </c>
      <c r="J219" s="5">
        <v>80289.2689317161</v>
      </c>
      <c r="K219" s="5">
        <f t="shared" si="3"/>
        <v>80289.26893</v>
      </c>
      <c r="L219" s="5">
        <f t="shared" si="4"/>
        <v>0</v>
      </c>
      <c r="M219" s="5">
        <v>0.0</v>
      </c>
      <c r="N219" s="5">
        <f t="shared" si="5"/>
        <v>0</v>
      </c>
      <c r="O219" s="5">
        <f t="shared" si="6"/>
        <v>0</v>
      </c>
      <c r="P219" s="5">
        <f t="shared" si="9"/>
        <v>84686.77043</v>
      </c>
      <c r="Q219" s="5">
        <f t="shared" si="7"/>
        <v>987.881971</v>
      </c>
      <c r="R219" s="5">
        <f t="shared" si="8"/>
        <v>83698.88846</v>
      </c>
    </row>
    <row r="220" ht="15.75" customHeight="1">
      <c r="A220" s="4">
        <v>2019.0</v>
      </c>
      <c r="B220" s="4">
        <v>407.0</v>
      </c>
      <c r="C220" s="4" t="s">
        <v>21</v>
      </c>
      <c r="D220" s="5" t="s">
        <v>19</v>
      </c>
      <c r="E220" s="5" t="str">
        <f t="shared" si="1"/>
        <v/>
      </c>
      <c r="F220" s="5" t="str">
        <f t="shared" si="2"/>
        <v/>
      </c>
      <c r="G220" s="5">
        <v>1603.5697050193903</v>
      </c>
      <c r="H220" s="5">
        <v>1191.8391116021637</v>
      </c>
      <c r="I220" s="5">
        <v>411.7305934172266</v>
      </c>
      <c r="J220" s="5">
        <v>34118.91058819994</v>
      </c>
      <c r="K220" s="5">
        <f t="shared" si="3"/>
        <v>34118.91059</v>
      </c>
      <c r="L220" s="5">
        <f t="shared" si="4"/>
        <v>0</v>
      </c>
      <c r="M220" s="5">
        <v>125.74669083423157</v>
      </c>
      <c r="N220" s="5">
        <f t="shared" si="5"/>
        <v>0</v>
      </c>
      <c r="O220" s="5">
        <f t="shared" si="6"/>
        <v>125.7466908</v>
      </c>
      <c r="P220" s="5">
        <f t="shared" si="9"/>
        <v>35848.22698</v>
      </c>
      <c r="Q220" s="5">
        <f t="shared" si="7"/>
        <v>537.4772843</v>
      </c>
      <c r="R220" s="5">
        <f t="shared" si="8"/>
        <v>35310.7497</v>
      </c>
    </row>
    <row r="221" ht="15.75" customHeight="1">
      <c r="A221" s="4">
        <v>2019.0</v>
      </c>
      <c r="B221" s="4">
        <v>408.0</v>
      </c>
      <c r="C221" s="4" t="s">
        <v>21</v>
      </c>
      <c r="D221" s="5" t="s">
        <v>19</v>
      </c>
      <c r="E221" s="5" t="str">
        <f t="shared" si="1"/>
        <v/>
      </c>
      <c r="F221" s="5" t="str">
        <f t="shared" si="2"/>
        <v/>
      </c>
      <c r="G221" s="5">
        <v>1475.0286432777316</v>
      </c>
      <c r="H221" s="5">
        <v>999.1871973272428</v>
      </c>
      <c r="I221" s="5">
        <v>475.84144595048883</v>
      </c>
      <c r="J221" s="5">
        <v>6624.959416653439</v>
      </c>
      <c r="K221" s="5">
        <f t="shared" si="3"/>
        <v>6624.959417</v>
      </c>
      <c r="L221" s="5">
        <f t="shared" si="4"/>
        <v>0</v>
      </c>
      <c r="M221" s="5">
        <v>218.6898971030115</v>
      </c>
      <c r="N221" s="5">
        <f t="shared" si="5"/>
        <v>0</v>
      </c>
      <c r="O221" s="5">
        <f t="shared" si="6"/>
        <v>218.6898971</v>
      </c>
      <c r="P221" s="5">
        <f t="shared" si="9"/>
        <v>8318.677957</v>
      </c>
      <c r="Q221" s="5">
        <f t="shared" si="7"/>
        <v>694.5313431</v>
      </c>
      <c r="R221" s="5">
        <f t="shared" si="8"/>
        <v>7624.146614</v>
      </c>
    </row>
    <row r="222" ht="15.75" customHeight="1">
      <c r="A222" s="4">
        <v>2019.0</v>
      </c>
      <c r="B222" s="4">
        <v>409.0</v>
      </c>
      <c r="C222" s="4" t="s">
        <v>21</v>
      </c>
      <c r="D222" s="5">
        <v>1541.3841046159814</v>
      </c>
      <c r="E222" s="5">
        <f t="shared" si="1"/>
        <v>0</v>
      </c>
      <c r="F222" s="5">
        <f t="shared" si="2"/>
        <v>1541.384105</v>
      </c>
      <c r="G222" s="5" t="s">
        <v>19</v>
      </c>
      <c r="H222" s="5" t="s">
        <v>19</v>
      </c>
      <c r="I222" s="5" t="s">
        <v>19</v>
      </c>
      <c r="J222" s="5">
        <v>53971.072425098675</v>
      </c>
      <c r="K222" s="5">
        <f t="shared" si="3"/>
        <v>53971.07243</v>
      </c>
      <c r="L222" s="5">
        <f t="shared" si="4"/>
        <v>0</v>
      </c>
      <c r="M222" s="5">
        <v>474.9671202706031</v>
      </c>
      <c r="N222" s="5">
        <f t="shared" si="5"/>
        <v>0</v>
      </c>
      <c r="O222" s="5">
        <f t="shared" si="6"/>
        <v>474.9671203</v>
      </c>
      <c r="P222" s="5">
        <f t="shared" si="9"/>
        <v>55987.42365</v>
      </c>
      <c r="Q222" s="5">
        <f t="shared" si="7"/>
        <v>2016.351225</v>
      </c>
      <c r="R222" s="5">
        <f t="shared" si="8"/>
        <v>53971.07243</v>
      </c>
    </row>
    <row r="223" ht="15.75" customHeight="1">
      <c r="A223" s="4">
        <v>2019.0</v>
      </c>
      <c r="B223" s="4">
        <v>420.0</v>
      </c>
      <c r="C223" s="4" t="s">
        <v>21</v>
      </c>
      <c r="D223" s="5">
        <v>2534.351223223042</v>
      </c>
      <c r="E223" s="5">
        <f t="shared" si="1"/>
        <v>0</v>
      </c>
      <c r="F223" s="5">
        <f t="shared" si="2"/>
        <v>2534.351223</v>
      </c>
      <c r="G223" s="5">
        <v>774.4399372012988</v>
      </c>
      <c r="H223" s="5">
        <v>392.0103187276677</v>
      </c>
      <c r="I223" s="5">
        <v>382.4296184736311</v>
      </c>
      <c r="J223" s="5">
        <v>0.0</v>
      </c>
      <c r="K223" s="5">
        <f t="shared" si="3"/>
        <v>0</v>
      </c>
      <c r="L223" s="5">
        <f t="shared" si="4"/>
        <v>0</v>
      </c>
      <c r="M223" s="5">
        <v>5257.441807542087</v>
      </c>
      <c r="N223" s="5">
        <f t="shared" si="5"/>
        <v>0</v>
      </c>
      <c r="O223" s="5">
        <f t="shared" si="6"/>
        <v>5257.441808</v>
      </c>
      <c r="P223" s="5">
        <f t="shared" si="9"/>
        <v>8566.232968</v>
      </c>
      <c r="Q223" s="5">
        <f t="shared" si="7"/>
        <v>8174.222649</v>
      </c>
      <c r="R223" s="5">
        <f t="shared" si="8"/>
        <v>392.0103187</v>
      </c>
    </row>
    <row r="224" ht="15.75" customHeight="1">
      <c r="A224" s="4">
        <v>2019.0</v>
      </c>
      <c r="B224" s="4">
        <v>421.0</v>
      </c>
      <c r="C224" s="4" t="s">
        <v>21</v>
      </c>
      <c r="D224" s="5">
        <v>709.2028750888086</v>
      </c>
      <c r="E224" s="5">
        <f t="shared" si="1"/>
        <v>0</v>
      </c>
      <c r="F224" s="5">
        <f t="shared" si="2"/>
        <v>709.2028751</v>
      </c>
      <c r="G224" s="5">
        <v>378.03846419053093</v>
      </c>
      <c r="H224" s="5">
        <v>223.38999425662212</v>
      </c>
      <c r="I224" s="5">
        <v>154.6484699339088</v>
      </c>
      <c r="J224" s="5">
        <v>2728.3734206230656</v>
      </c>
      <c r="K224" s="5">
        <f t="shared" si="3"/>
        <v>2728.373421</v>
      </c>
      <c r="L224" s="5">
        <f t="shared" si="4"/>
        <v>0</v>
      </c>
      <c r="M224" s="5">
        <v>29432.379801608797</v>
      </c>
      <c r="N224" s="5">
        <f t="shared" si="5"/>
        <v>0</v>
      </c>
      <c r="O224" s="5">
        <f t="shared" si="6"/>
        <v>29432.3798</v>
      </c>
      <c r="P224" s="5">
        <f t="shared" si="9"/>
        <v>33247.99456</v>
      </c>
      <c r="Q224" s="5">
        <f t="shared" si="7"/>
        <v>30296.23115</v>
      </c>
      <c r="R224" s="5">
        <f t="shared" si="8"/>
        <v>2951.763415</v>
      </c>
    </row>
    <row r="225" ht="15.75" customHeight="1">
      <c r="A225" s="4">
        <v>2019.0</v>
      </c>
      <c r="B225" s="4">
        <v>422.0</v>
      </c>
      <c r="C225" s="4" t="s">
        <v>21</v>
      </c>
      <c r="D225" s="5">
        <v>234.73908870836374</v>
      </c>
      <c r="E225" s="5">
        <f t="shared" si="1"/>
        <v>0</v>
      </c>
      <c r="F225" s="5">
        <f t="shared" si="2"/>
        <v>234.7390887</v>
      </c>
      <c r="G225" s="5">
        <v>864.2590020828927</v>
      </c>
      <c r="H225" s="5">
        <v>648.294050523149</v>
      </c>
      <c r="I225" s="5">
        <v>215.96495155974367</v>
      </c>
      <c r="J225" s="5">
        <v>1939.6090782072565</v>
      </c>
      <c r="K225" s="5">
        <f t="shared" si="3"/>
        <v>1939.609078</v>
      </c>
      <c r="L225" s="5">
        <f t="shared" si="4"/>
        <v>0</v>
      </c>
      <c r="M225" s="5">
        <v>38882.99536432259</v>
      </c>
      <c r="N225" s="5">
        <f t="shared" si="5"/>
        <v>0</v>
      </c>
      <c r="O225" s="5">
        <f t="shared" si="6"/>
        <v>38882.99536</v>
      </c>
      <c r="P225" s="5">
        <f t="shared" si="9"/>
        <v>41921.60253</v>
      </c>
      <c r="Q225" s="5">
        <f t="shared" si="7"/>
        <v>39333.6994</v>
      </c>
      <c r="R225" s="5">
        <f t="shared" si="8"/>
        <v>2587.903129</v>
      </c>
    </row>
    <row r="226" ht="15.75" customHeight="1">
      <c r="A226" s="4">
        <v>2019.0</v>
      </c>
      <c r="B226" s="4">
        <v>423.0</v>
      </c>
      <c r="C226" s="4" t="s">
        <v>21</v>
      </c>
      <c r="D226" s="5">
        <v>9973.710731916779</v>
      </c>
      <c r="E226" s="5">
        <f t="shared" si="1"/>
        <v>0</v>
      </c>
      <c r="F226" s="5">
        <f t="shared" si="2"/>
        <v>9973.710732</v>
      </c>
      <c r="G226" s="5">
        <v>5478.164566089394</v>
      </c>
      <c r="H226" s="5">
        <v>1873.585773845658</v>
      </c>
      <c r="I226" s="5">
        <v>3604.5787922437357</v>
      </c>
      <c r="J226" s="5">
        <v>16585.084906529748</v>
      </c>
      <c r="K226" s="5">
        <f t="shared" si="3"/>
        <v>16585.08491</v>
      </c>
      <c r="L226" s="5">
        <f t="shared" si="4"/>
        <v>0</v>
      </c>
      <c r="M226" s="5">
        <v>66438.87916760187</v>
      </c>
      <c r="N226" s="5">
        <f t="shared" si="5"/>
        <v>0</v>
      </c>
      <c r="O226" s="5">
        <f t="shared" si="6"/>
        <v>66438.87917</v>
      </c>
      <c r="P226" s="5">
        <f t="shared" si="9"/>
        <v>98475.83937</v>
      </c>
      <c r="Q226" s="5">
        <f t="shared" si="7"/>
        <v>80017.16869</v>
      </c>
      <c r="R226" s="5">
        <f t="shared" si="8"/>
        <v>18458.67068</v>
      </c>
    </row>
    <row r="227" ht="15.75" customHeight="1">
      <c r="A227" s="4">
        <v>2019.0</v>
      </c>
      <c r="B227" s="4">
        <v>424.0</v>
      </c>
      <c r="C227" s="4" t="s">
        <v>21</v>
      </c>
      <c r="D227" s="5" t="s">
        <v>19</v>
      </c>
      <c r="E227" s="5" t="str">
        <f t="shared" si="1"/>
        <v/>
      </c>
      <c r="F227" s="5" t="str">
        <f t="shared" si="2"/>
        <v/>
      </c>
      <c r="G227" s="5" t="s">
        <v>19</v>
      </c>
      <c r="H227" s="5" t="s">
        <v>19</v>
      </c>
      <c r="I227" s="5" t="s">
        <v>19</v>
      </c>
      <c r="J227" s="5">
        <v>7170.694197108903</v>
      </c>
      <c r="K227" s="5">
        <f t="shared" si="3"/>
        <v>7170.694197</v>
      </c>
      <c r="L227" s="5">
        <f t="shared" si="4"/>
        <v>0</v>
      </c>
      <c r="M227" s="5">
        <v>44616.976125770714</v>
      </c>
      <c r="N227" s="5">
        <f t="shared" si="5"/>
        <v>0</v>
      </c>
      <c r="O227" s="5">
        <f t="shared" si="6"/>
        <v>44616.97613</v>
      </c>
      <c r="P227" s="5">
        <f t="shared" si="9"/>
        <v>51787.67032</v>
      </c>
      <c r="Q227" s="5">
        <f t="shared" si="7"/>
        <v>44616.97613</v>
      </c>
      <c r="R227" s="5">
        <f t="shared" si="8"/>
        <v>7170.694197</v>
      </c>
    </row>
    <row r="228" ht="15.75" customHeight="1">
      <c r="A228" s="4">
        <v>2019.0</v>
      </c>
      <c r="B228" s="4">
        <v>425.0</v>
      </c>
      <c r="C228" s="4" t="s">
        <v>21</v>
      </c>
      <c r="D228" s="5" t="s">
        <v>19</v>
      </c>
      <c r="E228" s="5" t="str">
        <f t="shared" si="1"/>
        <v/>
      </c>
      <c r="F228" s="5" t="str">
        <f t="shared" si="2"/>
        <v/>
      </c>
      <c r="G228" s="5" t="s">
        <v>19</v>
      </c>
      <c r="H228" s="5" t="s">
        <v>19</v>
      </c>
      <c r="I228" s="5" t="s">
        <v>19</v>
      </c>
      <c r="J228" s="5">
        <v>953.428288946805</v>
      </c>
      <c r="K228" s="5">
        <f t="shared" si="3"/>
        <v>953.4282889</v>
      </c>
      <c r="L228" s="5">
        <f t="shared" si="4"/>
        <v>0</v>
      </c>
      <c r="M228" s="5">
        <v>64352.71423042484</v>
      </c>
      <c r="N228" s="5">
        <f t="shared" si="5"/>
        <v>0</v>
      </c>
      <c r="O228" s="5">
        <f t="shared" si="6"/>
        <v>64352.71423</v>
      </c>
      <c r="P228" s="5">
        <f t="shared" si="9"/>
        <v>65306.14252</v>
      </c>
      <c r="Q228" s="5">
        <f t="shared" si="7"/>
        <v>64352.71423</v>
      </c>
      <c r="R228" s="5">
        <f t="shared" si="8"/>
        <v>953.4282889</v>
      </c>
    </row>
    <row r="229" ht="15.75" customHeight="1">
      <c r="A229" s="4">
        <v>2019.0</v>
      </c>
      <c r="B229" s="4">
        <v>426.0</v>
      </c>
      <c r="C229" s="4" t="s">
        <v>21</v>
      </c>
      <c r="D229" s="5" t="s">
        <v>19</v>
      </c>
      <c r="E229" s="5" t="str">
        <f t="shared" si="1"/>
        <v/>
      </c>
      <c r="F229" s="5" t="str">
        <f t="shared" si="2"/>
        <v/>
      </c>
      <c r="G229" s="5" t="s">
        <v>19</v>
      </c>
      <c r="H229" s="5" t="s">
        <v>19</v>
      </c>
      <c r="I229" s="5" t="s">
        <v>19</v>
      </c>
      <c r="J229" s="5">
        <v>2088.3474970628095</v>
      </c>
      <c r="K229" s="5">
        <f t="shared" si="3"/>
        <v>2088.347497</v>
      </c>
      <c r="L229" s="5">
        <f t="shared" si="4"/>
        <v>0</v>
      </c>
      <c r="M229" s="5">
        <v>45748.491321500245</v>
      </c>
      <c r="N229" s="5">
        <f t="shared" si="5"/>
        <v>0</v>
      </c>
      <c r="O229" s="5">
        <f t="shared" si="6"/>
        <v>45748.49132</v>
      </c>
      <c r="P229" s="5">
        <f t="shared" si="9"/>
        <v>47836.83882</v>
      </c>
      <c r="Q229" s="5">
        <f t="shared" si="7"/>
        <v>45748.49132</v>
      </c>
      <c r="R229" s="5">
        <f t="shared" si="8"/>
        <v>2088.347497</v>
      </c>
    </row>
    <row r="230" ht="15.75" customHeight="1">
      <c r="A230" s="4">
        <v>2019.0</v>
      </c>
      <c r="B230" s="4">
        <v>427.0</v>
      </c>
      <c r="C230" s="4" t="s">
        <v>21</v>
      </c>
      <c r="D230" s="5" t="s">
        <v>19</v>
      </c>
      <c r="E230" s="5" t="str">
        <f t="shared" si="1"/>
        <v/>
      </c>
      <c r="F230" s="5" t="str">
        <f t="shared" si="2"/>
        <v/>
      </c>
      <c r="G230" s="5" t="s">
        <v>19</v>
      </c>
      <c r="H230" s="5" t="s">
        <v>19</v>
      </c>
      <c r="I230" s="5" t="s">
        <v>19</v>
      </c>
      <c r="J230" s="5">
        <v>1423.0811145452467</v>
      </c>
      <c r="K230" s="5">
        <f t="shared" si="3"/>
        <v>1423.081115</v>
      </c>
      <c r="L230" s="5">
        <f t="shared" si="4"/>
        <v>0</v>
      </c>
      <c r="M230" s="5">
        <v>59846.656739032245</v>
      </c>
      <c r="N230" s="5">
        <f t="shared" si="5"/>
        <v>0</v>
      </c>
      <c r="O230" s="5">
        <f t="shared" si="6"/>
        <v>59846.65674</v>
      </c>
      <c r="P230" s="5">
        <f t="shared" si="9"/>
        <v>61269.73785</v>
      </c>
      <c r="Q230" s="5">
        <f t="shared" si="7"/>
        <v>59846.65674</v>
      </c>
      <c r="R230" s="5">
        <f t="shared" si="8"/>
        <v>1423.081115</v>
      </c>
    </row>
    <row r="231" ht="15.75" customHeight="1">
      <c r="A231" s="4">
        <v>2019.0</v>
      </c>
      <c r="B231" s="4">
        <v>428.0</v>
      </c>
      <c r="C231" s="4" t="s">
        <v>21</v>
      </c>
      <c r="D231" s="5" t="s">
        <v>19</v>
      </c>
      <c r="E231" s="5" t="str">
        <f t="shared" si="1"/>
        <v/>
      </c>
      <c r="F231" s="5" t="str">
        <f t="shared" si="2"/>
        <v/>
      </c>
      <c r="G231" s="5" t="s">
        <v>19</v>
      </c>
      <c r="H231" s="5" t="s">
        <v>19</v>
      </c>
      <c r="I231" s="5" t="s">
        <v>19</v>
      </c>
      <c r="J231" s="5">
        <v>0.0</v>
      </c>
      <c r="K231" s="5">
        <f t="shared" si="3"/>
        <v>0</v>
      </c>
      <c r="L231" s="5">
        <f t="shared" si="4"/>
        <v>0</v>
      </c>
      <c r="M231" s="5">
        <v>9288.169973521966</v>
      </c>
      <c r="N231" s="5">
        <f t="shared" si="5"/>
        <v>0</v>
      </c>
      <c r="O231" s="5">
        <f t="shared" si="6"/>
        <v>9288.169974</v>
      </c>
      <c r="P231" s="5">
        <f t="shared" si="9"/>
        <v>9288.169974</v>
      </c>
      <c r="Q231" s="5">
        <f t="shared" si="7"/>
        <v>9288.169974</v>
      </c>
      <c r="R231" s="5">
        <f t="shared" si="8"/>
        <v>0</v>
      </c>
    </row>
    <row r="232" ht="15.75" customHeight="1">
      <c r="A232" s="4">
        <v>2019.0</v>
      </c>
      <c r="B232" s="4">
        <v>429.0</v>
      </c>
      <c r="C232" s="4" t="s">
        <v>21</v>
      </c>
      <c r="D232" s="5">
        <v>4417.6650092673135</v>
      </c>
      <c r="E232" s="5">
        <f t="shared" si="1"/>
        <v>0</v>
      </c>
      <c r="F232" s="5">
        <f t="shared" si="2"/>
        <v>4417.665009</v>
      </c>
      <c r="G232" s="5">
        <v>2423.118772583445</v>
      </c>
      <c r="H232" s="5">
        <v>1595.984983984945</v>
      </c>
      <c r="I232" s="5">
        <v>827.1337885985001</v>
      </c>
      <c r="J232" s="5">
        <v>17174.028948866886</v>
      </c>
      <c r="K232" s="5">
        <f t="shared" si="3"/>
        <v>17174.02895</v>
      </c>
      <c r="L232" s="5">
        <f t="shared" si="4"/>
        <v>0</v>
      </c>
      <c r="M232" s="5">
        <v>2818.3660489150607</v>
      </c>
      <c r="N232" s="5">
        <f t="shared" si="5"/>
        <v>0</v>
      </c>
      <c r="O232" s="5">
        <f t="shared" si="6"/>
        <v>2818.366049</v>
      </c>
      <c r="P232" s="5">
        <f t="shared" si="9"/>
        <v>26833.17878</v>
      </c>
      <c r="Q232" s="5">
        <f t="shared" si="7"/>
        <v>8063.164847</v>
      </c>
      <c r="R232" s="5">
        <f t="shared" si="8"/>
        <v>18770.01393</v>
      </c>
    </row>
    <row r="233" ht="15.75" customHeight="1">
      <c r="A233" s="4">
        <v>2019.0</v>
      </c>
      <c r="B233" s="4">
        <v>500.0</v>
      </c>
      <c r="C233" s="4" t="s">
        <v>22</v>
      </c>
      <c r="D233" s="5">
        <v>12088.454077864499</v>
      </c>
      <c r="E233" s="5">
        <f t="shared" si="1"/>
        <v>0</v>
      </c>
      <c r="F233" s="5">
        <f t="shared" si="2"/>
        <v>12088.45408</v>
      </c>
      <c r="G233" s="5">
        <v>13847.1058359124</v>
      </c>
      <c r="H233" s="5">
        <v>7529.213286257412</v>
      </c>
      <c r="I233" s="5">
        <v>6317.892549654988</v>
      </c>
      <c r="J233" s="5">
        <v>71578.35751849477</v>
      </c>
      <c r="K233" s="5">
        <f t="shared" si="3"/>
        <v>71578.35752</v>
      </c>
      <c r="L233" s="5">
        <f t="shared" si="4"/>
        <v>0</v>
      </c>
      <c r="M233" s="5">
        <v>3818.8723281613347</v>
      </c>
      <c r="N233" s="5">
        <f t="shared" si="5"/>
        <v>0</v>
      </c>
      <c r="O233" s="5">
        <f t="shared" si="6"/>
        <v>3818.872328</v>
      </c>
      <c r="P233" s="5">
        <f t="shared" si="9"/>
        <v>101332.7898</v>
      </c>
      <c r="Q233" s="5">
        <f t="shared" si="7"/>
        <v>22225.21896</v>
      </c>
      <c r="R233" s="5">
        <f t="shared" si="8"/>
        <v>79107.5708</v>
      </c>
    </row>
    <row r="234" ht="15.75" customHeight="1">
      <c r="A234" s="4">
        <v>2019.0</v>
      </c>
      <c r="B234" s="4">
        <v>501.0</v>
      </c>
      <c r="C234" s="4" t="s">
        <v>22</v>
      </c>
      <c r="D234" s="5">
        <v>9398.62789744265</v>
      </c>
      <c r="E234" s="5">
        <f t="shared" si="1"/>
        <v>0</v>
      </c>
      <c r="F234" s="5">
        <f t="shared" si="2"/>
        <v>9398.627897</v>
      </c>
      <c r="G234" s="5">
        <v>14980.963052911025</v>
      </c>
      <c r="H234" s="5">
        <v>3926.9589419874474</v>
      </c>
      <c r="I234" s="5">
        <v>11054.004110923579</v>
      </c>
      <c r="J234" s="5">
        <v>22274.05959089003</v>
      </c>
      <c r="K234" s="5">
        <f t="shared" si="3"/>
        <v>22274.05959</v>
      </c>
      <c r="L234" s="5">
        <f t="shared" si="4"/>
        <v>0</v>
      </c>
      <c r="M234" s="5">
        <v>2271.7606310021793</v>
      </c>
      <c r="N234" s="5">
        <f t="shared" si="5"/>
        <v>0</v>
      </c>
      <c r="O234" s="5">
        <f t="shared" si="6"/>
        <v>2271.760631</v>
      </c>
      <c r="P234" s="5">
        <f t="shared" si="9"/>
        <v>48925.41117</v>
      </c>
      <c r="Q234" s="5">
        <f t="shared" si="7"/>
        <v>22724.39264</v>
      </c>
      <c r="R234" s="5">
        <f t="shared" si="8"/>
        <v>26201.01853</v>
      </c>
    </row>
    <row r="235" ht="15.75" customHeight="1">
      <c r="A235" s="4">
        <v>2019.0</v>
      </c>
      <c r="B235" s="4">
        <v>502.0</v>
      </c>
      <c r="C235" s="4" t="s">
        <v>22</v>
      </c>
      <c r="D235" s="5" t="s">
        <v>19</v>
      </c>
      <c r="E235" s="5" t="str">
        <f t="shared" si="1"/>
        <v/>
      </c>
      <c r="F235" s="5" t="str">
        <f t="shared" si="2"/>
        <v/>
      </c>
      <c r="G235" s="5" t="s">
        <v>19</v>
      </c>
      <c r="H235" s="5" t="s">
        <v>19</v>
      </c>
      <c r="I235" s="5" t="s">
        <v>19</v>
      </c>
      <c r="J235" s="5">
        <v>0.0</v>
      </c>
      <c r="K235" s="5">
        <f t="shared" si="3"/>
        <v>0</v>
      </c>
      <c r="L235" s="5">
        <f t="shared" si="4"/>
        <v>0</v>
      </c>
      <c r="M235" s="5">
        <v>1124.1702091557177</v>
      </c>
      <c r="N235" s="5">
        <f t="shared" si="5"/>
        <v>0</v>
      </c>
      <c r="O235" s="5">
        <f t="shared" si="6"/>
        <v>1124.170209</v>
      </c>
      <c r="P235" s="5">
        <f t="shared" si="9"/>
        <v>1124.170209</v>
      </c>
      <c r="Q235" s="5">
        <f t="shared" si="7"/>
        <v>1124.170209</v>
      </c>
      <c r="R235" s="5">
        <f t="shared" si="8"/>
        <v>0</v>
      </c>
    </row>
    <row r="236" ht="15.75" customHeight="1">
      <c r="A236" s="4">
        <v>2019.0</v>
      </c>
      <c r="B236" s="4">
        <v>503.0</v>
      </c>
      <c r="C236" s="4" t="s">
        <v>22</v>
      </c>
      <c r="D236" s="5">
        <v>848.0091277842663</v>
      </c>
      <c r="E236" s="5">
        <f t="shared" si="1"/>
        <v>0</v>
      </c>
      <c r="F236" s="5">
        <f t="shared" si="2"/>
        <v>848.0091278</v>
      </c>
      <c r="G236" s="5" t="s">
        <v>19</v>
      </c>
      <c r="H236" s="5" t="s">
        <v>19</v>
      </c>
      <c r="I236" s="5" t="s">
        <v>19</v>
      </c>
      <c r="J236" s="5">
        <v>384.1804393760332</v>
      </c>
      <c r="K236" s="5">
        <f t="shared" si="3"/>
        <v>384.1804394</v>
      </c>
      <c r="L236" s="5">
        <f t="shared" si="4"/>
        <v>0</v>
      </c>
      <c r="M236" s="5">
        <v>279.66489271888565</v>
      </c>
      <c r="N236" s="5">
        <f t="shared" si="5"/>
        <v>0</v>
      </c>
      <c r="O236" s="5">
        <f t="shared" si="6"/>
        <v>279.6648927</v>
      </c>
      <c r="P236" s="5">
        <f t="shared" si="9"/>
        <v>1511.85446</v>
      </c>
      <c r="Q236" s="5">
        <f t="shared" si="7"/>
        <v>1127.674021</v>
      </c>
      <c r="R236" s="5">
        <f t="shared" si="8"/>
        <v>384.1804394</v>
      </c>
    </row>
    <row r="237" ht="15.75" customHeight="1">
      <c r="A237" s="4">
        <v>2019.0</v>
      </c>
      <c r="B237" s="4">
        <v>504.0</v>
      </c>
      <c r="C237" s="4" t="s">
        <v>22</v>
      </c>
      <c r="D237" s="5">
        <v>2229.172509175472</v>
      </c>
      <c r="E237" s="5">
        <f t="shared" si="1"/>
        <v>0</v>
      </c>
      <c r="F237" s="5">
        <f t="shared" si="2"/>
        <v>2229.172509</v>
      </c>
      <c r="G237" s="5">
        <v>4742.132042066812</v>
      </c>
      <c r="H237" s="5">
        <v>1796.1101048031303</v>
      </c>
      <c r="I237" s="5">
        <v>2946.021937263681</v>
      </c>
      <c r="J237" s="5">
        <v>22779.969812920863</v>
      </c>
      <c r="K237" s="5">
        <f t="shared" si="3"/>
        <v>22779.96981</v>
      </c>
      <c r="L237" s="5">
        <f t="shared" si="4"/>
        <v>0</v>
      </c>
      <c r="M237" s="5">
        <v>17201.181859652526</v>
      </c>
      <c r="N237" s="5">
        <f t="shared" si="5"/>
        <v>0</v>
      </c>
      <c r="O237" s="5">
        <f t="shared" si="6"/>
        <v>17201.18186</v>
      </c>
      <c r="P237" s="5">
        <f t="shared" si="9"/>
        <v>46952.45622</v>
      </c>
      <c r="Q237" s="5">
        <f t="shared" si="7"/>
        <v>22376.37631</v>
      </c>
      <c r="R237" s="5">
        <f t="shared" si="8"/>
        <v>24576.07992</v>
      </c>
    </row>
    <row r="238" ht="15.75" customHeight="1">
      <c r="A238" s="4">
        <v>2019.0</v>
      </c>
      <c r="B238" s="4">
        <v>505.0</v>
      </c>
      <c r="C238" s="4" t="s">
        <v>22</v>
      </c>
      <c r="D238" s="5">
        <v>5415.503835850017</v>
      </c>
      <c r="E238" s="5">
        <f t="shared" si="1"/>
        <v>0</v>
      </c>
      <c r="F238" s="5">
        <f t="shared" si="2"/>
        <v>5415.503836</v>
      </c>
      <c r="G238" s="5">
        <v>14544.67887773315</v>
      </c>
      <c r="H238" s="5">
        <v>5585.159899972621</v>
      </c>
      <c r="I238" s="5">
        <v>8959.518977760528</v>
      </c>
      <c r="J238" s="5">
        <v>36072.48848358465</v>
      </c>
      <c r="K238" s="5">
        <f t="shared" si="3"/>
        <v>36072.48848</v>
      </c>
      <c r="L238" s="5">
        <f t="shared" si="4"/>
        <v>0</v>
      </c>
      <c r="M238" s="5">
        <v>9496.896246096738</v>
      </c>
      <c r="N238" s="5">
        <f t="shared" si="5"/>
        <v>0</v>
      </c>
      <c r="O238" s="5">
        <f t="shared" si="6"/>
        <v>9496.896246</v>
      </c>
      <c r="P238" s="5">
        <f t="shared" si="9"/>
        <v>65529.56744</v>
      </c>
      <c r="Q238" s="5">
        <f t="shared" si="7"/>
        <v>23871.91906</v>
      </c>
      <c r="R238" s="5">
        <f t="shared" si="8"/>
        <v>41657.64838</v>
      </c>
    </row>
    <row r="239" ht="15.75" customHeight="1">
      <c r="A239" s="4">
        <v>2019.0</v>
      </c>
      <c r="B239" s="4">
        <v>506.0</v>
      </c>
      <c r="C239" s="4" t="s">
        <v>22</v>
      </c>
      <c r="D239" s="5">
        <v>7448.500768088069</v>
      </c>
      <c r="E239" s="5">
        <f t="shared" si="1"/>
        <v>0</v>
      </c>
      <c r="F239" s="5">
        <f t="shared" si="2"/>
        <v>7448.500768</v>
      </c>
      <c r="G239" s="5">
        <v>19976.356653889743</v>
      </c>
      <c r="H239" s="5">
        <v>9230.68143291248</v>
      </c>
      <c r="I239" s="5">
        <v>10745.675220977262</v>
      </c>
      <c r="J239" s="5">
        <v>8133.16839405145</v>
      </c>
      <c r="K239" s="5">
        <f t="shared" si="3"/>
        <v>8133.168394</v>
      </c>
      <c r="L239" s="5">
        <f t="shared" si="4"/>
        <v>0</v>
      </c>
      <c r="M239" s="5">
        <v>3933.2180724749687</v>
      </c>
      <c r="N239" s="5">
        <f t="shared" si="5"/>
        <v>0</v>
      </c>
      <c r="O239" s="5">
        <f t="shared" si="6"/>
        <v>3933.218072</v>
      </c>
      <c r="P239" s="5">
        <f t="shared" si="9"/>
        <v>39491.24389</v>
      </c>
      <c r="Q239" s="5">
        <f t="shared" si="7"/>
        <v>22127.39406</v>
      </c>
      <c r="R239" s="5">
        <f t="shared" si="8"/>
        <v>17363.84983</v>
      </c>
    </row>
    <row r="240" ht="15.75" customHeight="1">
      <c r="A240" s="4">
        <v>2019.0</v>
      </c>
      <c r="B240" s="4">
        <v>507.0</v>
      </c>
      <c r="C240" s="4" t="s">
        <v>22</v>
      </c>
      <c r="D240" s="5" t="s">
        <v>19</v>
      </c>
      <c r="E240" s="5" t="str">
        <f t="shared" si="1"/>
        <v/>
      </c>
      <c r="F240" s="5" t="str">
        <f t="shared" si="2"/>
        <v/>
      </c>
      <c r="G240" s="5" t="s">
        <v>19</v>
      </c>
      <c r="H240" s="5" t="s">
        <v>19</v>
      </c>
      <c r="I240" s="5" t="s">
        <v>19</v>
      </c>
      <c r="J240" s="5">
        <v>0.0</v>
      </c>
      <c r="K240" s="5">
        <f t="shared" si="3"/>
        <v>0</v>
      </c>
      <c r="L240" s="5">
        <f t="shared" si="4"/>
        <v>0</v>
      </c>
      <c r="M240" s="5">
        <v>0.0</v>
      </c>
      <c r="N240" s="5">
        <f t="shared" si="5"/>
        <v>0</v>
      </c>
      <c r="O240" s="5">
        <f t="shared" si="6"/>
        <v>0</v>
      </c>
      <c r="P240" s="5">
        <f t="shared" si="9"/>
        <v>0</v>
      </c>
      <c r="Q240" s="5">
        <f t="shared" si="7"/>
        <v>0</v>
      </c>
      <c r="R240" s="5">
        <f t="shared" si="8"/>
        <v>0</v>
      </c>
    </row>
    <row r="241" ht="15.75" customHeight="1">
      <c r="A241" s="4">
        <v>2019.0</v>
      </c>
      <c r="B241" s="4">
        <v>508.0</v>
      </c>
      <c r="C241" s="4" t="s">
        <v>22</v>
      </c>
      <c r="D241" s="5" t="s">
        <v>19</v>
      </c>
      <c r="E241" s="5" t="str">
        <f t="shared" si="1"/>
        <v/>
      </c>
      <c r="F241" s="5" t="str">
        <f t="shared" si="2"/>
        <v/>
      </c>
      <c r="G241" s="5" t="s">
        <v>19</v>
      </c>
      <c r="H241" s="5" t="s">
        <v>19</v>
      </c>
      <c r="I241" s="5" t="s">
        <v>19</v>
      </c>
      <c r="J241" s="5">
        <v>0.0</v>
      </c>
      <c r="K241" s="5">
        <f t="shared" si="3"/>
        <v>0</v>
      </c>
      <c r="L241" s="5">
        <f t="shared" si="4"/>
        <v>0</v>
      </c>
      <c r="M241" s="5">
        <v>25715.39353443704</v>
      </c>
      <c r="N241" s="5">
        <f t="shared" si="5"/>
        <v>0</v>
      </c>
      <c r="O241" s="5">
        <f t="shared" si="6"/>
        <v>25715.39353</v>
      </c>
      <c r="P241" s="5">
        <f t="shared" si="9"/>
        <v>25715.39353</v>
      </c>
      <c r="Q241" s="5">
        <f t="shared" si="7"/>
        <v>25715.39353</v>
      </c>
      <c r="R241" s="5">
        <f t="shared" si="8"/>
        <v>0</v>
      </c>
    </row>
    <row r="242" ht="15.75" customHeight="1">
      <c r="A242" s="4">
        <v>2019.0</v>
      </c>
      <c r="B242" s="4">
        <v>520.0</v>
      </c>
      <c r="C242" s="4" t="s">
        <v>22</v>
      </c>
      <c r="D242" s="5">
        <v>1923.133571475111</v>
      </c>
      <c r="E242" s="5">
        <f t="shared" si="1"/>
        <v>0</v>
      </c>
      <c r="F242" s="5">
        <f t="shared" si="2"/>
        <v>1923.133571</v>
      </c>
      <c r="G242" s="5">
        <v>1884.4104898437308</v>
      </c>
      <c r="H242" s="5">
        <v>828.418157835455</v>
      </c>
      <c r="I242" s="5">
        <v>1055.9923320082758</v>
      </c>
      <c r="J242" s="5">
        <v>11287.246215217248</v>
      </c>
      <c r="K242" s="5">
        <f t="shared" si="3"/>
        <v>11287.24622</v>
      </c>
      <c r="L242" s="5">
        <f t="shared" si="4"/>
        <v>0</v>
      </c>
      <c r="M242" s="5">
        <v>247045.63378108828</v>
      </c>
      <c r="N242" s="5">
        <f t="shared" si="5"/>
        <v>0</v>
      </c>
      <c r="O242" s="5">
        <f t="shared" si="6"/>
        <v>247045.6338</v>
      </c>
      <c r="P242" s="5">
        <f t="shared" si="9"/>
        <v>262140.4241</v>
      </c>
      <c r="Q242" s="5">
        <f t="shared" si="7"/>
        <v>250024.7597</v>
      </c>
      <c r="R242" s="5">
        <f t="shared" si="8"/>
        <v>12115.66437</v>
      </c>
    </row>
    <row r="243" ht="15.75" customHeight="1">
      <c r="A243" s="4">
        <v>2019.0</v>
      </c>
      <c r="B243" s="4">
        <v>521.0</v>
      </c>
      <c r="C243" s="4" t="s">
        <v>22</v>
      </c>
      <c r="D243" s="5">
        <v>3453.7480664758214</v>
      </c>
      <c r="E243" s="5">
        <f t="shared" si="1"/>
        <v>0</v>
      </c>
      <c r="F243" s="5">
        <f t="shared" si="2"/>
        <v>3453.748066</v>
      </c>
      <c r="G243" s="5">
        <v>3750.358171906246</v>
      </c>
      <c r="H243" s="5">
        <v>1946.9432170679383</v>
      </c>
      <c r="I243" s="5">
        <v>1803.4149548383075</v>
      </c>
      <c r="J243" s="5">
        <v>3869.824036826655</v>
      </c>
      <c r="K243" s="5">
        <f t="shared" si="3"/>
        <v>3869.824037</v>
      </c>
      <c r="L243" s="5">
        <f t="shared" si="4"/>
        <v>0</v>
      </c>
      <c r="M243" s="5">
        <v>47306.76314594805</v>
      </c>
      <c r="N243" s="5">
        <f t="shared" si="5"/>
        <v>0</v>
      </c>
      <c r="O243" s="5">
        <f t="shared" si="6"/>
        <v>47306.76315</v>
      </c>
      <c r="P243" s="5">
        <f t="shared" si="9"/>
        <v>58380.69342</v>
      </c>
      <c r="Q243" s="5">
        <f t="shared" si="7"/>
        <v>52563.92617</v>
      </c>
      <c r="R243" s="5">
        <f t="shared" si="8"/>
        <v>5816.767254</v>
      </c>
    </row>
    <row r="244" ht="15.75" customHeight="1">
      <c r="A244" s="4">
        <v>2019.0</v>
      </c>
      <c r="B244" s="4">
        <v>522.0</v>
      </c>
      <c r="C244" s="4" t="s">
        <v>22</v>
      </c>
      <c r="D244" s="5">
        <v>2275.351224054813</v>
      </c>
      <c r="E244" s="5">
        <f t="shared" si="1"/>
        <v>0</v>
      </c>
      <c r="F244" s="5">
        <f t="shared" si="2"/>
        <v>2275.351224</v>
      </c>
      <c r="G244" s="5" t="s">
        <v>19</v>
      </c>
      <c r="H244" s="5" t="s">
        <v>19</v>
      </c>
      <c r="I244" s="5" t="s">
        <v>19</v>
      </c>
      <c r="J244" s="5">
        <v>0.0</v>
      </c>
      <c r="K244" s="5">
        <f t="shared" si="3"/>
        <v>0</v>
      </c>
      <c r="L244" s="5">
        <f t="shared" si="4"/>
        <v>0</v>
      </c>
      <c r="M244" s="5">
        <v>9104.952098419286</v>
      </c>
      <c r="N244" s="5">
        <f t="shared" si="5"/>
        <v>0</v>
      </c>
      <c r="O244" s="5">
        <f t="shared" si="6"/>
        <v>9104.952098</v>
      </c>
      <c r="P244" s="5">
        <f t="shared" si="9"/>
        <v>11380.30332</v>
      </c>
      <c r="Q244" s="5">
        <f t="shared" si="7"/>
        <v>11380.30332</v>
      </c>
      <c r="R244" s="5">
        <f t="shared" si="8"/>
        <v>0</v>
      </c>
    </row>
    <row r="245" ht="15.75" customHeight="1">
      <c r="A245" s="4">
        <v>2019.0</v>
      </c>
      <c r="B245" s="4">
        <v>523.0</v>
      </c>
      <c r="C245" s="4" t="s">
        <v>22</v>
      </c>
      <c r="D245" s="5" t="s">
        <v>19</v>
      </c>
      <c r="E245" s="5" t="str">
        <f t="shared" si="1"/>
        <v/>
      </c>
      <c r="F245" s="5" t="str">
        <f t="shared" si="2"/>
        <v/>
      </c>
      <c r="G245" s="5" t="s">
        <v>19</v>
      </c>
      <c r="H245" s="5" t="s">
        <v>19</v>
      </c>
      <c r="I245" s="5" t="s">
        <v>19</v>
      </c>
      <c r="J245" s="5">
        <v>0.0</v>
      </c>
      <c r="K245" s="5">
        <f t="shared" si="3"/>
        <v>0</v>
      </c>
      <c r="L245" s="5">
        <f t="shared" si="4"/>
        <v>0</v>
      </c>
      <c r="M245" s="5">
        <v>48290.27431300229</v>
      </c>
      <c r="N245" s="5">
        <f t="shared" si="5"/>
        <v>0</v>
      </c>
      <c r="O245" s="5">
        <f t="shared" si="6"/>
        <v>48290.27431</v>
      </c>
      <c r="P245" s="5">
        <f t="shared" si="9"/>
        <v>48290.27431</v>
      </c>
      <c r="Q245" s="5">
        <f t="shared" si="7"/>
        <v>48290.27431</v>
      </c>
      <c r="R245" s="5">
        <f t="shared" si="8"/>
        <v>0</v>
      </c>
    </row>
    <row r="246" ht="15.75" customHeight="1">
      <c r="A246" s="4">
        <v>2019.0</v>
      </c>
      <c r="B246" s="4">
        <v>524.0</v>
      </c>
      <c r="C246" s="4" t="s">
        <v>22</v>
      </c>
      <c r="D246" s="5">
        <v>4817.111652313535</v>
      </c>
      <c r="E246" s="5">
        <f t="shared" si="1"/>
        <v>0</v>
      </c>
      <c r="F246" s="5">
        <f t="shared" si="2"/>
        <v>4817.111652</v>
      </c>
      <c r="G246" s="5">
        <v>19953.077461469948</v>
      </c>
      <c r="H246" s="5">
        <v>11114.048372751187</v>
      </c>
      <c r="I246" s="5">
        <v>8839.02908871876</v>
      </c>
      <c r="J246" s="5">
        <v>3091.500618317674</v>
      </c>
      <c r="K246" s="5">
        <f t="shared" si="3"/>
        <v>3091.500618</v>
      </c>
      <c r="L246" s="5">
        <f t="shared" si="4"/>
        <v>0</v>
      </c>
      <c r="M246" s="5">
        <v>270043.9382285065</v>
      </c>
      <c r="N246" s="5">
        <f t="shared" si="5"/>
        <v>0</v>
      </c>
      <c r="O246" s="5">
        <f t="shared" si="6"/>
        <v>270043.9382</v>
      </c>
      <c r="P246" s="5">
        <f t="shared" si="9"/>
        <v>297905.628</v>
      </c>
      <c r="Q246" s="5">
        <f t="shared" si="7"/>
        <v>283700.079</v>
      </c>
      <c r="R246" s="5">
        <f t="shared" si="8"/>
        <v>14205.54899</v>
      </c>
    </row>
    <row r="247" ht="15.75" customHeight="1">
      <c r="A247" s="4">
        <v>2019.0</v>
      </c>
      <c r="B247" s="4">
        <v>525.0</v>
      </c>
      <c r="C247" s="4" t="s">
        <v>22</v>
      </c>
      <c r="D247" s="5">
        <v>4125.648367970237</v>
      </c>
      <c r="E247" s="5">
        <f t="shared" si="1"/>
        <v>0</v>
      </c>
      <c r="F247" s="5">
        <f t="shared" si="2"/>
        <v>4125.648368</v>
      </c>
      <c r="G247" s="5">
        <v>1883.6077590706348</v>
      </c>
      <c r="H247" s="5">
        <v>1374.4356296956064</v>
      </c>
      <c r="I247" s="5">
        <v>509.17212937502836</v>
      </c>
      <c r="J247" s="5">
        <v>1787.030568896621</v>
      </c>
      <c r="K247" s="5">
        <f t="shared" si="3"/>
        <v>1787.030569</v>
      </c>
      <c r="L247" s="5">
        <f t="shared" si="4"/>
        <v>0</v>
      </c>
      <c r="M247" s="5">
        <v>33565.435530503455</v>
      </c>
      <c r="N247" s="5">
        <f t="shared" si="5"/>
        <v>0</v>
      </c>
      <c r="O247" s="5">
        <f t="shared" si="6"/>
        <v>33565.43553</v>
      </c>
      <c r="P247" s="5">
        <f t="shared" si="9"/>
        <v>41361.72223</v>
      </c>
      <c r="Q247" s="5">
        <f t="shared" si="7"/>
        <v>38200.25603</v>
      </c>
      <c r="R247" s="5">
        <f t="shared" si="8"/>
        <v>3161.466199</v>
      </c>
    </row>
    <row r="248" ht="15.75" customHeight="1">
      <c r="A248" s="4">
        <v>2019.0</v>
      </c>
      <c r="B248" s="4">
        <v>526.0</v>
      </c>
      <c r="C248" s="4" t="s">
        <v>22</v>
      </c>
      <c r="D248" s="5">
        <v>10643.354166690347</v>
      </c>
      <c r="E248" s="5">
        <f t="shared" si="1"/>
        <v>0</v>
      </c>
      <c r="F248" s="5">
        <f t="shared" si="2"/>
        <v>10643.35417</v>
      </c>
      <c r="G248" s="5">
        <v>1806.144239466835</v>
      </c>
      <c r="H248" s="5">
        <v>1305.2402370546995</v>
      </c>
      <c r="I248" s="5">
        <v>500.90400241213547</v>
      </c>
      <c r="J248" s="5">
        <v>0.0</v>
      </c>
      <c r="K248" s="5">
        <f t="shared" si="3"/>
        <v>0</v>
      </c>
      <c r="L248" s="5">
        <f t="shared" si="4"/>
        <v>0</v>
      </c>
      <c r="M248" s="5">
        <v>716.9340402507787</v>
      </c>
      <c r="N248" s="5">
        <f t="shared" si="5"/>
        <v>0</v>
      </c>
      <c r="O248" s="5">
        <f t="shared" si="6"/>
        <v>716.9340403</v>
      </c>
      <c r="P248" s="5">
        <f t="shared" si="9"/>
        <v>13166.43245</v>
      </c>
      <c r="Q248" s="5">
        <f t="shared" si="7"/>
        <v>11861.19221</v>
      </c>
      <c r="R248" s="5">
        <f t="shared" si="8"/>
        <v>1305.240237</v>
      </c>
    </row>
    <row r="249" ht="15.75" customHeight="1">
      <c r="A249" s="4">
        <v>2019.0</v>
      </c>
      <c r="B249" s="4">
        <v>527.0</v>
      </c>
      <c r="C249" s="4" t="s">
        <v>22</v>
      </c>
      <c r="D249" s="5" t="s">
        <v>19</v>
      </c>
      <c r="E249" s="5" t="str">
        <f t="shared" si="1"/>
        <v/>
      </c>
      <c r="F249" s="5" t="str">
        <f t="shared" si="2"/>
        <v/>
      </c>
      <c r="G249" s="5" t="s">
        <v>19</v>
      </c>
      <c r="H249" s="5" t="s">
        <v>19</v>
      </c>
      <c r="I249" s="5" t="s">
        <v>19</v>
      </c>
      <c r="J249" s="5">
        <v>0.0</v>
      </c>
      <c r="K249" s="5">
        <f t="shared" si="3"/>
        <v>0</v>
      </c>
      <c r="L249" s="5">
        <f t="shared" si="4"/>
        <v>0</v>
      </c>
      <c r="M249" s="5">
        <v>245.56781836030234</v>
      </c>
      <c r="N249" s="5">
        <f t="shared" si="5"/>
        <v>0</v>
      </c>
      <c r="O249" s="5">
        <f t="shared" si="6"/>
        <v>245.5678184</v>
      </c>
      <c r="P249" s="5">
        <f t="shared" si="9"/>
        <v>245.5678184</v>
      </c>
      <c r="Q249" s="5">
        <f t="shared" si="7"/>
        <v>245.5678184</v>
      </c>
      <c r="R249" s="5">
        <f t="shared" si="8"/>
        <v>0</v>
      </c>
    </row>
    <row r="250" ht="15.75" customHeight="1">
      <c r="A250" s="4">
        <v>2019.0</v>
      </c>
      <c r="B250" s="4">
        <v>528.0</v>
      </c>
      <c r="C250" s="4" t="s">
        <v>22</v>
      </c>
      <c r="D250" s="5" t="s">
        <v>19</v>
      </c>
      <c r="E250" s="5" t="str">
        <f t="shared" si="1"/>
        <v/>
      </c>
      <c r="F250" s="5" t="str">
        <f t="shared" si="2"/>
        <v/>
      </c>
      <c r="G250" s="5" t="s">
        <v>19</v>
      </c>
      <c r="H250" s="5" t="s">
        <v>19</v>
      </c>
      <c r="I250" s="5" t="s">
        <v>19</v>
      </c>
      <c r="J250" s="5">
        <v>0.0</v>
      </c>
      <c r="K250" s="5">
        <f t="shared" si="3"/>
        <v>0</v>
      </c>
      <c r="L250" s="5">
        <f t="shared" si="4"/>
        <v>0</v>
      </c>
      <c r="M250" s="5">
        <v>0.0</v>
      </c>
      <c r="N250" s="5">
        <f t="shared" si="5"/>
        <v>0</v>
      </c>
      <c r="O250" s="5">
        <f t="shared" si="6"/>
        <v>0</v>
      </c>
      <c r="P250" s="5">
        <f t="shared" si="9"/>
        <v>0</v>
      </c>
      <c r="Q250" s="5">
        <f t="shared" si="7"/>
        <v>0</v>
      </c>
      <c r="R250" s="5">
        <f t="shared" si="8"/>
        <v>0</v>
      </c>
    </row>
    <row r="251" ht="15.75" customHeight="1">
      <c r="A251" s="4">
        <v>2018.0</v>
      </c>
      <c r="B251" s="4">
        <v>100.0</v>
      </c>
      <c r="C251" s="4" t="s">
        <v>18</v>
      </c>
      <c r="D251" s="5" t="s">
        <v>19</v>
      </c>
      <c r="E251" s="5" t="str">
        <f t="shared" si="1"/>
        <v/>
      </c>
      <c r="F251" s="5" t="str">
        <f t="shared" si="2"/>
        <v/>
      </c>
      <c r="G251" s="5" t="s">
        <v>19</v>
      </c>
      <c r="H251" s="5" t="s">
        <v>19</v>
      </c>
      <c r="I251" s="5" t="s">
        <v>19</v>
      </c>
      <c r="J251" s="5">
        <v>8906.366939705907</v>
      </c>
      <c r="K251" s="5">
        <f t="shared" si="3"/>
        <v>8906.36694</v>
      </c>
      <c r="L251" s="5">
        <f t="shared" si="4"/>
        <v>0</v>
      </c>
      <c r="M251" s="5">
        <v>29904.387926692958</v>
      </c>
      <c r="N251" s="5">
        <f t="shared" si="5"/>
        <v>0</v>
      </c>
      <c r="O251" s="5">
        <f t="shared" si="6"/>
        <v>29904.38793</v>
      </c>
      <c r="P251" s="5">
        <f t="shared" si="9"/>
        <v>38810.75487</v>
      </c>
      <c r="Q251" s="5">
        <f t="shared" si="7"/>
        <v>29904.38793</v>
      </c>
      <c r="R251" s="5">
        <f t="shared" si="8"/>
        <v>8906.36694</v>
      </c>
    </row>
    <row r="252" ht="15.75" customHeight="1">
      <c r="A252" s="4">
        <v>2018.0</v>
      </c>
      <c r="B252" s="4">
        <v>101.0</v>
      </c>
      <c r="C252" s="4" t="s">
        <v>18</v>
      </c>
      <c r="D252" s="5">
        <v>17373.577630573483</v>
      </c>
      <c r="E252" s="5">
        <f t="shared" si="1"/>
        <v>0</v>
      </c>
      <c r="F252" s="5">
        <f t="shared" si="2"/>
        <v>17373.57763</v>
      </c>
      <c r="G252" s="5">
        <v>4118.453123272875</v>
      </c>
      <c r="H252" s="5">
        <v>2527.9945117551</v>
      </c>
      <c r="I252" s="5">
        <v>1590.458611517775</v>
      </c>
      <c r="J252" s="5">
        <v>306339.2952541001</v>
      </c>
      <c r="K252" s="5">
        <f t="shared" si="3"/>
        <v>306339.2953</v>
      </c>
      <c r="L252" s="5">
        <f t="shared" si="4"/>
        <v>0</v>
      </c>
      <c r="M252" s="5">
        <v>160116.29543891846</v>
      </c>
      <c r="N252" s="5">
        <f t="shared" si="5"/>
        <v>0</v>
      </c>
      <c r="O252" s="5">
        <f t="shared" si="6"/>
        <v>160116.2954</v>
      </c>
      <c r="P252" s="5">
        <f t="shared" si="9"/>
        <v>487947.6214</v>
      </c>
      <c r="Q252" s="5">
        <f t="shared" si="7"/>
        <v>179080.3317</v>
      </c>
      <c r="R252" s="5">
        <f t="shared" si="8"/>
        <v>308867.2898</v>
      </c>
    </row>
    <row r="253" ht="15.75" customHeight="1">
      <c r="A253" s="4">
        <v>2018.0</v>
      </c>
      <c r="B253" s="4">
        <v>102.0</v>
      </c>
      <c r="C253" s="4" t="s">
        <v>18</v>
      </c>
      <c r="D253" s="5">
        <v>6637.06787352998</v>
      </c>
      <c r="E253" s="5">
        <f t="shared" si="1"/>
        <v>0</v>
      </c>
      <c r="F253" s="5">
        <f t="shared" si="2"/>
        <v>6637.067874</v>
      </c>
      <c r="G253" s="5">
        <v>10582.29502337515</v>
      </c>
      <c r="H253" s="5">
        <v>5313.159989779342</v>
      </c>
      <c r="I253" s="5">
        <v>5269.135033595809</v>
      </c>
      <c r="J253" s="5">
        <v>6480.646796571407</v>
      </c>
      <c r="K253" s="5">
        <f t="shared" si="3"/>
        <v>6480.646797</v>
      </c>
      <c r="L253" s="5">
        <f t="shared" si="4"/>
        <v>0</v>
      </c>
      <c r="M253" s="5">
        <v>14118.049316865137</v>
      </c>
      <c r="N253" s="5">
        <f t="shared" si="5"/>
        <v>0</v>
      </c>
      <c r="O253" s="5">
        <f t="shared" si="6"/>
        <v>14118.04932</v>
      </c>
      <c r="P253" s="5">
        <f t="shared" si="9"/>
        <v>37818.05901</v>
      </c>
      <c r="Q253" s="5">
        <f t="shared" si="7"/>
        <v>26024.25222</v>
      </c>
      <c r="R253" s="5">
        <f t="shared" si="8"/>
        <v>11793.80679</v>
      </c>
    </row>
    <row r="254" ht="15.75" customHeight="1">
      <c r="A254" s="4">
        <v>2018.0</v>
      </c>
      <c r="B254" s="4">
        <v>103.0</v>
      </c>
      <c r="C254" s="4" t="s">
        <v>18</v>
      </c>
      <c r="D254" s="5">
        <v>7668.316803761962</v>
      </c>
      <c r="E254" s="5">
        <f t="shared" si="1"/>
        <v>0</v>
      </c>
      <c r="F254" s="5">
        <f t="shared" si="2"/>
        <v>7668.316804</v>
      </c>
      <c r="G254" s="5" t="s">
        <v>19</v>
      </c>
      <c r="H254" s="5" t="s">
        <v>19</v>
      </c>
      <c r="I254" s="5" t="s">
        <v>19</v>
      </c>
      <c r="J254" s="5">
        <v>464.1207827933396</v>
      </c>
      <c r="K254" s="5">
        <f t="shared" si="3"/>
        <v>464.1207828</v>
      </c>
      <c r="L254" s="5">
        <f t="shared" si="4"/>
        <v>0</v>
      </c>
      <c r="M254" s="5">
        <v>1800.4106854705988</v>
      </c>
      <c r="N254" s="5">
        <f t="shared" si="5"/>
        <v>0</v>
      </c>
      <c r="O254" s="5">
        <f t="shared" si="6"/>
        <v>1800.410685</v>
      </c>
      <c r="P254" s="5">
        <f t="shared" si="9"/>
        <v>9932.848272</v>
      </c>
      <c r="Q254" s="5">
        <f t="shared" si="7"/>
        <v>9468.727489</v>
      </c>
      <c r="R254" s="5">
        <f t="shared" si="8"/>
        <v>464.1207828</v>
      </c>
    </row>
    <row r="255" ht="15.75" customHeight="1">
      <c r="A255" s="4">
        <v>2018.0</v>
      </c>
      <c r="B255" s="4">
        <v>104.0</v>
      </c>
      <c r="C255" s="4" t="s">
        <v>18</v>
      </c>
      <c r="D255" s="5">
        <v>6525.757090216407</v>
      </c>
      <c r="E255" s="5">
        <f t="shared" si="1"/>
        <v>0</v>
      </c>
      <c r="F255" s="5">
        <f t="shared" si="2"/>
        <v>6525.75709</v>
      </c>
      <c r="G255" s="5" t="s">
        <v>19</v>
      </c>
      <c r="H255" s="5" t="s">
        <v>19</v>
      </c>
      <c r="I255" s="5" t="s">
        <v>19</v>
      </c>
      <c r="J255" s="5">
        <v>4450.490618894767</v>
      </c>
      <c r="K255" s="5">
        <f t="shared" si="3"/>
        <v>4450.490619</v>
      </c>
      <c r="L255" s="5">
        <f t="shared" si="4"/>
        <v>0</v>
      </c>
      <c r="M255" s="5">
        <v>699.3990812379448</v>
      </c>
      <c r="N255" s="5">
        <f t="shared" si="5"/>
        <v>0</v>
      </c>
      <c r="O255" s="5">
        <f t="shared" si="6"/>
        <v>699.3990812</v>
      </c>
      <c r="P255" s="5">
        <f t="shared" si="9"/>
        <v>11675.64679</v>
      </c>
      <c r="Q255" s="5">
        <f t="shared" si="7"/>
        <v>7225.156171</v>
      </c>
      <c r="R255" s="5">
        <f t="shared" si="8"/>
        <v>4450.490619</v>
      </c>
    </row>
    <row r="256" ht="15.75" customHeight="1">
      <c r="A256" s="4">
        <v>2018.0</v>
      </c>
      <c r="B256" s="4">
        <v>105.0</v>
      </c>
      <c r="C256" s="4" t="s">
        <v>18</v>
      </c>
      <c r="D256" s="5">
        <v>14548.535937028284</v>
      </c>
      <c r="E256" s="5">
        <f t="shared" si="1"/>
        <v>0</v>
      </c>
      <c r="F256" s="5">
        <f t="shared" si="2"/>
        <v>14548.53594</v>
      </c>
      <c r="G256" s="5">
        <v>1888.589092576929</v>
      </c>
      <c r="H256" s="5">
        <v>970.3426453637217</v>
      </c>
      <c r="I256" s="5">
        <v>918.2464472132074</v>
      </c>
      <c r="J256" s="5">
        <v>18230.442583925822</v>
      </c>
      <c r="K256" s="5">
        <f t="shared" si="3"/>
        <v>18230.44258</v>
      </c>
      <c r="L256" s="5">
        <f t="shared" si="4"/>
        <v>0</v>
      </c>
      <c r="M256" s="5">
        <v>18444.055118532007</v>
      </c>
      <c r="N256" s="5">
        <f t="shared" si="5"/>
        <v>0</v>
      </c>
      <c r="O256" s="5">
        <f t="shared" si="6"/>
        <v>18444.05512</v>
      </c>
      <c r="P256" s="5">
        <f t="shared" si="9"/>
        <v>53111.62273</v>
      </c>
      <c r="Q256" s="5">
        <f t="shared" si="7"/>
        <v>33910.8375</v>
      </c>
      <c r="R256" s="5">
        <f t="shared" si="8"/>
        <v>19200.78523</v>
      </c>
    </row>
    <row r="257" ht="15.75" customHeight="1">
      <c r="A257" s="4">
        <v>2018.0</v>
      </c>
      <c r="B257" s="4">
        <v>106.0</v>
      </c>
      <c r="C257" s="4" t="s">
        <v>18</v>
      </c>
      <c r="D257" s="5">
        <v>11621.365517003158</v>
      </c>
      <c r="E257" s="5">
        <f t="shared" si="1"/>
        <v>0</v>
      </c>
      <c r="F257" s="5">
        <f t="shared" si="2"/>
        <v>11621.36552</v>
      </c>
      <c r="G257" s="5">
        <v>3237.0571949392174</v>
      </c>
      <c r="H257" s="5">
        <v>1894.54061443137</v>
      </c>
      <c r="I257" s="5">
        <v>1342.5165805078475</v>
      </c>
      <c r="J257" s="5">
        <v>21684.863473687117</v>
      </c>
      <c r="K257" s="5">
        <f t="shared" si="3"/>
        <v>21684.86347</v>
      </c>
      <c r="L257" s="5">
        <f t="shared" si="4"/>
        <v>0</v>
      </c>
      <c r="M257" s="5">
        <v>48989.65394841538</v>
      </c>
      <c r="N257" s="5">
        <f t="shared" si="5"/>
        <v>0</v>
      </c>
      <c r="O257" s="5">
        <f t="shared" si="6"/>
        <v>48989.65395</v>
      </c>
      <c r="P257" s="5">
        <f t="shared" si="9"/>
        <v>85532.94013</v>
      </c>
      <c r="Q257" s="5">
        <f t="shared" si="7"/>
        <v>61953.53605</v>
      </c>
      <c r="R257" s="5">
        <f t="shared" si="8"/>
        <v>23579.40409</v>
      </c>
    </row>
    <row r="258" ht="15.75" customHeight="1">
      <c r="A258" s="4">
        <v>2018.0</v>
      </c>
      <c r="B258" s="4">
        <v>107.0</v>
      </c>
      <c r="C258" s="4" t="s">
        <v>18</v>
      </c>
      <c r="D258" s="5">
        <v>1821.6854265248692</v>
      </c>
      <c r="E258" s="5">
        <f t="shared" si="1"/>
        <v>0</v>
      </c>
      <c r="F258" s="5">
        <f t="shared" si="2"/>
        <v>1821.685427</v>
      </c>
      <c r="G258" s="5" t="s">
        <v>19</v>
      </c>
      <c r="H258" s="5" t="s">
        <v>19</v>
      </c>
      <c r="I258" s="5" t="s">
        <v>19</v>
      </c>
      <c r="J258" s="5">
        <v>3567.5523106046394</v>
      </c>
      <c r="K258" s="5">
        <f t="shared" si="3"/>
        <v>3567.552311</v>
      </c>
      <c r="L258" s="5">
        <f t="shared" si="4"/>
        <v>0</v>
      </c>
      <c r="M258" s="5">
        <v>24816.539142130467</v>
      </c>
      <c r="N258" s="5">
        <f t="shared" si="5"/>
        <v>0</v>
      </c>
      <c r="O258" s="5">
        <f t="shared" si="6"/>
        <v>24816.53914</v>
      </c>
      <c r="P258" s="5">
        <f t="shared" si="9"/>
        <v>30205.77688</v>
      </c>
      <c r="Q258" s="5">
        <f t="shared" si="7"/>
        <v>26638.22457</v>
      </c>
      <c r="R258" s="5">
        <f t="shared" si="8"/>
        <v>3567.552311</v>
      </c>
    </row>
    <row r="259" ht="15.75" customHeight="1">
      <c r="A259" s="4">
        <v>2018.0</v>
      </c>
      <c r="B259" s="4">
        <v>108.0</v>
      </c>
      <c r="C259" s="4" t="s">
        <v>18</v>
      </c>
      <c r="D259" s="5">
        <v>9746.406836207594</v>
      </c>
      <c r="E259" s="5">
        <f t="shared" si="1"/>
        <v>0</v>
      </c>
      <c r="F259" s="5">
        <f t="shared" si="2"/>
        <v>9746.406836</v>
      </c>
      <c r="G259" s="5">
        <v>7255.5573621361455</v>
      </c>
      <c r="H259" s="5">
        <v>2097.544579055439</v>
      </c>
      <c r="I259" s="5">
        <v>5158.012783080707</v>
      </c>
      <c r="J259" s="5">
        <v>12624.085291978838</v>
      </c>
      <c r="K259" s="5">
        <f t="shared" si="3"/>
        <v>12624.08529</v>
      </c>
      <c r="L259" s="5">
        <f t="shared" si="4"/>
        <v>0</v>
      </c>
      <c r="M259" s="5">
        <v>37942.68539332542</v>
      </c>
      <c r="N259" s="5">
        <f t="shared" si="5"/>
        <v>0</v>
      </c>
      <c r="O259" s="5">
        <f t="shared" si="6"/>
        <v>37942.68539</v>
      </c>
      <c r="P259" s="5">
        <f t="shared" si="9"/>
        <v>67568.73488</v>
      </c>
      <c r="Q259" s="5">
        <f t="shared" si="7"/>
        <v>52847.10501</v>
      </c>
      <c r="R259" s="5">
        <f t="shared" si="8"/>
        <v>14721.62987</v>
      </c>
    </row>
    <row r="260" ht="15.75" customHeight="1">
      <c r="A260" s="4">
        <v>2018.0</v>
      </c>
      <c r="B260" s="4">
        <v>120.0</v>
      </c>
      <c r="C260" s="4" t="s">
        <v>18</v>
      </c>
      <c r="D260" s="5">
        <v>7250.359971475586</v>
      </c>
      <c r="E260" s="5">
        <f t="shared" si="1"/>
        <v>0</v>
      </c>
      <c r="F260" s="5">
        <f t="shared" si="2"/>
        <v>7250.359971</v>
      </c>
      <c r="G260" s="5">
        <v>4860.681273448587</v>
      </c>
      <c r="H260" s="5">
        <v>1485.5161604076936</v>
      </c>
      <c r="I260" s="5">
        <v>3375.1651130408927</v>
      </c>
      <c r="J260" s="5">
        <v>2412.3826107415994</v>
      </c>
      <c r="K260" s="5">
        <f t="shared" si="3"/>
        <v>2412.382611</v>
      </c>
      <c r="L260" s="5">
        <f t="shared" si="4"/>
        <v>0</v>
      </c>
      <c r="M260" s="5">
        <v>48139.65017105444</v>
      </c>
      <c r="N260" s="5">
        <f t="shared" si="5"/>
        <v>0</v>
      </c>
      <c r="O260" s="5">
        <f t="shared" si="6"/>
        <v>48139.65017</v>
      </c>
      <c r="P260" s="5">
        <f t="shared" si="9"/>
        <v>62663.07403</v>
      </c>
      <c r="Q260" s="5">
        <f t="shared" si="7"/>
        <v>58765.17526</v>
      </c>
      <c r="R260" s="5">
        <f t="shared" si="8"/>
        <v>3897.898771</v>
      </c>
    </row>
    <row r="261" ht="15.75" customHeight="1">
      <c r="A261" s="4">
        <v>2018.0</v>
      </c>
      <c r="B261" s="4">
        <v>121.0</v>
      </c>
      <c r="C261" s="4" t="s">
        <v>18</v>
      </c>
      <c r="D261" s="5">
        <v>8240.549515489176</v>
      </c>
      <c r="E261" s="5">
        <f t="shared" si="1"/>
        <v>0</v>
      </c>
      <c r="F261" s="5">
        <f t="shared" si="2"/>
        <v>8240.549515</v>
      </c>
      <c r="G261" s="5">
        <v>3355.5169381515752</v>
      </c>
      <c r="H261" s="5">
        <v>1607.954455215897</v>
      </c>
      <c r="I261" s="5">
        <v>1747.5624829356782</v>
      </c>
      <c r="J261" s="5">
        <v>39028.217590787244</v>
      </c>
      <c r="K261" s="5">
        <f t="shared" si="3"/>
        <v>39028.21759</v>
      </c>
      <c r="L261" s="5">
        <f t="shared" si="4"/>
        <v>0</v>
      </c>
      <c r="M261" s="5">
        <v>843229.772089941</v>
      </c>
      <c r="N261" s="5">
        <f t="shared" si="5"/>
        <v>0</v>
      </c>
      <c r="O261" s="5">
        <f t="shared" si="6"/>
        <v>843229.7721</v>
      </c>
      <c r="P261" s="5">
        <f t="shared" si="9"/>
        <v>893854.0561</v>
      </c>
      <c r="Q261" s="5">
        <f t="shared" si="7"/>
        <v>853217.8841</v>
      </c>
      <c r="R261" s="5">
        <f t="shared" si="8"/>
        <v>40636.17205</v>
      </c>
    </row>
    <row r="262" ht="15.75" customHeight="1">
      <c r="A262" s="4">
        <v>2018.0</v>
      </c>
      <c r="B262" s="4">
        <v>122.0</v>
      </c>
      <c r="C262" s="4" t="s">
        <v>18</v>
      </c>
      <c r="D262" s="5">
        <v>39822.104060058016</v>
      </c>
      <c r="E262" s="5">
        <f t="shared" si="1"/>
        <v>0</v>
      </c>
      <c r="F262" s="5">
        <f t="shared" si="2"/>
        <v>39822.10406</v>
      </c>
      <c r="G262" s="5">
        <v>14230.414864753951</v>
      </c>
      <c r="H262" s="5">
        <v>4953.900041782386</v>
      </c>
      <c r="I262" s="5">
        <v>9276.514822971565</v>
      </c>
      <c r="J262" s="5">
        <v>563.9146712437846</v>
      </c>
      <c r="K262" s="5">
        <f t="shared" si="3"/>
        <v>563.9146712</v>
      </c>
      <c r="L262" s="5">
        <f t="shared" si="4"/>
        <v>0</v>
      </c>
      <c r="M262" s="5">
        <v>181507.69587002444</v>
      </c>
      <c r="N262" s="5">
        <f t="shared" si="5"/>
        <v>0</v>
      </c>
      <c r="O262" s="5">
        <f t="shared" si="6"/>
        <v>181507.6959</v>
      </c>
      <c r="P262" s="5">
        <f t="shared" si="9"/>
        <v>236124.1295</v>
      </c>
      <c r="Q262" s="5">
        <f t="shared" si="7"/>
        <v>230606.3148</v>
      </c>
      <c r="R262" s="5">
        <f t="shared" si="8"/>
        <v>5517.814713</v>
      </c>
    </row>
    <row r="263" ht="15.75" customHeight="1">
      <c r="A263" s="4">
        <v>2018.0</v>
      </c>
      <c r="B263" s="4">
        <v>123.0</v>
      </c>
      <c r="C263" s="4" t="s">
        <v>18</v>
      </c>
      <c r="D263" s="5" t="s">
        <v>19</v>
      </c>
      <c r="E263" s="5" t="str">
        <f t="shared" si="1"/>
        <v/>
      </c>
      <c r="F263" s="5" t="str">
        <f t="shared" si="2"/>
        <v/>
      </c>
      <c r="G263" s="5" t="s">
        <v>19</v>
      </c>
      <c r="H263" s="5" t="s">
        <v>19</v>
      </c>
      <c r="I263" s="5" t="s">
        <v>19</v>
      </c>
      <c r="J263" s="5">
        <v>0.0</v>
      </c>
      <c r="K263" s="5">
        <f t="shared" si="3"/>
        <v>0</v>
      </c>
      <c r="L263" s="5">
        <f t="shared" si="4"/>
        <v>0</v>
      </c>
      <c r="M263" s="5">
        <v>2382.4521981993503</v>
      </c>
      <c r="N263" s="5">
        <f t="shared" si="5"/>
        <v>0</v>
      </c>
      <c r="O263" s="5">
        <f t="shared" si="6"/>
        <v>2382.452198</v>
      </c>
      <c r="P263" s="5">
        <f t="shared" si="9"/>
        <v>2382.452198</v>
      </c>
      <c r="Q263" s="5">
        <f t="shared" si="7"/>
        <v>2382.452198</v>
      </c>
      <c r="R263" s="5">
        <f t="shared" si="8"/>
        <v>0</v>
      </c>
    </row>
    <row r="264" ht="15.75" customHeight="1">
      <c r="A264" s="4">
        <v>2018.0</v>
      </c>
      <c r="B264" s="4">
        <v>124.0</v>
      </c>
      <c r="C264" s="4" t="s">
        <v>18</v>
      </c>
      <c r="D264" s="5" t="s">
        <v>19</v>
      </c>
      <c r="E264" s="5" t="str">
        <f t="shared" si="1"/>
        <v/>
      </c>
      <c r="F264" s="5" t="str">
        <f t="shared" si="2"/>
        <v/>
      </c>
      <c r="G264" s="5" t="s">
        <v>19</v>
      </c>
      <c r="H264" s="5" t="s">
        <v>19</v>
      </c>
      <c r="I264" s="5" t="s">
        <v>19</v>
      </c>
      <c r="J264" s="5">
        <v>0.0</v>
      </c>
      <c r="K264" s="5">
        <f t="shared" si="3"/>
        <v>0</v>
      </c>
      <c r="L264" s="5">
        <f t="shared" si="4"/>
        <v>0</v>
      </c>
      <c r="M264" s="5">
        <v>7215.140117300085</v>
      </c>
      <c r="N264" s="5">
        <f t="shared" si="5"/>
        <v>0</v>
      </c>
      <c r="O264" s="5">
        <f t="shared" si="6"/>
        <v>7215.140117</v>
      </c>
      <c r="P264" s="5">
        <f t="shared" si="9"/>
        <v>7215.140117</v>
      </c>
      <c r="Q264" s="5">
        <f t="shared" si="7"/>
        <v>7215.140117</v>
      </c>
      <c r="R264" s="5">
        <f t="shared" si="8"/>
        <v>0</v>
      </c>
    </row>
    <row r="265" ht="15.75" customHeight="1">
      <c r="A265" s="4">
        <v>2018.0</v>
      </c>
      <c r="B265" s="4">
        <v>125.0</v>
      </c>
      <c r="C265" s="4" t="s">
        <v>18</v>
      </c>
      <c r="D265" s="5">
        <v>9680.140105285504</v>
      </c>
      <c r="E265" s="5">
        <f t="shared" si="1"/>
        <v>0</v>
      </c>
      <c r="F265" s="5">
        <f t="shared" si="2"/>
        <v>9680.140105</v>
      </c>
      <c r="G265" s="5">
        <v>1749.1767313290748</v>
      </c>
      <c r="H265" s="5">
        <v>1208.3219918447085</v>
      </c>
      <c r="I265" s="5">
        <v>540.8547394843663</v>
      </c>
      <c r="J265" s="5">
        <v>1111.9890427335301</v>
      </c>
      <c r="K265" s="5">
        <f t="shared" si="3"/>
        <v>1111.989043</v>
      </c>
      <c r="L265" s="5">
        <f t="shared" si="4"/>
        <v>0</v>
      </c>
      <c r="M265" s="5">
        <v>281282.8734925487</v>
      </c>
      <c r="N265" s="5">
        <f t="shared" si="5"/>
        <v>0</v>
      </c>
      <c r="O265" s="5">
        <f t="shared" si="6"/>
        <v>281282.8735</v>
      </c>
      <c r="P265" s="5">
        <f t="shared" si="9"/>
        <v>293824.1794</v>
      </c>
      <c r="Q265" s="5">
        <f t="shared" si="7"/>
        <v>291503.8683</v>
      </c>
      <c r="R265" s="5">
        <f t="shared" si="8"/>
        <v>2320.311035</v>
      </c>
    </row>
    <row r="266" ht="15.75" customHeight="1">
      <c r="A266" s="4">
        <v>2018.0</v>
      </c>
      <c r="B266" s="4">
        <v>126.0</v>
      </c>
      <c r="C266" s="4" t="s">
        <v>18</v>
      </c>
      <c r="D266" s="5">
        <v>1987.352253830091</v>
      </c>
      <c r="E266" s="5">
        <f t="shared" si="1"/>
        <v>0</v>
      </c>
      <c r="F266" s="5">
        <f t="shared" si="2"/>
        <v>1987.352254</v>
      </c>
      <c r="G266" s="5" t="s">
        <v>19</v>
      </c>
      <c r="H266" s="5" t="s">
        <v>19</v>
      </c>
      <c r="I266" s="5" t="s">
        <v>19</v>
      </c>
      <c r="J266" s="5">
        <v>1408.9313019227434</v>
      </c>
      <c r="K266" s="5">
        <f t="shared" si="3"/>
        <v>1408.931302</v>
      </c>
      <c r="L266" s="5">
        <f t="shared" si="4"/>
        <v>0</v>
      </c>
      <c r="M266" s="5">
        <v>160940.85615019198</v>
      </c>
      <c r="N266" s="5">
        <f t="shared" si="5"/>
        <v>0</v>
      </c>
      <c r="O266" s="5">
        <f t="shared" si="6"/>
        <v>160940.8562</v>
      </c>
      <c r="P266" s="5">
        <f t="shared" si="9"/>
        <v>164337.1397</v>
      </c>
      <c r="Q266" s="5">
        <f t="shared" si="7"/>
        <v>162928.2084</v>
      </c>
      <c r="R266" s="5">
        <f t="shared" si="8"/>
        <v>1408.931302</v>
      </c>
    </row>
    <row r="267" ht="15.75" customHeight="1">
      <c r="A267" s="4">
        <v>2018.0</v>
      </c>
      <c r="B267" s="4">
        <v>127.0</v>
      </c>
      <c r="C267" s="4" t="s">
        <v>18</v>
      </c>
      <c r="D267" s="5">
        <v>1803.4945592129234</v>
      </c>
      <c r="E267" s="5">
        <f t="shared" si="1"/>
        <v>0</v>
      </c>
      <c r="F267" s="5">
        <f t="shared" si="2"/>
        <v>1803.494559</v>
      </c>
      <c r="G267" s="5" t="s">
        <v>19</v>
      </c>
      <c r="H267" s="5" t="s">
        <v>19</v>
      </c>
      <c r="I267" s="5" t="s">
        <v>19</v>
      </c>
      <c r="J267" s="5">
        <v>0.0</v>
      </c>
      <c r="K267" s="5">
        <f t="shared" si="3"/>
        <v>0</v>
      </c>
      <c r="L267" s="5">
        <f t="shared" si="4"/>
        <v>0</v>
      </c>
      <c r="M267" s="5">
        <v>44793.487649921226</v>
      </c>
      <c r="N267" s="5">
        <f t="shared" si="5"/>
        <v>0</v>
      </c>
      <c r="O267" s="5">
        <f t="shared" si="6"/>
        <v>44793.48765</v>
      </c>
      <c r="P267" s="5">
        <f t="shared" si="9"/>
        <v>46596.98221</v>
      </c>
      <c r="Q267" s="5">
        <f t="shared" si="7"/>
        <v>46596.98221</v>
      </c>
      <c r="R267" s="5">
        <f t="shared" si="8"/>
        <v>0</v>
      </c>
    </row>
    <row r="268" ht="15.75" customHeight="1">
      <c r="A268" s="4">
        <v>2018.0</v>
      </c>
      <c r="B268" s="4">
        <v>128.0</v>
      </c>
      <c r="C268" s="4" t="s">
        <v>18</v>
      </c>
      <c r="D268" s="5">
        <v>7374.664231440549</v>
      </c>
      <c r="E268" s="5">
        <f t="shared" si="1"/>
        <v>0</v>
      </c>
      <c r="F268" s="5">
        <f t="shared" si="2"/>
        <v>7374.664231</v>
      </c>
      <c r="G268" s="5">
        <v>2487.0023858864333</v>
      </c>
      <c r="H268" s="5">
        <v>1233.3509947120135</v>
      </c>
      <c r="I268" s="5">
        <v>1253.6513911744198</v>
      </c>
      <c r="J268" s="5">
        <v>0.0</v>
      </c>
      <c r="K268" s="5">
        <f t="shared" si="3"/>
        <v>0</v>
      </c>
      <c r="L268" s="5">
        <f t="shared" si="4"/>
        <v>0</v>
      </c>
      <c r="M268" s="5">
        <v>50373.84801914601</v>
      </c>
      <c r="N268" s="5">
        <f t="shared" si="5"/>
        <v>0</v>
      </c>
      <c r="O268" s="5">
        <f t="shared" si="6"/>
        <v>50373.84802</v>
      </c>
      <c r="P268" s="5">
        <f t="shared" si="9"/>
        <v>60235.51464</v>
      </c>
      <c r="Q268" s="5">
        <f t="shared" si="7"/>
        <v>59002.16364</v>
      </c>
      <c r="R268" s="5">
        <f t="shared" si="8"/>
        <v>1233.350995</v>
      </c>
    </row>
    <row r="269" ht="15.75" customHeight="1">
      <c r="A269" s="4">
        <v>2018.0</v>
      </c>
      <c r="B269" s="4">
        <v>300.0</v>
      </c>
      <c r="C269" s="4" t="s">
        <v>20</v>
      </c>
      <c r="D269" s="5" t="s">
        <v>19</v>
      </c>
      <c r="E269" s="5" t="str">
        <f t="shared" si="1"/>
        <v/>
      </c>
      <c r="F269" s="5" t="str">
        <f t="shared" si="2"/>
        <v/>
      </c>
      <c r="G269" s="5">
        <v>13594.638181321112</v>
      </c>
      <c r="H269" s="5">
        <v>5946.390926576187</v>
      </c>
      <c r="I269" s="5">
        <v>7648.247254744925</v>
      </c>
      <c r="J269" s="5">
        <v>110175.4935222161</v>
      </c>
      <c r="K269" s="5">
        <f t="shared" si="3"/>
        <v>110175.4935</v>
      </c>
      <c r="L269" s="5">
        <f t="shared" si="4"/>
        <v>0</v>
      </c>
      <c r="M269" s="5">
        <v>2056.441992019534</v>
      </c>
      <c r="N269" s="5">
        <f t="shared" si="5"/>
        <v>0</v>
      </c>
      <c r="O269" s="5">
        <f t="shared" si="6"/>
        <v>2056.441992</v>
      </c>
      <c r="P269" s="5">
        <f t="shared" si="9"/>
        <v>125826.5737</v>
      </c>
      <c r="Q269" s="5">
        <f t="shared" si="7"/>
        <v>9704.689247</v>
      </c>
      <c r="R269" s="5">
        <f t="shared" si="8"/>
        <v>116121.8844</v>
      </c>
    </row>
    <row r="270" ht="15.75" customHeight="1">
      <c r="A270" s="4">
        <v>2018.0</v>
      </c>
      <c r="B270" s="4">
        <v>301.0</v>
      </c>
      <c r="C270" s="4" t="s">
        <v>20</v>
      </c>
      <c r="D270" s="5" t="s">
        <v>19</v>
      </c>
      <c r="E270" s="5" t="str">
        <f t="shared" si="1"/>
        <v/>
      </c>
      <c r="F270" s="5" t="str">
        <f t="shared" si="2"/>
        <v/>
      </c>
      <c r="G270" s="5" t="s">
        <v>19</v>
      </c>
      <c r="H270" s="5" t="s">
        <v>19</v>
      </c>
      <c r="I270" s="5" t="s">
        <v>19</v>
      </c>
      <c r="J270" s="5">
        <v>2770.767509564171</v>
      </c>
      <c r="K270" s="5">
        <f t="shared" si="3"/>
        <v>2770.76751</v>
      </c>
      <c r="L270" s="5">
        <f t="shared" si="4"/>
        <v>0</v>
      </c>
      <c r="M270" s="5">
        <v>0.0</v>
      </c>
      <c r="N270" s="5">
        <f t="shared" si="5"/>
        <v>0</v>
      </c>
      <c r="O270" s="5">
        <f t="shared" si="6"/>
        <v>0</v>
      </c>
      <c r="P270" s="5">
        <f t="shared" si="9"/>
        <v>2770.76751</v>
      </c>
      <c r="Q270" s="5">
        <f t="shared" si="7"/>
        <v>0</v>
      </c>
      <c r="R270" s="5">
        <f t="shared" si="8"/>
        <v>2770.76751</v>
      </c>
    </row>
    <row r="271" ht="15.75" customHeight="1">
      <c r="A271" s="4">
        <v>2018.0</v>
      </c>
      <c r="B271" s="4">
        <v>302.0</v>
      </c>
      <c r="C271" s="4" t="s">
        <v>20</v>
      </c>
      <c r="D271" s="5">
        <v>5705.12211477005</v>
      </c>
      <c r="E271" s="5">
        <f t="shared" si="1"/>
        <v>0</v>
      </c>
      <c r="F271" s="5">
        <f t="shared" si="2"/>
        <v>5705.122115</v>
      </c>
      <c r="G271" s="5">
        <v>2033.041549201069</v>
      </c>
      <c r="H271" s="5">
        <v>1515.540063949888</v>
      </c>
      <c r="I271" s="5">
        <v>517.5014852511811</v>
      </c>
      <c r="J271" s="5">
        <v>26745.091095560314</v>
      </c>
      <c r="K271" s="5">
        <f t="shared" si="3"/>
        <v>26745.0911</v>
      </c>
      <c r="L271" s="5">
        <f t="shared" si="4"/>
        <v>0</v>
      </c>
      <c r="M271" s="5">
        <v>685.3577078335954</v>
      </c>
      <c r="N271" s="5">
        <f t="shared" si="5"/>
        <v>0</v>
      </c>
      <c r="O271" s="5">
        <f t="shared" si="6"/>
        <v>685.3577078</v>
      </c>
      <c r="P271" s="5">
        <f t="shared" si="9"/>
        <v>35168.61247</v>
      </c>
      <c r="Q271" s="5">
        <f t="shared" si="7"/>
        <v>6907.981308</v>
      </c>
      <c r="R271" s="5">
        <f t="shared" si="8"/>
        <v>28260.63116</v>
      </c>
    </row>
    <row r="272" ht="15.75" customHeight="1">
      <c r="A272" s="4">
        <v>2018.0</v>
      </c>
      <c r="B272" s="4">
        <v>303.0</v>
      </c>
      <c r="C272" s="4" t="s">
        <v>20</v>
      </c>
      <c r="D272" s="5">
        <v>3954.373538311537</v>
      </c>
      <c r="E272" s="5">
        <f t="shared" si="1"/>
        <v>0</v>
      </c>
      <c r="F272" s="5">
        <f t="shared" si="2"/>
        <v>3954.373538</v>
      </c>
      <c r="G272" s="5">
        <v>1312.2359090297805</v>
      </c>
      <c r="H272" s="5">
        <v>507.8278252685222</v>
      </c>
      <c r="I272" s="5">
        <v>804.4080837612582</v>
      </c>
      <c r="J272" s="5">
        <v>4702.183012567019</v>
      </c>
      <c r="K272" s="5">
        <f t="shared" si="3"/>
        <v>4702.183013</v>
      </c>
      <c r="L272" s="5">
        <f t="shared" si="4"/>
        <v>0</v>
      </c>
      <c r="M272" s="5">
        <v>504.3662213012933</v>
      </c>
      <c r="N272" s="5">
        <f t="shared" si="5"/>
        <v>0</v>
      </c>
      <c r="O272" s="5">
        <f t="shared" si="6"/>
        <v>504.3662213</v>
      </c>
      <c r="P272" s="5">
        <f t="shared" si="9"/>
        <v>10473.15868</v>
      </c>
      <c r="Q272" s="5">
        <f t="shared" si="7"/>
        <v>5263.147843</v>
      </c>
      <c r="R272" s="5">
        <f t="shared" si="8"/>
        <v>5210.010838</v>
      </c>
    </row>
    <row r="273" ht="15.75" customHeight="1">
      <c r="A273" s="4">
        <v>2018.0</v>
      </c>
      <c r="B273" s="4">
        <v>304.0</v>
      </c>
      <c r="C273" s="4" t="s">
        <v>20</v>
      </c>
      <c r="D273" s="5">
        <v>2585.187320812909</v>
      </c>
      <c r="E273" s="5">
        <f t="shared" si="1"/>
        <v>0</v>
      </c>
      <c r="F273" s="5">
        <f t="shared" si="2"/>
        <v>2585.187321</v>
      </c>
      <c r="G273" s="5" t="s">
        <v>19</v>
      </c>
      <c r="H273" s="5" t="s">
        <v>19</v>
      </c>
      <c r="I273" s="5" t="s">
        <v>19</v>
      </c>
      <c r="J273" s="5">
        <v>5346.925305660645</v>
      </c>
      <c r="K273" s="5">
        <f t="shared" si="3"/>
        <v>5346.925306</v>
      </c>
      <c r="L273" s="5">
        <f t="shared" si="4"/>
        <v>0</v>
      </c>
      <c r="M273" s="5">
        <v>841.4505693504148</v>
      </c>
      <c r="N273" s="5">
        <f t="shared" si="5"/>
        <v>0</v>
      </c>
      <c r="O273" s="5">
        <f t="shared" si="6"/>
        <v>841.4505694</v>
      </c>
      <c r="P273" s="5">
        <f t="shared" si="9"/>
        <v>8773.563196</v>
      </c>
      <c r="Q273" s="5">
        <f t="shared" si="7"/>
        <v>3426.63789</v>
      </c>
      <c r="R273" s="5">
        <f t="shared" si="8"/>
        <v>5346.925306</v>
      </c>
    </row>
    <row r="274" ht="15.75" customHeight="1">
      <c r="A274" s="4">
        <v>2018.0</v>
      </c>
      <c r="B274" s="4">
        <v>305.0</v>
      </c>
      <c r="C274" s="4" t="s">
        <v>20</v>
      </c>
      <c r="D274" s="5">
        <v>23824.917435630727</v>
      </c>
      <c r="E274" s="5">
        <f t="shared" si="1"/>
        <v>0</v>
      </c>
      <c r="F274" s="5">
        <f t="shared" si="2"/>
        <v>23824.91744</v>
      </c>
      <c r="G274" s="5">
        <v>4438.872922124113</v>
      </c>
      <c r="H274" s="5">
        <v>2274.88304876754</v>
      </c>
      <c r="I274" s="5">
        <v>2163.989873356573</v>
      </c>
      <c r="J274" s="5">
        <v>3455.3376332631433</v>
      </c>
      <c r="K274" s="5">
        <f t="shared" si="3"/>
        <v>3455.337633</v>
      </c>
      <c r="L274" s="5">
        <f t="shared" si="4"/>
        <v>0</v>
      </c>
      <c r="M274" s="5">
        <v>4418.344004414204</v>
      </c>
      <c r="N274" s="5">
        <f t="shared" si="5"/>
        <v>0</v>
      </c>
      <c r="O274" s="5">
        <f t="shared" si="6"/>
        <v>4418.344004</v>
      </c>
      <c r="P274" s="5">
        <f t="shared" si="9"/>
        <v>36137.472</v>
      </c>
      <c r="Q274" s="5">
        <f t="shared" si="7"/>
        <v>30407.25131</v>
      </c>
      <c r="R274" s="5">
        <f t="shared" si="8"/>
        <v>5730.220682</v>
      </c>
    </row>
    <row r="275" ht="15.75" customHeight="1">
      <c r="A275" s="4">
        <v>2018.0</v>
      </c>
      <c r="B275" s="4">
        <v>306.0</v>
      </c>
      <c r="C275" s="4" t="s">
        <v>20</v>
      </c>
      <c r="D275" s="5" t="s">
        <v>19</v>
      </c>
      <c r="E275" s="5" t="str">
        <f t="shared" si="1"/>
        <v/>
      </c>
      <c r="F275" s="5" t="str">
        <f t="shared" si="2"/>
        <v/>
      </c>
      <c r="G275" s="5" t="s">
        <v>19</v>
      </c>
      <c r="H275" s="5" t="s">
        <v>19</v>
      </c>
      <c r="I275" s="5" t="s">
        <v>19</v>
      </c>
      <c r="J275" s="5">
        <v>0.0</v>
      </c>
      <c r="K275" s="5">
        <f t="shared" si="3"/>
        <v>0</v>
      </c>
      <c r="L275" s="5">
        <f t="shared" si="4"/>
        <v>0</v>
      </c>
      <c r="M275" s="5">
        <v>1177.3053556703767</v>
      </c>
      <c r="N275" s="5">
        <f t="shared" si="5"/>
        <v>0</v>
      </c>
      <c r="O275" s="5">
        <f t="shared" si="6"/>
        <v>1177.305356</v>
      </c>
      <c r="P275" s="5">
        <f t="shared" si="9"/>
        <v>1177.305356</v>
      </c>
      <c r="Q275" s="5">
        <f t="shared" si="7"/>
        <v>1177.305356</v>
      </c>
      <c r="R275" s="5">
        <f t="shared" si="8"/>
        <v>0</v>
      </c>
    </row>
    <row r="276" ht="15.75" customHeight="1">
      <c r="A276" s="4">
        <v>2018.0</v>
      </c>
      <c r="B276" s="4">
        <v>307.0</v>
      </c>
      <c r="C276" s="4" t="s">
        <v>20</v>
      </c>
      <c r="D276" s="5" t="s">
        <v>19</v>
      </c>
      <c r="E276" s="5" t="str">
        <f t="shared" si="1"/>
        <v/>
      </c>
      <c r="F276" s="5" t="str">
        <f t="shared" si="2"/>
        <v/>
      </c>
      <c r="G276" s="5" t="s">
        <v>19</v>
      </c>
      <c r="H276" s="5" t="s">
        <v>19</v>
      </c>
      <c r="I276" s="5" t="s">
        <v>19</v>
      </c>
      <c r="J276" s="5">
        <v>0.0</v>
      </c>
      <c r="K276" s="5">
        <f t="shared" si="3"/>
        <v>0</v>
      </c>
      <c r="L276" s="5">
        <f t="shared" si="4"/>
        <v>0</v>
      </c>
      <c r="M276" s="5">
        <v>257.5931822589491</v>
      </c>
      <c r="N276" s="5">
        <f t="shared" si="5"/>
        <v>0</v>
      </c>
      <c r="O276" s="5">
        <f t="shared" si="6"/>
        <v>257.5931823</v>
      </c>
      <c r="P276" s="5">
        <f t="shared" si="9"/>
        <v>257.5931823</v>
      </c>
      <c r="Q276" s="5">
        <f t="shared" si="7"/>
        <v>257.5931823</v>
      </c>
      <c r="R276" s="5">
        <f t="shared" si="8"/>
        <v>0</v>
      </c>
    </row>
    <row r="277" ht="15.75" customHeight="1">
      <c r="A277" s="4">
        <v>2018.0</v>
      </c>
      <c r="B277" s="4">
        <v>308.0</v>
      </c>
      <c r="C277" s="4" t="s">
        <v>20</v>
      </c>
      <c r="D277" s="5">
        <v>6115.770254904178</v>
      </c>
      <c r="E277" s="5">
        <f t="shared" si="1"/>
        <v>0</v>
      </c>
      <c r="F277" s="5">
        <f t="shared" si="2"/>
        <v>6115.770255</v>
      </c>
      <c r="G277" s="5">
        <v>31387.09426162122</v>
      </c>
      <c r="H277" s="5">
        <v>11434.89528063985</v>
      </c>
      <c r="I277" s="5">
        <v>19952.198980981368</v>
      </c>
      <c r="J277" s="5">
        <v>647.5536693716491</v>
      </c>
      <c r="K277" s="5">
        <f t="shared" si="3"/>
        <v>647.5536694</v>
      </c>
      <c r="L277" s="5">
        <f t="shared" si="4"/>
        <v>0</v>
      </c>
      <c r="M277" s="5">
        <v>12146.840322368302</v>
      </c>
      <c r="N277" s="5">
        <f t="shared" si="5"/>
        <v>0</v>
      </c>
      <c r="O277" s="5">
        <f t="shared" si="6"/>
        <v>12146.84032</v>
      </c>
      <c r="P277" s="5">
        <f t="shared" si="9"/>
        <v>50297.25851</v>
      </c>
      <c r="Q277" s="5">
        <f t="shared" si="7"/>
        <v>38214.80956</v>
      </c>
      <c r="R277" s="5">
        <f t="shared" si="8"/>
        <v>12082.44895</v>
      </c>
    </row>
    <row r="278" ht="15.75" customHeight="1">
      <c r="A278" s="4">
        <v>2018.0</v>
      </c>
      <c r="B278" s="4">
        <v>309.0</v>
      </c>
      <c r="C278" s="4" t="s">
        <v>20</v>
      </c>
      <c r="D278" s="5" t="s">
        <v>19</v>
      </c>
      <c r="E278" s="5" t="str">
        <f t="shared" si="1"/>
        <v/>
      </c>
      <c r="F278" s="5" t="str">
        <f t="shared" si="2"/>
        <v/>
      </c>
      <c r="G278" s="5" t="s">
        <v>19</v>
      </c>
      <c r="H278" s="5" t="s">
        <v>19</v>
      </c>
      <c r="I278" s="5" t="s">
        <v>19</v>
      </c>
      <c r="J278" s="5">
        <v>0.0</v>
      </c>
      <c r="K278" s="5">
        <f t="shared" si="3"/>
        <v>0</v>
      </c>
      <c r="L278" s="5">
        <f t="shared" si="4"/>
        <v>0</v>
      </c>
      <c r="M278" s="5">
        <v>0.0</v>
      </c>
      <c r="N278" s="5">
        <f t="shared" si="5"/>
        <v>0</v>
      </c>
      <c r="O278" s="5">
        <f t="shared" si="6"/>
        <v>0</v>
      </c>
      <c r="P278" s="5">
        <f t="shared" si="9"/>
        <v>0</v>
      </c>
      <c r="Q278" s="5">
        <f t="shared" si="7"/>
        <v>0</v>
      </c>
      <c r="R278" s="5">
        <f t="shared" si="8"/>
        <v>0</v>
      </c>
    </row>
    <row r="279" ht="15.75" customHeight="1">
      <c r="A279" s="4">
        <v>2018.0</v>
      </c>
      <c r="B279" s="4">
        <v>310.0</v>
      </c>
      <c r="C279" s="4" t="s">
        <v>20</v>
      </c>
      <c r="D279" s="5" t="s">
        <v>19</v>
      </c>
      <c r="E279" s="5" t="str">
        <f t="shared" si="1"/>
        <v/>
      </c>
      <c r="F279" s="5" t="str">
        <f t="shared" si="2"/>
        <v/>
      </c>
      <c r="G279" s="5" t="s">
        <v>19</v>
      </c>
      <c r="H279" s="5" t="s">
        <v>19</v>
      </c>
      <c r="I279" s="5" t="s">
        <v>19</v>
      </c>
      <c r="J279" s="5">
        <v>904.3260360978888</v>
      </c>
      <c r="K279" s="5">
        <f t="shared" si="3"/>
        <v>904.3260361</v>
      </c>
      <c r="L279" s="5">
        <f t="shared" si="4"/>
        <v>0</v>
      </c>
      <c r="M279" s="5">
        <v>1054.96396361899</v>
      </c>
      <c r="N279" s="5">
        <f t="shared" si="5"/>
        <v>0</v>
      </c>
      <c r="O279" s="5">
        <f t="shared" si="6"/>
        <v>1054.963964</v>
      </c>
      <c r="P279" s="5">
        <f t="shared" si="9"/>
        <v>1959.29</v>
      </c>
      <c r="Q279" s="5">
        <f t="shared" si="7"/>
        <v>1054.963964</v>
      </c>
      <c r="R279" s="5">
        <f t="shared" si="8"/>
        <v>904.3260361</v>
      </c>
    </row>
    <row r="280" ht="15.75" customHeight="1">
      <c r="A280" s="4">
        <v>2018.0</v>
      </c>
      <c r="B280" s="4">
        <v>311.0</v>
      </c>
      <c r="C280" s="4" t="s">
        <v>20</v>
      </c>
      <c r="D280" s="5" t="s">
        <v>19</v>
      </c>
      <c r="E280" s="5" t="str">
        <f t="shared" si="1"/>
        <v/>
      </c>
      <c r="F280" s="5" t="str">
        <f t="shared" si="2"/>
        <v/>
      </c>
      <c r="G280" s="5" t="s">
        <v>19</v>
      </c>
      <c r="H280" s="5" t="s">
        <v>19</v>
      </c>
      <c r="I280" s="5" t="s">
        <v>19</v>
      </c>
      <c r="J280" s="5">
        <v>101.52192115088565</v>
      </c>
      <c r="K280" s="5">
        <f t="shared" si="3"/>
        <v>101.5219212</v>
      </c>
      <c r="L280" s="5">
        <f t="shared" si="4"/>
        <v>0</v>
      </c>
      <c r="M280" s="5">
        <v>349.19553108134403</v>
      </c>
      <c r="N280" s="5">
        <f t="shared" si="5"/>
        <v>0</v>
      </c>
      <c r="O280" s="5">
        <f t="shared" si="6"/>
        <v>349.1955311</v>
      </c>
      <c r="P280" s="5">
        <f t="shared" si="9"/>
        <v>450.7174522</v>
      </c>
      <c r="Q280" s="5">
        <f t="shared" si="7"/>
        <v>349.1955311</v>
      </c>
      <c r="R280" s="5">
        <f t="shared" si="8"/>
        <v>101.5219212</v>
      </c>
    </row>
    <row r="281" ht="15.75" customHeight="1">
      <c r="A281" s="4">
        <v>2018.0</v>
      </c>
      <c r="B281" s="4">
        <v>312.0</v>
      </c>
      <c r="C281" s="4" t="s">
        <v>20</v>
      </c>
      <c r="D281" s="5" t="s">
        <v>19</v>
      </c>
      <c r="E281" s="5" t="str">
        <f t="shared" si="1"/>
        <v/>
      </c>
      <c r="F281" s="5" t="str">
        <f t="shared" si="2"/>
        <v/>
      </c>
      <c r="G281" s="5" t="s">
        <v>19</v>
      </c>
      <c r="H281" s="5" t="s">
        <v>19</v>
      </c>
      <c r="I281" s="5" t="s">
        <v>19</v>
      </c>
      <c r="J281" s="5">
        <v>0.0</v>
      </c>
      <c r="K281" s="5">
        <f t="shared" si="3"/>
        <v>0</v>
      </c>
      <c r="L281" s="5">
        <f t="shared" si="4"/>
        <v>0</v>
      </c>
      <c r="M281" s="5">
        <v>440.18309903915906</v>
      </c>
      <c r="N281" s="5">
        <f t="shared" si="5"/>
        <v>0</v>
      </c>
      <c r="O281" s="5">
        <f t="shared" si="6"/>
        <v>440.183099</v>
      </c>
      <c r="P281" s="5">
        <f t="shared" si="9"/>
        <v>440.183099</v>
      </c>
      <c r="Q281" s="5">
        <f t="shared" si="7"/>
        <v>440.183099</v>
      </c>
      <c r="R281" s="5">
        <f t="shared" si="8"/>
        <v>0</v>
      </c>
    </row>
    <row r="282" ht="15.75" customHeight="1">
      <c r="A282" s="4">
        <v>2018.0</v>
      </c>
      <c r="B282" s="4">
        <v>313.0</v>
      </c>
      <c r="C282" s="4" t="s">
        <v>20</v>
      </c>
      <c r="D282" s="5">
        <v>13385.922847079426</v>
      </c>
      <c r="E282" s="5">
        <f t="shared" si="1"/>
        <v>0</v>
      </c>
      <c r="F282" s="5">
        <f t="shared" si="2"/>
        <v>13385.92285</v>
      </c>
      <c r="G282" s="5" t="s">
        <v>19</v>
      </c>
      <c r="H282" s="5" t="s">
        <v>19</v>
      </c>
      <c r="I282" s="5" t="s">
        <v>19</v>
      </c>
      <c r="J282" s="5">
        <v>0.0</v>
      </c>
      <c r="K282" s="5">
        <f t="shared" si="3"/>
        <v>0</v>
      </c>
      <c r="L282" s="5">
        <f t="shared" si="4"/>
        <v>0</v>
      </c>
      <c r="M282" s="5">
        <v>418.54281260594894</v>
      </c>
      <c r="N282" s="5">
        <f t="shared" si="5"/>
        <v>0</v>
      </c>
      <c r="O282" s="5">
        <f t="shared" si="6"/>
        <v>418.5428126</v>
      </c>
      <c r="P282" s="5">
        <f t="shared" si="9"/>
        <v>13804.46566</v>
      </c>
      <c r="Q282" s="5">
        <f t="shared" si="7"/>
        <v>13804.46566</v>
      </c>
      <c r="R282" s="5">
        <f t="shared" si="8"/>
        <v>0</v>
      </c>
    </row>
    <row r="283" ht="15.75" customHeight="1">
      <c r="A283" s="4">
        <v>2018.0</v>
      </c>
      <c r="B283" s="4">
        <v>314.0</v>
      </c>
      <c r="C283" s="4" t="s">
        <v>20</v>
      </c>
      <c r="D283" s="5" t="s">
        <v>19</v>
      </c>
      <c r="E283" s="5" t="str">
        <f t="shared" si="1"/>
        <v/>
      </c>
      <c r="F283" s="5" t="str">
        <f t="shared" si="2"/>
        <v/>
      </c>
      <c r="G283" s="5" t="s">
        <v>19</v>
      </c>
      <c r="H283" s="5" t="s">
        <v>19</v>
      </c>
      <c r="I283" s="5" t="s">
        <v>19</v>
      </c>
      <c r="J283" s="5">
        <v>0.0</v>
      </c>
      <c r="K283" s="5">
        <f t="shared" si="3"/>
        <v>0</v>
      </c>
      <c r="L283" s="5">
        <f t="shared" si="4"/>
        <v>0</v>
      </c>
      <c r="M283" s="5">
        <v>0.0</v>
      </c>
      <c r="N283" s="5">
        <f t="shared" si="5"/>
        <v>0</v>
      </c>
      <c r="O283" s="5">
        <f t="shared" si="6"/>
        <v>0</v>
      </c>
      <c r="P283" s="5">
        <f t="shared" si="9"/>
        <v>0</v>
      </c>
      <c r="Q283" s="5">
        <f t="shared" si="7"/>
        <v>0</v>
      </c>
      <c r="R283" s="5">
        <f t="shared" si="8"/>
        <v>0</v>
      </c>
    </row>
    <row r="284" ht="15.75" customHeight="1">
      <c r="A284" s="4">
        <v>2018.0</v>
      </c>
      <c r="B284" s="4">
        <v>320.0</v>
      </c>
      <c r="C284" s="4" t="s">
        <v>20</v>
      </c>
      <c r="D284" s="5">
        <v>133411.73834117275</v>
      </c>
      <c r="E284" s="5">
        <f t="shared" si="1"/>
        <v>0</v>
      </c>
      <c r="F284" s="5">
        <f t="shared" si="2"/>
        <v>133411.7383</v>
      </c>
      <c r="G284" s="5">
        <v>36824.7922388654</v>
      </c>
      <c r="H284" s="5">
        <v>22008.284289328123</v>
      </c>
      <c r="I284" s="5">
        <v>14816.507949537274</v>
      </c>
      <c r="J284" s="5">
        <v>25790.035336401183</v>
      </c>
      <c r="K284" s="5">
        <f t="shared" si="3"/>
        <v>25790.03534</v>
      </c>
      <c r="L284" s="5">
        <f t="shared" si="4"/>
        <v>0</v>
      </c>
      <c r="M284" s="5">
        <v>42554.63962152426</v>
      </c>
      <c r="N284" s="5">
        <f t="shared" si="5"/>
        <v>0</v>
      </c>
      <c r="O284" s="5">
        <f t="shared" si="6"/>
        <v>42554.63962</v>
      </c>
      <c r="P284" s="5">
        <f t="shared" si="9"/>
        <v>238581.2055</v>
      </c>
      <c r="Q284" s="5">
        <f t="shared" si="7"/>
        <v>190782.8859</v>
      </c>
      <c r="R284" s="5">
        <f t="shared" si="8"/>
        <v>47798.31963</v>
      </c>
    </row>
    <row r="285" ht="15.75" customHeight="1">
      <c r="A285" s="4">
        <v>2018.0</v>
      </c>
      <c r="B285" s="4">
        <v>321.0</v>
      </c>
      <c r="C285" s="4" t="s">
        <v>20</v>
      </c>
      <c r="D285" s="5">
        <v>69676.08759907699</v>
      </c>
      <c r="E285" s="5">
        <f t="shared" si="1"/>
        <v>0</v>
      </c>
      <c r="F285" s="5">
        <f t="shared" si="2"/>
        <v>69676.0876</v>
      </c>
      <c r="G285" s="5">
        <v>26780.505242643285</v>
      </c>
      <c r="H285" s="5">
        <v>19635.602897565164</v>
      </c>
      <c r="I285" s="5">
        <v>7144.902345078121</v>
      </c>
      <c r="J285" s="5">
        <v>2172.506637600552</v>
      </c>
      <c r="K285" s="5">
        <f t="shared" si="3"/>
        <v>2172.506638</v>
      </c>
      <c r="L285" s="5">
        <f t="shared" si="4"/>
        <v>0</v>
      </c>
      <c r="M285" s="5">
        <v>1837.5800042291144</v>
      </c>
      <c r="N285" s="5">
        <f t="shared" si="5"/>
        <v>0</v>
      </c>
      <c r="O285" s="5">
        <f t="shared" si="6"/>
        <v>1837.580004</v>
      </c>
      <c r="P285" s="5">
        <f t="shared" si="9"/>
        <v>100466.6795</v>
      </c>
      <c r="Q285" s="5">
        <f t="shared" si="7"/>
        <v>78658.56995</v>
      </c>
      <c r="R285" s="5">
        <f t="shared" si="8"/>
        <v>21808.10954</v>
      </c>
    </row>
    <row r="286" ht="15.75" customHeight="1">
      <c r="A286" s="4">
        <v>2018.0</v>
      </c>
      <c r="B286" s="4">
        <v>322.0</v>
      </c>
      <c r="C286" s="4" t="s">
        <v>20</v>
      </c>
      <c r="D286" s="5">
        <v>23275.519346783913</v>
      </c>
      <c r="E286" s="5">
        <f t="shared" si="1"/>
        <v>0</v>
      </c>
      <c r="F286" s="5">
        <f t="shared" si="2"/>
        <v>23275.51935</v>
      </c>
      <c r="G286" s="5" t="s">
        <v>19</v>
      </c>
      <c r="H286" s="5" t="s">
        <v>19</v>
      </c>
      <c r="I286" s="5" t="s">
        <v>19</v>
      </c>
      <c r="J286" s="5">
        <v>0.0</v>
      </c>
      <c r="K286" s="5">
        <f t="shared" si="3"/>
        <v>0</v>
      </c>
      <c r="L286" s="5">
        <f t="shared" si="4"/>
        <v>0</v>
      </c>
      <c r="M286" s="5">
        <v>69555.27418670958</v>
      </c>
      <c r="N286" s="5">
        <f t="shared" si="5"/>
        <v>0</v>
      </c>
      <c r="O286" s="5">
        <f t="shared" si="6"/>
        <v>69555.27419</v>
      </c>
      <c r="P286" s="5">
        <f t="shared" si="9"/>
        <v>92830.79353</v>
      </c>
      <c r="Q286" s="5">
        <f t="shared" si="7"/>
        <v>92830.79353</v>
      </c>
      <c r="R286" s="5">
        <f t="shared" si="8"/>
        <v>0</v>
      </c>
    </row>
    <row r="287" ht="15.75" customHeight="1">
      <c r="A287" s="4">
        <v>2018.0</v>
      </c>
      <c r="B287" s="4">
        <v>323.0</v>
      </c>
      <c r="C287" s="4" t="s">
        <v>20</v>
      </c>
      <c r="D287" s="5">
        <v>8218.564508686492</v>
      </c>
      <c r="E287" s="5">
        <f t="shared" si="1"/>
        <v>0</v>
      </c>
      <c r="F287" s="5">
        <f t="shared" si="2"/>
        <v>8218.564509</v>
      </c>
      <c r="G287" s="5" t="s">
        <v>19</v>
      </c>
      <c r="H287" s="5" t="s">
        <v>19</v>
      </c>
      <c r="I287" s="5" t="s">
        <v>19</v>
      </c>
      <c r="J287" s="5">
        <v>0.0</v>
      </c>
      <c r="K287" s="5">
        <f t="shared" si="3"/>
        <v>0</v>
      </c>
      <c r="L287" s="5">
        <f t="shared" si="4"/>
        <v>0</v>
      </c>
      <c r="M287" s="5">
        <v>179905.16874458967</v>
      </c>
      <c r="N287" s="5">
        <f t="shared" si="5"/>
        <v>0</v>
      </c>
      <c r="O287" s="5">
        <f t="shared" si="6"/>
        <v>179905.1687</v>
      </c>
      <c r="P287" s="5">
        <f t="shared" si="9"/>
        <v>188123.7333</v>
      </c>
      <c r="Q287" s="5">
        <f t="shared" si="7"/>
        <v>188123.7333</v>
      </c>
      <c r="R287" s="5">
        <f t="shared" si="8"/>
        <v>0</v>
      </c>
    </row>
    <row r="288" ht="15.75" customHeight="1">
      <c r="A288" s="4">
        <v>2018.0</v>
      </c>
      <c r="B288" s="4">
        <v>324.0</v>
      </c>
      <c r="C288" s="4" t="s">
        <v>20</v>
      </c>
      <c r="D288" s="5" t="s">
        <v>19</v>
      </c>
      <c r="E288" s="5" t="str">
        <f t="shared" si="1"/>
        <v/>
      </c>
      <c r="F288" s="5" t="str">
        <f t="shared" si="2"/>
        <v/>
      </c>
      <c r="G288" s="5" t="s">
        <v>19</v>
      </c>
      <c r="H288" s="5" t="s">
        <v>19</v>
      </c>
      <c r="I288" s="5" t="s">
        <v>19</v>
      </c>
      <c r="J288" s="5">
        <v>0.0</v>
      </c>
      <c r="K288" s="5">
        <f t="shared" si="3"/>
        <v>0</v>
      </c>
      <c r="L288" s="5">
        <f t="shared" si="4"/>
        <v>0</v>
      </c>
      <c r="M288" s="5">
        <v>79106.8908629579</v>
      </c>
      <c r="N288" s="5">
        <f t="shared" si="5"/>
        <v>0</v>
      </c>
      <c r="O288" s="5">
        <f t="shared" si="6"/>
        <v>79106.89086</v>
      </c>
      <c r="P288" s="5">
        <f t="shared" si="9"/>
        <v>79106.89086</v>
      </c>
      <c r="Q288" s="5">
        <f t="shared" si="7"/>
        <v>79106.89086</v>
      </c>
      <c r="R288" s="5">
        <f t="shared" si="8"/>
        <v>0</v>
      </c>
    </row>
    <row r="289" ht="15.75" customHeight="1">
      <c r="A289" s="4">
        <v>2018.0</v>
      </c>
      <c r="B289" s="4">
        <v>325.0</v>
      </c>
      <c r="C289" s="4" t="s">
        <v>20</v>
      </c>
      <c r="D289" s="5">
        <v>11750.224693932363</v>
      </c>
      <c r="E289" s="5">
        <f t="shared" si="1"/>
        <v>0</v>
      </c>
      <c r="F289" s="5">
        <f t="shared" si="2"/>
        <v>11750.22469</v>
      </c>
      <c r="G289" s="5">
        <v>1006.2965811229274</v>
      </c>
      <c r="H289" s="5">
        <v>342.82507206837363</v>
      </c>
      <c r="I289" s="5">
        <v>663.4715090545537</v>
      </c>
      <c r="J289" s="5">
        <v>0.0</v>
      </c>
      <c r="K289" s="5">
        <f t="shared" si="3"/>
        <v>0</v>
      </c>
      <c r="L289" s="5">
        <f t="shared" si="4"/>
        <v>0</v>
      </c>
      <c r="M289" s="5">
        <v>22890.45561695043</v>
      </c>
      <c r="N289" s="5">
        <f t="shared" si="5"/>
        <v>0</v>
      </c>
      <c r="O289" s="5">
        <f t="shared" si="6"/>
        <v>22890.45562</v>
      </c>
      <c r="P289" s="5">
        <f t="shared" si="9"/>
        <v>35646.97689</v>
      </c>
      <c r="Q289" s="5">
        <f t="shared" si="7"/>
        <v>35304.15182</v>
      </c>
      <c r="R289" s="5">
        <f t="shared" si="8"/>
        <v>342.8250721</v>
      </c>
    </row>
    <row r="290" ht="15.75" customHeight="1">
      <c r="A290" s="4">
        <v>2018.0</v>
      </c>
      <c r="B290" s="4">
        <v>326.0</v>
      </c>
      <c r="C290" s="4" t="s">
        <v>20</v>
      </c>
      <c r="D290" s="5" t="s">
        <v>19</v>
      </c>
      <c r="E290" s="5" t="str">
        <f t="shared" si="1"/>
        <v/>
      </c>
      <c r="F290" s="5" t="str">
        <f t="shared" si="2"/>
        <v/>
      </c>
      <c r="G290" s="5" t="s">
        <v>19</v>
      </c>
      <c r="H290" s="5" t="s">
        <v>19</v>
      </c>
      <c r="I290" s="5" t="s">
        <v>19</v>
      </c>
      <c r="J290" s="5">
        <v>0.0</v>
      </c>
      <c r="K290" s="5">
        <f t="shared" si="3"/>
        <v>0</v>
      </c>
      <c r="L290" s="5">
        <f t="shared" si="4"/>
        <v>0</v>
      </c>
      <c r="M290" s="5">
        <v>8628.32647820501</v>
      </c>
      <c r="N290" s="5">
        <f t="shared" si="5"/>
        <v>0</v>
      </c>
      <c r="O290" s="5">
        <f t="shared" si="6"/>
        <v>8628.326478</v>
      </c>
      <c r="P290" s="5">
        <f t="shared" si="9"/>
        <v>8628.326478</v>
      </c>
      <c r="Q290" s="5">
        <f t="shared" si="7"/>
        <v>8628.326478</v>
      </c>
      <c r="R290" s="5">
        <f t="shared" si="8"/>
        <v>0</v>
      </c>
    </row>
    <row r="291" ht="15.75" customHeight="1">
      <c r="A291" s="4">
        <v>2018.0</v>
      </c>
      <c r="B291" s="4">
        <v>327.0</v>
      </c>
      <c r="C291" s="4" t="s">
        <v>20</v>
      </c>
      <c r="D291" s="5">
        <v>114148.97954527978</v>
      </c>
      <c r="E291" s="5">
        <f t="shared" si="1"/>
        <v>0</v>
      </c>
      <c r="F291" s="5">
        <f t="shared" si="2"/>
        <v>114148.9795</v>
      </c>
      <c r="G291" s="5">
        <v>15345.334695255959</v>
      </c>
      <c r="H291" s="5">
        <v>6237.072611908764</v>
      </c>
      <c r="I291" s="5">
        <v>9108.262083347196</v>
      </c>
      <c r="J291" s="5">
        <v>1559.3767088776035</v>
      </c>
      <c r="K291" s="5">
        <f t="shared" si="3"/>
        <v>1559.376709</v>
      </c>
      <c r="L291" s="5">
        <f t="shared" si="4"/>
        <v>0</v>
      </c>
      <c r="M291" s="5">
        <v>59646.40835005394</v>
      </c>
      <c r="N291" s="5">
        <f t="shared" si="5"/>
        <v>0</v>
      </c>
      <c r="O291" s="5">
        <f t="shared" si="6"/>
        <v>59646.40835</v>
      </c>
      <c r="P291" s="5">
        <f t="shared" si="9"/>
        <v>190700.0993</v>
      </c>
      <c r="Q291" s="5">
        <f t="shared" si="7"/>
        <v>182903.65</v>
      </c>
      <c r="R291" s="5">
        <f t="shared" si="8"/>
        <v>7796.449321</v>
      </c>
    </row>
    <row r="292" ht="15.75" customHeight="1">
      <c r="A292" s="4">
        <v>2018.0</v>
      </c>
      <c r="B292" s="4">
        <v>328.0</v>
      </c>
      <c r="C292" s="4" t="s">
        <v>20</v>
      </c>
      <c r="D292" s="5">
        <v>10728.34424867729</v>
      </c>
      <c r="E292" s="5">
        <f t="shared" si="1"/>
        <v>0</v>
      </c>
      <c r="F292" s="5">
        <f t="shared" si="2"/>
        <v>10728.34425</v>
      </c>
      <c r="G292" s="5">
        <v>1761.707183833808</v>
      </c>
      <c r="H292" s="5">
        <v>1279.5971375435738</v>
      </c>
      <c r="I292" s="5">
        <v>482.1100462902341</v>
      </c>
      <c r="J292" s="5">
        <v>0.0</v>
      </c>
      <c r="K292" s="5">
        <f t="shared" si="3"/>
        <v>0</v>
      </c>
      <c r="L292" s="5">
        <f t="shared" si="4"/>
        <v>0</v>
      </c>
      <c r="M292" s="5">
        <v>68987.1428941341</v>
      </c>
      <c r="N292" s="5">
        <f t="shared" si="5"/>
        <v>0</v>
      </c>
      <c r="O292" s="5">
        <f t="shared" si="6"/>
        <v>68987.14289</v>
      </c>
      <c r="P292" s="5">
        <f t="shared" si="9"/>
        <v>81477.19433</v>
      </c>
      <c r="Q292" s="5">
        <f t="shared" si="7"/>
        <v>80197.59719</v>
      </c>
      <c r="R292" s="5">
        <f t="shared" si="8"/>
        <v>1279.597138</v>
      </c>
    </row>
    <row r="293" ht="15.75" customHeight="1">
      <c r="A293" s="4">
        <v>2018.0</v>
      </c>
      <c r="B293" s="4">
        <v>331.0</v>
      </c>
      <c r="C293" s="4" t="s">
        <v>20</v>
      </c>
      <c r="D293" s="5">
        <v>92618.39161871953</v>
      </c>
      <c r="E293" s="5">
        <f t="shared" si="1"/>
        <v>0</v>
      </c>
      <c r="F293" s="5">
        <f t="shared" si="2"/>
        <v>92618.39162</v>
      </c>
      <c r="G293" s="5">
        <v>125002.56241006494</v>
      </c>
      <c r="H293" s="5">
        <v>33620.45135534125</v>
      </c>
      <c r="I293" s="5">
        <v>91382.1110547237</v>
      </c>
      <c r="J293" s="5">
        <v>2102.9094559623454</v>
      </c>
      <c r="K293" s="5">
        <f t="shared" si="3"/>
        <v>2102.909456</v>
      </c>
      <c r="L293" s="5">
        <f t="shared" si="4"/>
        <v>0</v>
      </c>
      <c r="M293" s="5">
        <v>34829.2663903622</v>
      </c>
      <c r="N293" s="5">
        <f t="shared" si="5"/>
        <v>0</v>
      </c>
      <c r="O293" s="5">
        <f t="shared" si="6"/>
        <v>34829.26639</v>
      </c>
      <c r="P293" s="5">
        <f t="shared" si="9"/>
        <v>254553.1299</v>
      </c>
      <c r="Q293" s="5">
        <f t="shared" si="7"/>
        <v>218829.7691</v>
      </c>
      <c r="R293" s="5">
        <f t="shared" si="8"/>
        <v>35723.36081</v>
      </c>
    </row>
    <row r="294" ht="15.75" customHeight="1">
      <c r="A294" s="4">
        <v>2018.0</v>
      </c>
      <c r="B294" s="4">
        <v>332.0</v>
      </c>
      <c r="C294" s="4" t="s">
        <v>20</v>
      </c>
      <c r="D294" s="5" t="s">
        <v>19</v>
      </c>
      <c r="E294" s="5" t="str">
        <f t="shared" si="1"/>
        <v/>
      </c>
      <c r="F294" s="5" t="str">
        <f t="shared" si="2"/>
        <v/>
      </c>
      <c r="G294" s="5" t="s">
        <v>19</v>
      </c>
      <c r="H294" s="5" t="s">
        <v>19</v>
      </c>
      <c r="I294" s="5" t="s">
        <v>19</v>
      </c>
      <c r="J294" s="5">
        <v>0.0</v>
      </c>
      <c r="K294" s="5">
        <f t="shared" si="3"/>
        <v>0</v>
      </c>
      <c r="L294" s="5">
        <f t="shared" si="4"/>
        <v>0</v>
      </c>
      <c r="M294" s="5">
        <v>6147.808645798308</v>
      </c>
      <c r="N294" s="5">
        <f t="shared" si="5"/>
        <v>0</v>
      </c>
      <c r="O294" s="5">
        <f t="shared" si="6"/>
        <v>6147.808646</v>
      </c>
      <c r="P294" s="5">
        <f t="shared" si="9"/>
        <v>6147.808646</v>
      </c>
      <c r="Q294" s="5">
        <f t="shared" si="7"/>
        <v>6147.808646</v>
      </c>
      <c r="R294" s="5">
        <f t="shared" si="8"/>
        <v>0</v>
      </c>
    </row>
    <row r="295" ht="15.75" customHeight="1">
      <c r="A295" s="4">
        <v>2018.0</v>
      </c>
      <c r="B295" s="4">
        <v>333.0</v>
      </c>
      <c r="C295" s="4" t="s">
        <v>20</v>
      </c>
      <c r="D295" s="5">
        <v>3853.1119297789874</v>
      </c>
      <c r="E295" s="5">
        <f t="shared" si="1"/>
        <v>0</v>
      </c>
      <c r="F295" s="5">
        <f t="shared" si="2"/>
        <v>3853.11193</v>
      </c>
      <c r="G295" s="5" t="s">
        <v>19</v>
      </c>
      <c r="H295" s="5" t="s">
        <v>19</v>
      </c>
      <c r="I295" s="5" t="s">
        <v>19</v>
      </c>
      <c r="J295" s="5">
        <v>0.0</v>
      </c>
      <c r="K295" s="5">
        <f t="shared" si="3"/>
        <v>0</v>
      </c>
      <c r="L295" s="5">
        <f t="shared" si="4"/>
        <v>0</v>
      </c>
      <c r="M295" s="5">
        <v>1888.98798012528</v>
      </c>
      <c r="N295" s="5">
        <f t="shared" si="5"/>
        <v>0</v>
      </c>
      <c r="O295" s="5">
        <f t="shared" si="6"/>
        <v>1888.98798</v>
      </c>
      <c r="P295" s="5">
        <f t="shared" si="9"/>
        <v>5742.09991</v>
      </c>
      <c r="Q295" s="5">
        <f t="shared" si="7"/>
        <v>5742.09991</v>
      </c>
      <c r="R295" s="5">
        <f t="shared" si="8"/>
        <v>0</v>
      </c>
    </row>
    <row r="296" ht="15.75" customHeight="1">
      <c r="A296" s="4">
        <v>2018.0</v>
      </c>
      <c r="B296" s="4">
        <v>400.0</v>
      </c>
      <c r="C296" s="4" t="s">
        <v>21</v>
      </c>
      <c r="D296" s="5" t="s">
        <v>19</v>
      </c>
      <c r="E296" s="5" t="str">
        <f t="shared" si="1"/>
        <v/>
      </c>
      <c r="F296" s="5" t="str">
        <f t="shared" si="2"/>
        <v/>
      </c>
      <c r="G296" s="5">
        <v>4691.470539080212</v>
      </c>
      <c r="H296" s="5">
        <v>2939.937657318352</v>
      </c>
      <c r="I296" s="5">
        <v>1751.5328817618597</v>
      </c>
      <c r="J296" s="5">
        <v>58136.325989382975</v>
      </c>
      <c r="K296" s="5">
        <f t="shared" si="3"/>
        <v>58136.32599</v>
      </c>
      <c r="L296" s="5">
        <f t="shared" si="4"/>
        <v>0</v>
      </c>
      <c r="M296" s="5">
        <v>100.84067749013508</v>
      </c>
      <c r="N296" s="5">
        <f t="shared" si="5"/>
        <v>0</v>
      </c>
      <c r="O296" s="5">
        <f t="shared" si="6"/>
        <v>100.8406775</v>
      </c>
      <c r="P296" s="5">
        <f t="shared" si="9"/>
        <v>62928.63721</v>
      </c>
      <c r="Q296" s="5">
        <f t="shared" si="7"/>
        <v>1852.373559</v>
      </c>
      <c r="R296" s="5">
        <f t="shared" si="8"/>
        <v>61076.26365</v>
      </c>
    </row>
    <row r="297" ht="15.75" customHeight="1">
      <c r="A297" s="4">
        <v>2018.0</v>
      </c>
      <c r="B297" s="4">
        <v>401.0</v>
      </c>
      <c r="C297" s="4" t="s">
        <v>21</v>
      </c>
      <c r="D297" s="5" t="s">
        <v>19</v>
      </c>
      <c r="E297" s="5" t="str">
        <f t="shared" si="1"/>
        <v/>
      </c>
      <c r="F297" s="5" t="str">
        <f t="shared" si="2"/>
        <v/>
      </c>
      <c r="G297" s="5">
        <v>3100.090664590448</v>
      </c>
      <c r="H297" s="5">
        <v>2416.480928296144</v>
      </c>
      <c r="I297" s="5">
        <v>683.6097362943037</v>
      </c>
      <c r="J297" s="5">
        <v>136338.29121105018</v>
      </c>
      <c r="K297" s="5">
        <f t="shared" si="3"/>
        <v>136338.2912</v>
      </c>
      <c r="L297" s="5">
        <f t="shared" si="4"/>
        <v>0</v>
      </c>
      <c r="M297" s="5">
        <v>716.3177398598555</v>
      </c>
      <c r="N297" s="5">
        <f t="shared" si="5"/>
        <v>0</v>
      </c>
      <c r="O297" s="5">
        <f t="shared" si="6"/>
        <v>716.3177399</v>
      </c>
      <c r="P297" s="5">
        <f t="shared" si="9"/>
        <v>140154.6996</v>
      </c>
      <c r="Q297" s="5">
        <f t="shared" si="7"/>
        <v>1399.927476</v>
      </c>
      <c r="R297" s="5">
        <f t="shared" si="8"/>
        <v>138754.7721</v>
      </c>
    </row>
    <row r="298" ht="15.75" customHeight="1">
      <c r="A298" s="4">
        <v>2018.0</v>
      </c>
      <c r="B298" s="4">
        <v>402.0</v>
      </c>
      <c r="C298" s="4" t="s">
        <v>21</v>
      </c>
      <c r="D298" s="5">
        <v>469.64937972147976</v>
      </c>
      <c r="E298" s="5">
        <f t="shared" si="1"/>
        <v>0</v>
      </c>
      <c r="F298" s="5">
        <f t="shared" si="2"/>
        <v>469.6493797</v>
      </c>
      <c r="G298" s="5">
        <v>5273.048363034345</v>
      </c>
      <c r="H298" s="5">
        <v>3973.366434339143</v>
      </c>
      <c r="I298" s="5">
        <v>1299.6819286952023</v>
      </c>
      <c r="J298" s="5">
        <v>182435.42389973952</v>
      </c>
      <c r="K298" s="5">
        <f t="shared" si="3"/>
        <v>182435.4239</v>
      </c>
      <c r="L298" s="5">
        <f t="shared" si="4"/>
        <v>0</v>
      </c>
      <c r="M298" s="5">
        <v>249.4149351901333</v>
      </c>
      <c r="N298" s="5">
        <f t="shared" si="5"/>
        <v>0</v>
      </c>
      <c r="O298" s="5">
        <f t="shared" si="6"/>
        <v>249.4149352</v>
      </c>
      <c r="P298" s="5">
        <f t="shared" si="9"/>
        <v>188427.5366</v>
      </c>
      <c r="Q298" s="5">
        <f t="shared" si="7"/>
        <v>2018.746244</v>
      </c>
      <c r="R298" s="5">
        <f t="shared" si="8"/>
        <v>186408.7903</v>
      </c>
    </row>
    <row r="299" ht="15.75" customHeight="1">
      <c r="A299" s="4">
        <v>2018.0</v>
      </c>
      <c r="B299" s="4">
        <v>403.0</v>
      </c>
      <c r="C299" s="4" t="s">
        <v>21</v>
      </c>
      <c r="D299" s="5">
        <v>7199.254068988016</v>
      </c>
      <c r="E299" s="5">
        <f t="shared" si="1"/>
        <v>0</v>
      </c>
      <c r="F299" s="5">
        <f t="shared" si="2"/>
        <v>7199.254069</v>
      </c>
      <c r="G299" s="5">
        <v>13744.550556650682</v>
      </c>
      <c r="H299" s="5">
        <v>5650.032432280008</v>
      </c>
      <c r="I299" s="5">
        <v>8094.518124370674</v>
      </c>
      <c r="J299" s="5">
        <v>356255.2756426305</v>
      </c>
      <c r="K299" s="5">
        <f t="shared" si="3"/>
        <v>356255.2756</v>
      </c>
      <c r="L299" s="5">
        <f t="shared" si="4"/>
        <v>0</v>
      </c>
      <c r="M299" s="5">
        <v>7173.1567874436005</v>
      </c>
      <c r="N299" s="5">
        <f t="shared" si="5"/>
        <v>0</v>
      </c>
      <c r="O299" s="5">
        <f t="shared" si="6"/>
        <v>7173.156787</v>
      </c>
      <c r="P299" s="5">
        <f t="shared" si="9"/>
        <v>384372.2371</v>
      </c>
      <c r="Q299" s="5">
        <f t="shared" si="7"/>
        <v>22466.92898</v>
      </c>
      <c r="R299" s="5">
        <f t="shared" si="8"/>
        <v>361905.3081</v>
      </c>
    </row>
    <row r="300" ht="15.75" customHeight="1">
      <c r="A300" s="4">
        <v>2018.0</v>
      </c>
      <c r="B300" s="4">
        <v>404.0</v>
      </c>
      <c r="C300" s="4" t="s">
        <v>21</v>
      </c>
      <c r="D300" s="5" t="s">
        <v>19</v>
      </c>
      <c r="E300" s="5" t="str">
        <f t="shared" si="1"/>
        <v/>
      </c>
      <c r="F300" s="5" t="str">
        <f t="shared" si="2"/>
        <v/>
      </c>
      <c r="G300" s="5">
        <v>8381.658671923275</v>
      </c>
      <c r="H300" s="5">
        <v>5292.370427137119</v>
      </c>
      <c r="I300" s="5">
        <v>3089.2882447861557</v>
      </c>
      <c r="J300" s="5">
        <v>163869.6939002304</v>
      </c>
      <c r="K300" s="5">
        <f t="shared" si="3"/>
        <v>163869.6939</v>
      </c>
      <c r="L300" s="5">
        <f t="shared" si="4"/>
        <v>0</v>
      </c>
      <c r="M300" s="5">
        <v>847.8991221488864</v>
      </c>
      <c r="N300" s="5">
        <f t="shared" si="5"/>
        <v>0</v>
      </c>
      <c r="O300" s="5">
        <f t="shared" si="6"/>
        <v>847.8991221</v>
      </c>
      <c r="P300" s="5">
        <f t="shared" si="9"/>
        <v>173099.2517</v>
      </c>
      <c r="Q300" s="5">
        <f t="shared" si="7"/>
        <v>3937.187367</v>
      </c>
      <c r="R300" s="5">
        <f t="shared" si="8"/>
        <v>169162.0643</v>
      </c>
    </row>
    <row r="301" ht="15.75" customHeight="1">
      <c r="A301" s="4">
        <v>2018.0</v>
      </c>
      <c r="B301" s="4">
        <v>405.0</v>
      </c>
      <c r="C301" s="4" t="s">
        <v>21</v>
      </c>
      <c r="D301" s="5">
        <v>5231.054066816481</v>
      </c>
      <c r="E301" s="5">
        <f t="shared" si="1"/>
        <v>0</v>
      </c>
      <c r="F301" s="5">
        <f t="shared" si="2"/>
        <v>5231.054067</v>
      </c>
      <c r="G301" s="5">
        <v>2138.267663525206</v>
      </c>
      <c r="H301" s="5">
        <v>1200.9029714508163</v>
      </c>
      <c r="I301" s="5">
        <v>937.3646920743897</v>
      </c>
      <c r="J301" s="5">
        <v>89906.73733855433</v>
      </c>
      <c r="K301" s="5">
        <f t="shared" si="3"/>
        <v>89906.73734</v>
      </c>
      <c r="L301" s="5">
        <f t="shared" si="4"/>
        <v>0</v>
      </c>
      <c r="M301" s="5">
        <v>90.02385741333853</v>
      </c>
      <c r="N301" s="5">
        <f t="shared" si="5"/>
        <v>0</v>
      </c>
      <c r="O301" s="5">
        <f t="shared" si="6"/>
        <v>90.02385741</v>
      </c>
      <c r="P301" s="5">
        <f t="shared" si="9"/>
        <v>97366.08293</v>
      </c>
      <c r="Q301" s="5">
        <f t="shared" si="7"/>
        <v>6258.442616</v>
      </c>
      <c r="R301" s="5">
        <f t="shared" si="8"/>
        <v>91107.64031</v>
      </c>
    </row>
    <row r="302" ht="15.75" customHeight="1">
      <c r="A302" s="4">
        <v>2018.0</v>
      </c>
      <c r="B302" s="4">
        <v>406.0</v>
      </c>
      <c r="C302" s="4" t="s">
        <v>21</v>
      </c>
      <c r="D302" s="5" t="s">
        <v>19</v>
      </c>
      <c r="E302" s="5" t="str">
        <f t="shared" si="1"/>
        <v/>
      </c>
      <c r="F302" s="5" t="str">
        <f t="shared" si="2"/>
        <v/>
      </c>
      <c r="G302" s="5" t="s">
        <v>19</v>
      </c>
      <c r="H302" s="5" t="s">
        <v>19</v>
      </c>
      <c r="I302" s="5" t="s">
        <v>19</v>
      </c>
      <c r="J302" s="5">
        <v>93923.96452166192</v>
      </c>
      <c r="K302" s="5">
        <f t="shared" si="3"/>
        <v>93923.96452</v>
      </c>
      <c r="L302" s="5">
        <f t="shared" si="4"/>
        <v>0</v>
      </c>
      <c r="M302" s="5">
        <v>257.23096001981844</v>
      </c>
      <c r="N302" s="5">
        <f t="shared" si="5"/>
        <v>0</v>
      </c>
      <c r="O302" s="5">
        <f t="shared" si="6"/>
        <v>257.23096</v>
      </c>
      <c r="P302" s="5">
        <f t="shared" si="9"/>
        <v>94181.19548</v>
      </c>
      <c r="Q302" s="5">
        <f t="shared" si="7"/>
        <v>257.23096</v>
      </c>
      <c r="R302" s="5">
        <f t="shared" si="8"/>
        <v>93923.96452</v>
      </c>
    </row>
    <row r="303" ht="15.75" customHeight="1">
      <c r="A303" s="4">
        <v>2018.0</v>
      </c>
      <c r="B303" s="4">
        <v>407.0</v>
      </c>
      <c r="C303" s="4" t="s">
        <v>21</v>
      </c>
      <c r="D303" s="5" t="s">
        <v>19</v>
      </c>
      <c r="E303" s="5" t="str">
        <f t="shared" si="1"/>
        <v/>
      </c>
      <c r="F303" s="5" t="str">
        <f t="shared" si="2"/>
        <v/>
      </c>
      <c r="G303" s="5">
        <v>2970.869265422115</v>
      </c>
      <c r="H303" s="5">
        <v>2343.187529020225</v>
      </c>
      <c r="I303" s="5">
        <v>627.6817364018898</v>
      </c>
      <c r="J303" s="5">
        <v>56285.33434674323</v>
      </c>
      <c r="K303" s="5">
        <f t="shared" si="3"/>
        <v>56285.33435</v>
      </c>
      <c r="L303" s="5">
        <f t="shared" si="4"/>
        <v>0</v>
      </c>
      <c r="M303" s="5">
        <v>1501.7933422752285</v>
      </c>
      <c r="N303" s="5">
        <f t="shared" si="5"/>
        <v>0</v>
      </c>
      <c r="O303" s="5">
        <f t="shared" si="6"/>
        <v>1501.793342</v>
      </c>
      <c r="P303" s="5">
        <f t="shared" si="9"/>
        <v>60757.99695</v>
      </c>
      <c r="Q303" s="5">
        <f t="shared" si="7"/>
        <v>2129.475079</v>
      </c>
      <c r="R303" s="5">
        <f t="shared" si="8"/>
        <v>58628.52188</v>
      </c>
    </row>
    <row r="304" ht="15.75" customHeight="1">
      <c r="A304" s="4">
        <v>2018.0</v>
      </c>
      <c r="B304" s="4">
        <v>408.0</v>
      </c>
      <c r="C304" s="4" t="s">
        <v>21</v>
      </c>
      <c r="D304" s="5" t="s">
        <v>19</v>
      </c>
      <c r="E304" s="5" t="str">
        <f t="shared" si="1"/>
        <v/>
      </c>
      <c r="F304" s="5" t="str">
        <f t="shared" si="2"/>
        <v/>
      </c>
      <c r="G304" s="5">
        <v>499.3571418965548</v>
      </c>
      <c r="H304" s="5">
        <v>200.15049524180282</v>
      </c>
      <c r="I304" s="5">
        <v>299.20664665475203</v>
      </c>
      <c r="J304" s="5">
        <v>3559.7338488057603</v>
      </c>
      <c r="K304" s="5">
        <f t="shared" si="3"/>
        <v>3559.733849</v>
      </c>
      <c r="L304" s="5">
        <f t="shared" si="4"/>
        <v>0</v>
      </c>
      <c r="M304" s="5">
        <v>147.94618427618423</v>
      </c>
      <c r="N304" s="5">
        <f t="shared" si="5"/>
        <v>0</v>
      </c>
      <c r="O304" s="5">
        <f t="shared" si="6"/>
        <v>147.9461843</v>
      </c>
      <c r="P304" s="5">
        <f t="shared" si="9"/>
        <v>4207.037175</v>
      </c>
      <c r="Q304" s="5">
        <f t="shared" si="7"/>
        <v>447.1528309</v>
      </c>
      <c r="R304" s="5">
        <f t="shared" si="8"/>
        <v>3759.884344</v>
      </c>
    </row>
    <row r="305" ht="15.75" customHeight="1">
      <c r="A305" s="4">
        <v>2018.0</v>
      </c>
      <c r="B305" s="4">
        <v>409.0</v>
      </c>
      <c r="C305" s="4" t="s">
        <v>21</v>
      </c>
      <c r="D305" s="5">
        <v>1904.9012781837796</v>
      </c>
      <c r="E305" s="5">
        <f t="shared" si="1"/>
        <v>0</v>
      </c>
      <c r="F305" s="5">
        <f t="shared" si="2"/>
        <v>1904.901278</v>
      </c>
      <c r="G305" s="5">
        <v>1053.7454790225258</v>
      </c>
      <c r="H305" s="5">
        <v>759.838132649125</v>
      </c>
      <c r="I305" s="5">
        <v>293.90734637340086</v>
      </c>
      <c r="J305" s="5">
        <v>43241.067158833546</v>
      </c>
      <c r="K305" s="5">
        <f t="shared" si="3"/>
        <v>43241.06716</v>
      </c>
      <c r="L305" s="5">
        <f t="shared" si="4"/>
        <v>0</v>
      </c>
      <c r="M305" s="5">
        <v>886.9792462973128</v>
      </c>
      <c r="N305" s="5">
        <f t="shared" si="5"/>
        <v>0</v>
      </c>
      <c r="O305" s="5">
        <f t="shared" si="6"/>
        <v>886.9792463</v>
      </c>
      <c r="P305" s="5">
        <f t="shared" si="9"/>
        <v>47086.69316</v>
      </c>
      <c r="Q305" s="5">
        <f t="shared" si="7"/>
        <v>3085.787871</v>
      </c>
      <c r="R305" s="5">
        <f t="shared" si="8"/>
        <v>44000.90529</v>
      </c>
    </row>
    <row r="306" ht="15.75" customHeight="1">
      <c r="A306" s="4">
        <v>2018.0</v>
      </c>
      <c r="B306" s="4">
        <v>420.0</v>
      </c>
      <c r="C306" s="4" t="s">
        <v>21</v>
      </c>
      <c r="D306" s="5">
        <v>185.3990776316953</v>
      </c>
      <c r="E306" s="5">
        <f t="shared" si="1"/>
        <v>0</v>
      </c>
      <c r="F306" s="5">
        <f t="shared" si="2"/>
        <v>185.3990776</v>
      </c>
      <c r="G306" s="5" t="s">
        <v>19</v>
      </c>
      <c r="H306" s="5" t="s">
        <v>19</v>
      </c>
      <c r="I306" s="5" t="s">
        <v>19</v>
      </c>
      <c r="J306" s="5">
        <v>9821.83878672164</v>
      </c>
      <c r="K306" s="5">
        <f t="shared" si="3"/>
        <v>9821.838787</v>
      </c>
      <c r="L306" s="5">
        <f t="shared" si="4"/>
        <v>0</v>
      </c>
      <c r="M306" s="5">
        <v>8863.162799055091</v>
      </c>
      <c r="N306" s="5">
        <f t="shared" si="5"/>
        <v>0</v>
      </c>
      <c r="O306" s="5">
        <f t="shared" si="6"/>
        <v>8863.162799</v>
      </c>
      <c r="P306" s="5">
        <f t="shared" si="9"/>
        <v>18870.40066</v>
      </c>
      <c r="Q306" s="5">
        <f t="shared" si="7"/>
        <v>9048.561877</v>
      </c>
      <c r="R306" s="5">
        <f t="shared" si="8"/>
        <v>9821.838787</v>
      </c>
    </row>
    <row r="307" ht="15.75" customHeight="1">
      <c r="A307" s="4">
        <v>2018.0</v>
      </c>
      <c r="B307" s="4">
        <v>421.0</v>
      </c>
      <c r="C307" s="4" t="s">
        <v>21</v>
      </c>
      <c r="D307" s="5">
        <v>381.82876400120307</v>
      </c>
      <c r="E307" s="5">
        <f t="shared" si="1"/>
        <v>0</v>
      </c>
      <c r="F307" s="5">
        <f t="shared" si="2"/>
        <v>381.828764</v>
      </c>
      <c r="G307" s="5" t="s">
        <v>19</v>
      </c>
      <c r="H307" s="5" t="s">
        <v>19</v>
      </c>
      <c r="I307" s="5" t="s">
        <v>19</v>
      </c>
      <c r="J307" s="5">
        <v>0.0</v>
      </c>
      <c r="K307" s="5">
        <f t="shared" si="3"/>
        <v>0</v>
      </c>
      <c r="L307" s="5">
        <f t="shared" si="4"/>
        <v>0</v>
      </c>
      <c r="M307" s="5">
        <v>46525.65544399692</v>
      </c>
      <c r="N307" s="5">
        <f t="shared" si="5"/>
        <v>0</v>
      </c>
      <c r="O307" s="5">
        <f t="shared" si="6"/>
        <v>46525.65544</v>
      </c>
      <c r="P307" s="5">
        <f t="shared" si="9"/>
        <v>46907.48421</v>
      </c>
      <c r="Q307" s="5">
        <f t="shared" si="7"/>
        <v>46907.48421</v>
      </c>
      <c r="R307" s="5">
        <f t="shared" si="8"/>
        <v>0</v>
      </c>
    </row>
    <row r="308" ht="15.75" customHeight="1">
      <c r="A308" s="4">
        <v>2018.0</v>
      </c>
      <c r="B308" s="4">
        <v>422.0</v>
      </c>
      <c r="C308" s="4" t="s">
        <v>21</v>
      </c>
      <c r="D308" s="5" t="s">
        <v>19</v>
      </c>
      <c r="E308" s="5" t="str">
        <f t="shared" si="1"/>
        <v/>
      </c>
      <c r="F308" s="5" t="str">
        <f t="shared" si="2"/>
        <v/>
      </c>
      <c r="G308" s="5" t="s">
        <v>19</v>
      </c>
      <c r="H308" s="5" t="s">
        <v>19</v>
      </c>
      <c r="I308" s="5" t="s">
        <v>19</v>
      </c>
      <c r="J308" s="5">
        <v>259.2769064286093</v>
      </c>
      <c r="K308" s="5">
        <f t="shared" si="3"/>
        <v>259.2769064</v>
      </c>
      <c r="L308" s="5">
        <f t="shared" si="4"/>
        <v>0</v>
      </c>
      <c r="M308" s="5">
        <v>48543.655354711285</v>
      </c>
      <c r="N308" s="5">
        <f t="shared" si="5"/>
        <v>0</v>
      </c>
      <c r="O308" s="5">
        <f t="shared" si="6"/>
        <v>48543.65535</v>
      </c>
      <c r="P308" s="5">
        <f t="shared" si="9"/>
        <v>48802.93226</v>
      </c>
      <c r="Q308" s="5">
        <f t="shared" si="7"/>
        <v>48543.65535</v>
      </c>
      <c r="R308" s="5">
        <f t="shared" si="8"/>
        <v>259.2769064</v>
      </c>
    </row>
    <row r="309" ht="15.75" customHeight="1">
      <c r="A309" s="4">
        <v>2018.0</v>
      </c>
      <c r="B309" s="4">
        <v>423.0</v>
      </c>
      <c r="C309" s="4" t="s">
        <v>21</v>
      </c>
      <c r="D309" s="5">
        <v>8039.616753136441</v>
      </c>
      <c r="E309" s="5">
        <f t="shared" si="1"/>
        <v>0</v>
      </c>
      <c r="F309" s="5">
        <f t="shared" si="2"/>
        <v>8039.616753</v>
      </c>
      <c r="G309" s="5">
        <v>2649.242502192416</v>
      </c>
      <c r="H309" s="5">
        <v>1812.1976408288356</v>
      </c>
      <c r="I309" s="5">
        <v>837.0448613635804</v>
      </c>
      <c r="J309" s="5">
        <v>51970.13816501689</v>
      </c>
      <c r="K309" s="5">
        <f t="shared" si="3"/>
        <v>51970.13817</v>
      </c>
      <c r="L309" s="5">
        <f t="shared" si="4"/>
        <v>0</v>
      </c>
      <c r="M309" s="5">
        <v>118663.5519306726</v>
      </c>
      <c r="N309" s="5">
        <f t="shared" si="5"/>
        <v>0</v>
      </c>
      <c r="O309" s="5">
        <f t="shared" si="6"/>
        <v>118663.5519</v>
      </c>
      <c r="P309" s="5">
        <f t="shared" si="9"/>
        <v>181322.5494</v>
      </c>
      <c r="Q309" s="5">
        <f t="shared" si="7"/>
        <v>127540.2135</v>
      </c>
      <c r="R309" s="5">
        <f t="shared" si="8"/>
        <v>53782.33581</v>
      </c>
    </row>
    <row r="310" ht="15.75" customHeight="1">
      <c r="A310" s="4">
        <v>2018.0</v>
      </c>
      <c r="B310" s="4">
        <v>424.0</v>
      </c>
      <c r="C310" s="4" t="s">
        <v>21</v>
      </c>
      <c r="D310" s="5" t="s">
        <v>19</v>
      </c>
      <c r="E310" s="5" t="str">
        <f t="shared" si="1"/>
        <v/>
      </c>
      <c r="F310" s="5" t="str">
        <f t="shared" si="2"/>
        <v/>
      </c>
      <c r="G310" s="5">
        <v>1637.8914254206998</v>
      </c>
      <c r="H310" s="5">
        <v>1051.0550650335322</v>
      </c>
      <c r="I310" s="5">
        <v>586.8363603871676</v>
      </c>
      <c r="J310" s="5">
        <v>15045.731487250723</v>
      </c>
      <c r="K310" s="5">
        <f t="shared" si="3"/>
        <v>15045.73149</v>
      </c>
      <c r="L310" s="5">
        <f t="shared" si="4"/>
        <v>0</v>
      </c>
      <c r="M310" s="5">
        <v>39801.236182087654</v>
      </c>
      <c r="N310" s="5">
        <f t="shared" si="5"/>
        <v>0</v>
      </c>
      <c r="O310" s="5">
        <f t="shared" si="6"/>
        <v>39801.23618</v>
      </c>
      <c r="P310" s="5">
        <f t="shared" si="9"/>
        <v>56484.85909</v>
      </c>
      <c r="Q310" s="5">
        <f t="shared" si="7"/>
        <v>40388.07254</v>
      </c>
      <c r="R310" s="5">
        <f t="shared" si="8"/>
        <v>16096.78655</v>
      </c>
    </row>
    <row r="311" ht="15.75" customHeight="1">
      <c r="A311" s="4">
        <v>2018.0</v>
      </c>
      <c r="B311" s="4">
        <v>425.0</v>
      </c>
      <c r="C311" s="4" t="s">
        <v>21</v>
      </c>
      <c r="D311" s="5">
        <v>3326.152788632702</v>
      </c>
      <c r="E311" s="5">
        <f t="shared" si="1"/>
        <v>0</v>
      </c>
      <c r="F311" s="5">
        <f t="shared" si="2"/>
        <v>3326.152789</v>
      </c>
      <c r="G311" s="5" t="s">
        <v>19</v>
      </c>
      <c r="H311" s="5" t="s">
        <v>19</v>
      </c>
      <c r="I311" s="5" t="s">
        <v>19</v>
      </c>
      <c r="J311" s="5">
        <v>0.0</v>
      </c>
      <c r="K311" s="5">
        <f t="shared" si="3"/>
        <v>0</v>
      </c>
      <c r="L311" s="5">
        <f t="shared" si="4"/>
        <v>0</v>
      </c>
      <c r="M311" s="5">
        <v>45284.65214447651</v>
      </c>
      <c r="N311" s="5">
        <f t="shared" si="5"/>
        <v>0</v>
      </c>
      <c r="O311" s="5">
        <f t="shared" si="6"/>
        <v>45284.65214</v>
      </c>
      <c r="P311" s="5">
        <f t="shared" si="9"/>
        <v>48610.80493</v>
      </c>
      <c r="Q311" s="5">
        <f t="shared" si="7"/>
        <v>48610.80493</v>
      </c>
      <c r="R311" s="5">
        <f t="shared" si="8"/>
        <v>0</v>
      </c>
    </row>
    <row r="312" ht="15.75" customHeight="1">
      <c r="A312" s="4">
        <v>2018.0</v>
      </c>
      <c r="B312" s="4">
        <v>426.0</v>
      </c>
      <c r="C312" s="4" t="s">
        <v>21</v>
      </c>
      <c r="D312" s="5" t="s">
        <v>19</v>
      </c>
      <c r="E312" s="5" t="str">
        <f t="shared" si="1"/>
        <v/>
      </c>
      <c r="F312" s="5" t="str">
        <f t="shared" si="2"/>
        <v/>
      </c>
      <c r="G312" s="5" t="s">
        <v>19</v>
      </c>
      <c r="H312" s="5" t="s">
        <v>19</v>
      </c>
      <c r="I312" s="5" t="s">
        <v>19</v>
      </c>
      <c r="J312" s="5">
        <v>0.0</v>
      </c>
      <c r="K312" s="5">
        <f t="shared" si="3"/>
        <v>0</v>
      </c>
      <c r="L312" s="5">
        <f t="shared" si="4"/>
        <v>0</v>
      </c>
      <c r="M312" s="5">
        <v>48569.82508070354</v>
      </c>
      <c r="N312" s="5">
        <f t="shared" si="5"/>
        <v>0</v>
      </c>
      <c r="O312" s="5">
        <f t="shared" si="6"/>
        <v>48569.82508</v>
      </c>
      <c r="P312" s="5">
        <f t="shared" si="9"/>
        <v>48569.82508</v>
      </c>
      <c r="Q312" s="5">
        <f t="shared" si="7"/>
        <v>48569.82508</v>
      </c>
      <c r="R312" s="5">
        <f t="shared" si="8"/>
        <v>0</v>
      </c>
    </row>
    <row r="313" ht="15.75" customHeight="1">
      <c r="A313" s="4">
        <v>2018.0</v>
      </c>
      <c r="B313" s="4">
        <v>427.0</v>
      </c>
      <c r="C313" s="4" t="s">
        <v>21</v>
      </c>
      <c r="D313" s="5">
        <v>1317.3092358041504</v>
      </c>
      <c r="E313" s="5">
        <f t="shared" si="1"/>
        <v>0</v>
      </c>
      <c r="F313" s="5">
        <f t="shared" si="2"/>
        <v>1317.309236</v>
      </c>
      <c r="G313" s="5" t="s">
        <v>19</v>
      </c>
      <c r="H313" s="5" t="s">
        <v>19</v>
      </c>
      <c r="I313" s="5" t="s">
        <v>19</v>
      </c>
      <c r="J313" s="5">
        <v>1086.2014778192627</v>
      </c>
      <c r="K313" s="5">
        <f t="shared" si="3"/>
        <v>1086.201478</v>
      </c>
      <c r="L313" s="5">
        <f t="shared" si="4"/>
        <v>0</v>
      </c>
      <c r="M313" s="5">
        <v>64648.434944405744</v>
      </c>
      <c r="N313" s="5">
        <f t="shared" si="5"/>
        <v>0</v>
      </c>
      <c r="O313" s="5">
        <f t="shared" si="6"/>
        <v>64648.43494</v>
      </c>
      <c r="P313" s="5">
        <f t="shared" si="9"/>
        <v>67051.94566</v>
      </c>
      <c r="Q313" s="5">
        <f t="shared" si="7"/>
        <v>65965.74418</v>
      </c>
      <c r="R313" s="5">
        <f t="shared" si="8"/>
        <v>1086.201478</v>
      </c>
    </row>
    <row r="314" ht="15.75" customHeight="1">
      <c r="A314" s="4">
        <v>2018.0</v>
      </c>
      <c r="B314" s="4">
        <v>428.0</v>
      </c>
      <c r="C314" s="4" t="s">
        <v>21</v>
      </c>
      <c r="D314" s="5" t="s">
        <v>19</v>
      </c>
      <c r="E314" s="5" t="str">
        <f t="shared" si="1"/>
        <v/>
      </c>
      <c r="F314" s="5" t="str">
        <f t="shared" si="2"/>
        <v/>
      </c>
      <c r="G314" s="5" t="s">
        <v>19</v>
      </c>
      <c r="H314" s="5" t="s">
        <v>19</v>
      </c>
      <c r="I314" s="5" t="s">
        <v>19</v>
      </c>
      <c r="J314" s="5">
        <v>802.0708087625856</v>
      </c>
      <c r="K314" s="5">
        <f t="shared" si="3"/>
        <v>802.0708088</v>
      </c>
      <c r="L314" s="5">
        <f t="shared" si="4"/>
        <v>0</v>
      </c>
      <c r="M314" s="5">
        <v>14312.397610001251</v>
      </c>
      <c r="N314" s="5">
        <f t="shared" si="5"/>
        <v>0</v>
      </c>
      <c r="O314" s="5">
        <f t="shared" si="6"/>
        <v>14312.39761</v>
      </c>
      <c r="P314" s="5">
        <f t="shared" si="9"/>
        <v>15114.46842</v>
      </c>
      <c r="Q314" s="5">
        <f t="shared" si="7"/>
        <v>14312.39761</v>
      </c>
      <c r="R314" s="5">
        <f t="shared" si="8"/>
        <v>802.0708088</v>
      </c>
    </row>
    <row r="315" ht="15.75" customHeight="1">
      <c r="A315" s="4">
        <v>2018.0</v>
      </c>
      <c r="B315" s="4">
        <v>429.0</v>
      </c>
      <c r="C315" s="4" t="s">
        <v>21</v>
      </c>
      <c r="D315" s="5">
        <v>5218.750695531997</v>
      </c>
      <c r="E315" s="5">
        <f t="shared" si="1"/>
        <v>0</v>
      </c>
      <c r="F315" s="5">
        <f t="shared" si="2"/>
        <v>5218.750696</v>
      </c>
      <c r="G315" s="5">
        <v>2743.4069918071946</v>
      </c>
      <c r="H315" s="5">
        <v>1316.672300674181</v>
      </c>
      <c r="I315" s="5">
        <v>1426.7346911330135</v>
      </c>
      <c r="J315" s="5">
        <v>70.57241240068657</v>
      </c>
      <c r="K315" s="5">
        <f t="shared" si="3"/>
        <v>70.5724124</v>
      </c>
      <c r="L315" s="5">
        <f t="shared" si="4"/>
        <v>0</v>
      </c>
      <c r="M315" s="5">
        <v>4034.673888645091</v>
      </c>
      <c r="N315" s="5">
        <f t="shared" si="5"/>
        <v>0</v>
      </c>
      <c r="O315" s="5">
        <f t="shared" si="6"/>
        <v>4034.673889</v>
      </c>
      <c r="P315" s="5">
        <f t="shared" si="9"/>
        <v>12067.40399</v>
      </c>
      <c r="Q315" s="5">
        <f t="shared" si="7"/>
        <v>10680.15928</v>
      </c>
      <c r="R315" s="5">
        <f t="shared" si="8"/>
        <v>1387.244713</v>
      </c>
    </row>
    <row r="316" ht="15.75" customHeight="1">
      <c r="A316" s="4">
        <v>2018.0</v>
      </c>
      <c r="B316" s="4">
        <v>500.0</v>
      </c>
      <c r="C316" s="4" t="s">
        <v>22</v>
      </c>
      <c r="D316" s="5" t="s">
        <v>19</v>
      </c>
      <c r="E316" s="5" t="str">
        <f t="shared" si="1"/>
        <v/>
      </c>
      <c r="F316" s="5" t="str">
        <f t="shared" si="2"/>
        <v/>
      </c>
      <c r="G316" s="5">
        <v>23423.970648311013</v>
      </c>
      <c r="H316" s="5">
        <v>11959.37314406243</v>
      </c>
      <c r="I316" s="5">
        <v>11464.597504248582</v>
      </c>
      <c r="J316" s="5">
        <v>59457.17547679649</v>
      </c>
      <c r="K316" s="5">
        <f t="shared" si="3"/>
        <v>59457.17548</v>
      </c>
      <c r="L316" s="5">
        <f t="shared" si="4"/>
        <v>0</v>
      </c>
      <c r="M316" s="5">
        <v>6094.802350425562</v>
      </c>
      <c r="N316" s="5">
        <f t="shared" si="5"/>
        <v>0</v>
      </c>
      <c r="O316" s="5">
        <f t="shared" si="6"/>
        <v>6094.80235</v>
      </c>
      <c r="P316" s="5">
        <f t="shared" si="9"/>
        <v>88975.94848</v>
      </c>
      <c r="Q316" s="5">
        <f t="shared" si="7"/>
        <v>17559.39985</v>
      </c>
      <c r="R316" s="5">
        <f t="shared" si="8"/>
        <v>71416.54862</v>
      </c>
    </row>
    <row r="317" ht="15.75" customHeight="1">
      <c r="A317" s="4">
        <v>2018.0</v>
      </c>
      <c r="B317" s="4">
        <v>501.0</v>
      </c>
      <c r="C317" s="4" t="s">
        <v>22</v>
      </c>
      <c r="D317" s="5" t="s">
        <v>19</v>
      </c>
      <c r="E317" s="5" t="str">
        <f t="shared" si="1"/>
        <v/>
      </c>
      <c r="F317" s="5" t="str">
        <f t="shared" si="2"/>
        <v/>
      </c>
      <c r="G317" s="5">
        <v>11926.748772848725</v>
      </c>
      <c r="H317" s="5">
        <v>3108.823876007291</v>
      </c>
      <c r="I317" s="5">
        <v>8817.924896841434</v>
      </c>
      <c r="J317" s="5">
        <v>56554.877650525</v>
      </c>
      <c r="K317" s="5">
        <f t="shared" si="3"/>
        <v>56554.87765</v>
      </c>
      <c r="L317" s="5">
        <f t="shared" si="4"/>
        <v>0</v>
      </c>
      <c r="M317" s="5">
        <v>0.0</v>
      </c>
      <c r="N317" s="5">
        <f t="shared" si="5"/>
        <v>0</v>
      </c>
      <c r="O317" s="5">
        <f t="shared" si="6"/>
        <v>0</v>
      </c>
      <c r="P317" s="5">
        <f t="shared" si="9"/>
        <v>68481.62642</v>
      </c>
      <c r="Q317" s="5">
        <f t="shared" si="7"/>
        <v>8817.924897</v>
      </c>
      <c r="R317" s="5">
        <f t="shared" si="8"/>
        <v>59663.70153</v>
      </c>
    </row>
    <row r="318" ht="15.75" customHeight="1">
      <c r="A318" s="4">
        <v>2018.0</v>
      </c>
      <c r="B318" s="4">
        <v>502.0</v>
      </c>
      <c r="C318" s="4" t="s">
        <v>22</v>
      </c>
      <c r="D318" s="5" t="s">
        <v>19</v>
      </c>
      <c r="E318" s="5" t="str">
        <f t="shared" si="1"/>
        <v/>
      </c>
      <c r="F318" s="5" t="str">
        <f t="shared" si="2"/>
        <v/>
      </c>
      <c r="G318" s="5" t="s">
        <v>19</v>
      </c>
      <c r="H318" s="5" t="s">
        <v>19</v>
      </c>
      <c r="I318" s="5" t="s">
        <v>19</v>
      </c>
      <c r="J318" s="5">
        <v>3559.043964981508</v>
      </c>
      <c r="K318" s="5">
        <f t="shared" si="3"/>
        <v>3559.043965</v>
      </c>
      <c r="L318" s="5">
        <f t="shared" si="4"/>
        <v>0</v>
      </c>
      <c r="M318" s="5">
        <v>0.0</v>
      </c>
      <c r="N318" s="5">
        <f t="shared" si="5"/>
        <v>0</v>
      </c>
      <c r="O318" s="5">
        <f t="shared" si="6"/>
        <v>0</v>
      </c>
      <c r="P318" s="5">
        <f t="shared" si="9"/>
        <v>3559.043965</v>
      </c>
      <c r="Q318" s="5">
        <f t="shared" si="7"/>
        <v>0</v>
      </c>
      <c r="R318" s="5">
        <f t="shared" si="8"/>
        <v>3559.043965</v>
      </c>
    </row>
    <row r="319" ht="15.75" customHeight="1">
      <c r="A319" s="4">
        <v>2018.0</v>
      </c>
      <c r="B319" s="4">
        <v>503.0</v>
      </c>
      <c r="C319" s="4" t="s">
        <v>22</v>
      </c>
      <c r="D319" s="5" t="s">
        <v>19</v>
      </c>
      <c r="E319" s="5" t="str">
        <f t="shared" si="1"/>
        <v/>
      </c>
      <c r="F319" s="5" t="str">
        <f t="shared" si="2"/>
        <v/>
      </c>
      <c r="G319" s="5" t="s">
        <v>19</v>
      </c>
      <c r="H319" s="5" t="s">
        <v>19</v>
      </c>
      <c r="I319" s="5" t="s">
        <v>19</v>
      </c>
      <c r="J319" s="5">
        <v>3241.9568322729283</v>
      </c>
      <c r="K319" s="5">
        <f t="shared" si="3"/>
        <v>3241.956832</v>
      </c>
      <c r="L319" s="5">
        <f t="shared" si="4"/>
        <v>0</v>
      </c>
      <c r="M319" s="5">
        <v>277.13878289950975</v>
      </c>
      <c r="N319" s="5">
        <f t="shared" si="5"/>
        <v>0</v>
      </c>
      <c r="O319" s="5">
        <f t="shared" si="6"/>
        <v>277.1387829</v>
      </c>
      <c r="P319" s="5">
        <f t="shared" si="9"/>
        <v>3519.095615</v>
      </c>
      <c r="Q319" s="5">
        <f t="shared" si="7"/>
        <v>277.1387829</v>
      </c>
      <c r="R319" s="5">
        <f t="shared" si="8"/>
        <v>3241.956832</v>
      </c>
    </row>
    <row r="320" ht="15.75" customHeight="1">
      <c r="A320" s="4">
        <v>2018.0</v>
      </c>
      <c r="B320" s="4">
        <v>504.0</v>
      </c>
      <c r="C320" s="4" t="s">
        <v>22</v>
      </c>
      <c r="D320" s="5">
        <v>3823.999120400968</v>
      </c>
      <c r="E320" s="5">
        <f t="shared" si="1"/>
        <v>0</v>
      </c>
      <c r="F320" s="5">
        <f t="shared" si="2"/>
        <v>3823.99912</v>
      </c>
      <c r="G320" s="5">
        <v>6845.584927096421</v>
      </c>
      <c r="H320" s="5">
        <v>4327.442505777432</v>
      </c>
      <c r="I320" s="5">
        <v>2518.1424213189885</v>
      </c>
      <c r="J320" s="5">
        <v>8330.133943048502</v>
      </c>
      <c r="K320" s="5">
        <f t="shared" si="3"/>
        <v>8330.133943</v>
      </c>
      <c r="L320" s="5">
        <f t="shared" si="4"/>
        <v>0</v>
      </c>
      <c r="M320" s="5">
        <v>38310.56804726344</v>
      </c>
      <c r="N320" s="5">
        <f t="shared" si="5"/>
        <v>0</v>
      </c>
      <c r="O320" s="5">
        <f t="shared" si="6"/>
        <v>38310.56805</v>
      </c>
      <c r="P320" s="5">
        <f t="shared" si="9"/>
        <v>57310.28604</v>
      </c>
      <c r="Q320" s="5">
        <f t="shared" si="7"/>
        <v>44652.70959</v>
      </c>
      <c r="R320" s="5">
        <f t="shared" si="8"/>
        <v>12657.57645</v>
      </c>
    </row>
    <row r="321" ht="15.75" customHeight="1">
      <c r="A321" s="4">
        <v>2018.0</v>
      </c>
      <c r="B321" s="4">
        <v>505.0</v>
      </c>
      <c r="C321" s="4" t="s">
        <v>22</v>
      </c>
      <c r="D321" s="5">
        <v>1860.4930532089952</v>
      </c>
      <c r="E321" s="5">
        <f t="shared" si="1"/>
        <v>0</v>
      </c>
      <c r="F321" s="5">
        <f t="shared" si="2"/>
        <v>1860.493053</v>
      </c>
      <c r="G321" s="5">
        <v>19797.583255109443</v>
      </c>
      <c r="H321" s="5">
        <v>7052.356224550104</v>
      </c>
      <c r="I321" s="5">
        <v>12745.227030559337</v>
      </c>
      <c r="J321" s="5">
        <v>6467.000655261621</v>
      </c>
      <c r="K321" s="5">
        <f t="shared" si="3"/>
        <v>6467.000655</v>
      </c>
      <c r="L321" s="5">
        <f t="shared" si="4"/>
        <v>0</v>
      </c>
      <c r="M321" s="5">
        <v>4344.185591846122</v>
      </c>
      <c r="N321" s="5">
        <f t="shared" si="5"/>
        <v>0</v>
      </c>
      <c r="O321" s="5">
        <f t="shared" si="6"/>
        <v>4344.185592</v>
      </c>
      <c r="P321" s="5">
        <f t="shared" si="9"/>
        <v>32469.26256</v>
      </c>
      <c r="Q321" s="5">
        <f t="shared" si="7"/>
        <v>18949.90568</v>
      </c>
      <c r="R321" s="5">
        <f t="shared" si="8"/>
        <v>13519.35688</v>
      </c>
    </row>
    <row r="322" ht="15.75" customHeight="1">
      <c r="A322" s="4">
        <v>2018.0</v>
      </c>
      <c r="B322" s="4">
        <v>506.0</v>
      </c>
      <c r="C322" s="4" t="s">
        <v>22</v>
      </c>
      <c r="D322" s="5" t="s">
        <v>19</v>
      </c>
      <c r="E322" s="5" t="str">
        <f t="shared" si="1"/>
        <v/>
      </c>
      <c r="F322" s="5" t="str">
        <f t="shared" si="2"/>
        <v/>
      </c>
      <c r="G322" s="5">
        <v>21915.298406632108</v>
      </c>
      <c r="H322" s="5">
        <v>9021.2124360625</v>
      </c>
      <c r="I322" s="5">
        <v>12894.085970569608</v>
      </c>
      <c r="J322" s="5">
        <v>4954.685144639287</v>
      </c>
      <c r="K322" s="5">
        <f t="shared" si="3"/>
        <v>4954.685145</v>
      </c>
      <c r="L322" s="5">
        <f t="shared" si="4"/>
        <v>0</v>
      </c>
      <c r="M322" s="5">
        <v>4916.751503724805</v>
      </c>
      <c r="N322" s="5">
        <f t="shared" si="5"/>
        <v>0</v>
      </c>
      <c r="O322" s="5">
        <f t="shared" si="6"/>
        <v>4916.751504</v>
      </c>
      <c r="P322" s="5">
        <f t="shared" si="9"/>
        <v>31786.73505</v>
      </c>
      <c r="Q322" s="5">
        <f t="shared" si="7"/>
        <v>17810.83747</v>
      </c>
      <c r="R322" s="5">
        <f t="shared" si="8"/>
        <v>13975.89758</v>
      </c>
    </row>
    <row r="323" ht="15.75" customHeight="1">
      <c r="A323" s="4">
        <v>2018.0</v>
      </c>
      <c r="B323" s="4">
        <v>507.0</v>
      </c>
      <c r="C323" s="4" t="s">
        <v>22</v>
      </c>
      <c r="D323" s="5" t="s">
        <v>19</v>
      </c>
      <c r="E323" s="5" t="str">
        <f t="shared" si="1"/>
        <v/>
      </c>
      <c r="F323" s="5" t="str">
        <f t="shared" si="2"/>
        <v/>
      </c>
      <c r="G323" s="5" t="s">
        <v>19</v>
      </c>
      <c r="H323" s="5" t="s">
        <v>19</v>
      </c>
      <c r="I323" s="5" t="s">
        <v>19</v>
      </c>
      <c r="J323" s="5">
        <v>0.0</v>
      </c>
      <c r="K323" s="5">
        <f t="shared" si="3"/>
        <v>0</v>
      </c>
      <c r="L323" s="5">
        <f t="shared" si="4"/>
        <v>0</v>
      </c>
      <c r="M323" s="5">
        <v>0.0</v>
      </c>
      <c r="N323" s="5">
        <f t="shared" si="5"/>
        <v>0</v>
      </c>
      <c r="O323" s="5">
        <f t="shared" si="6"/>
        <v>0</v>
      </c>
      <c r="P323" s="5">
        <f t="shared" si="9"/>
        <v>0</v>
      </c>
      <c r="Q323" s="5">
        <f t="shared" si="7"/>
        <v>0</v>
      </c>
      <c r="R323" s="5">
        <f t="shared" si="8"/>
        <v>0</v>
      </c>
    </row>
    <row r="324" ht="15.75" customHeight="1">
      <c r="A324" s="4">
        <v>2018.0</v>
      </c>
      <c r="B324" s="4">
        <v>508.0</v>
      </c>
      <c r="C324" s="4" t="s">
        <v>22</v>
      </c>
      <c r="D324" s="5">
        <v>5924.427187868276</v>
      </c>
      <c r="E324" s="5">
        <f t="shared" si="1"/>
        <v>0</v>
      </c>
      <c r="F324" s="5">
        <f t="shared" si="2"/>
        <v>5924.427188</v>
      </c>
      <c r="G324" s="5" t="s">
        <v>19</v>
      </c>
      <c r="H324" s="5" t="s">
        <v>19</v>
      </c>
      <c r="I324" s="5" t="s">
        <v>19</v>
      </c>
      <c r="J324" s="5">
        <v>0.0</v>
      </c>
      <c r="K324" s="5">
        <f t="shared" si="3"/>
        <v>0</v>
      </c>
      <c r="L324" s="5">
        <f t="shared" si="4"/>
        <v>0</v>
      </c>
      <c r="M324" s="5">
        <v>21995.253150425553</v>
      </c>
      <c r="N324" s="5">
        <f t="shared" si="5"/>
        <v>0</v>
      </c>
      <c r="O324" s="5">
        <f t="shared" si="6"/>
        <v>21995.25315</v>
      </c>
      <c r="P324" s="5">
        <f t="shared" si="9"/>
        <v>27919.68034</v>
      </c>
      <c r="Q324" s="5">
        <f t="shared" si="7"/>
        <v>27919.68034</v>
      </c>
      <c r="R324" s="5">
        <f t="shared" si="8"/>
        <v>0</v>
      </c>
    </row>
    <row r="325" ht="15.75" customHeight="1">
      <c r="A325" s="4">
        <v>2018.0</v>
      </c>
      <c r="B325" s="4">
        <v>520.0</v>
      </c>
      <c r="C325" s="4" t="s">
        <v>22</v>
      </c>
      <c r="D325" s="5">
        <v>1297.2009168226775</v>
      </c>
      <c r="E325" s="5">
        <f t="shared" si="1"/>
        <v>0</v>
      </c>
      <c r="F325" s="5">
        <f t="shared" si="2"/>
        <v>1297.200917</v>
      </c>
      <c r="G325" s="5">
        <v>1733.2721842054038</v>
      </c>
      <c r="H325" s="5">
        <v>1222.1023880027603</v>
      </c>
      <c r="I325" s="5">
        <v>511.1697962026435</v>
      </c>
      <c r="J325" s="5">
        <v>8323.93462573567</v>
      </c>
      <c r="K325" s="5">
        <f t="shared" si="3"/>
        <v>8323.934626</v>
      </c>
      <c r="L325" s="5">
        <f t="shared" si="4"/>
        <v>0</v>
      </c>
      <c r="M325" s="5">
        <v>275247.06451694644</v>
      </c>
      <c r="N325" s="5">
        <f t="shared" si="5"/>
        <v>0</v>
      </c>
      <c r="O325" s="5">
        <f t="shared" si="6"/>
        <v>275247.0645</v>
      </c>
      <c r="P325" s="5">
        <f t="shared" si="9"/>
        <v>286601.4722</v>
      </c>
      <c r="Q325" s="5">
        <f t="shared" si="7"/>
        <v>277055.4352</v>
      </c>
      <c r="R325" s="5">
        <f t="shared" si="8"/>
        <v>9546.037014</v>
      </c>
    </row>
    <row r="326" ht="15.75" customHeight="1">
      <c r="A326" s="4">
        <v>2018.0</v>
      </c>
      <c r="B326" s="4">
        <v>521.0</v>
      </c>
      <c r="C326" s="4" t="s">
        <v>22</v>
      </c>
      <c r="D326" s="5">
        <v>3296.587921469394</v>
      </c>
      <c r="E326" s="5">
        <f t="shared" si="1"/>
        <v>0</v>
      </c>
      <c r="F326" s="5">
        <f t="shared" si="2"/>
        <v>3296.587921</v>
      </c>
      <c r="G326" s="5">
        <v>7460.1608647213925</v>
      </c>
      <c r="H326" s="5">
        <v>4084.440122704511</v>
      </c>
      <c r="I326" s="5">
        <v>3375.7207420168816</v>
      </c>
      <c r="J326" s="5">
        <v>8154.486619184967</v>
      </c>
      <c r="K326" s="5">
        <f t="shared" si="3"/>
        <v>8154.486619</v>
      </c>
      <c r="L326" s="5">
        <f t="shared" si="4"/>
        <v>0</v>
      </c>
      <c r="M326" s="5">
        <v>37759.666791509895</v>
      </c>
      <c r="N326" s="5">
        <f t="shared" si="5"/>
        <v>0</v>
      </c>
      <c r="O326" s="5">
        <f t="shared" si="6"/>
        <v>37759.66679</v>
      </c>
      <c r="P326" s="5">
        <f t="shared" si="9"/>
        <v>56670.9022</v>
      </c>
      <c r="Q326" s="5">
        <f t="shared" si="7"/>
        <v>44431.97545</v>
      </c>
      <c r="R326" s="5">
        <f t="shared" si="8"/>
        <v>12238.92674</v>
      </c>
    </row>
    <row r="327" ht="15.75" customHeight="1">
      <c r="A327" s="4">
        <v>2018.0</v>
      </c>
      <c r="B327" s="4">
        <v>522.0</v>
      </c>
      <c r="C327" s="4" t="s">
        <v>22</v>
      </c>
      <c r="D327" s="5" t="s">
        <v>19</v>
      </c>
      <c r="E327" s="5" t="str">
        <f t="shared" si="1"/>
        <v/>
      </c>
      <c r="F327" s="5" t="str">
        <f t="shared" si="2"/>
        <v/>
      </c>
      <c r="G327" s="5" t="s">
        <v>19</v>
      </c>
      <c r="H327" s="5" t="s">
        <v>19</v>
      </c>
      <c r="I327" s="5" t="s">
        <v>19</v>
      </c>
      <c r="J327" s="5">
        <v>0.0</v>
      </c>
      <c r="K327" s="5">
        <f t="shared" si="3"/>
        <v>0</v>
      </c>
      <c r="L327" s="5">
        <f t="shared" si="4"/>
        <v>0</v>
      </c>
      <c r="M327" s="5">
        <v>30097.9752208129</v>
      </c>
      <c r="N327" s="5">
        <f t="shared" si="5"/>
        <v>0</v>
      </c>
      <c r="O327" s="5">
        <f t="shared" si="6"/>
        <v>30097.97522</v>
      </c>
      <c r="P327" s="5">
        <f t="shared" si="9"/>
        <v>30097.97522</v>
      </c>
      <c r="Q327" s="5">
        <f t="shared" si="7"/>
        <v>30097.97522</v>
      </c>
      <c r="R327" s="5">
        <f t="shared" si="8"/>
        <v>0</v>
      </c>
    </row>
    <row r="328" ht="15.75" customHeight="1">
      <c r="A328" s="4">
        <v>2018.0</v>
      </c>
      <c r="B328" s="4">
        <v>523.0</v>
      </c>
      <c r="C328" s="4" t="s">
        <v>22</v>
      </c>
      <c r="D328" s="5" t="s">
        <v>19</v>
      </c>
      <c r="E328" s="5" t="str">
        <f t="shared" si="1"/>
        <v/>
      </c>
      <c r="F328" s="5" t="str">
        <f t="shared" si="2"/>
        <v/>
      </c>
      <c r="G328" s="5" t="s">
        <v>19</v>
      </c>
      <c r="H328" s="5" t="s">
        <v>19</v>
      </c>
      <c r="I328" s="5" t="s">
        <v>19</v>
      </c>
      <c r="J328" s="5">
        <v>0.0</v>
      </c>
      <c r="K328" s="5">
        <f t="shared" si="3"/>
        <v>0</v>
      </c>
      <c r="L328" s="5">
        <f t="shared" si="4"/>
        <v>0</v>
      </c>
      <c r="M328" s="5">
        <v>64815.02394300776</v>
      </c>
      <c r="N328" s="5">
        <f t="shared" si="5"/>
        <v>0</v>
      </c>
      <c r="O328" s="5">
        <f t="shared" si="6"/>
        <v>64815.02394</v>
      </c>
      <c r="P328" s="5">
        <f t="shared" si="9"/>
        <v>64815.02394</v>
      </c>
      <c r="Q328" s="5">
        <f t="shared" si="7"/>
        <v>64815.02394</v>
      </c>
      <c r="R328" s="5">
        <f t="shared" si="8"/>
        <v>0</v>
      </c>
    </row>
    <row r="329" ht="15.75" customHeight="1">
      <c r="A329" s="4">
        <v>2018.0</v>
      </c>
      <c r="B329" s="4">
        <v>524.0</v>
      </c>
      <c r="C329" s="4" t="s">
        <v>22</v>
      </c>
      <c r="D329" s="5" t="s">
        <v>19</v>
      </c>
      <c r="E329" s="5" t="str">
        <f t="shared" si="1"/>
        <v/>
      </c>
      <c r="F329" s="5" t="str">
        <f t="shared" si="2"/>
        <v/>
      </c>
      <c r="G329" s="5">
        <v>20248.012701891603</v>
      </c>
      <c r="H329" s="5">
        <v>9237.123475702938</v>
      </c>
      <c r="I329" s="5">
        <v>11010.889226188665</v>
      </c>
      <c r="J329" s="5">
        <v>3082.1734024560715</v>
      </c>
      <c r="K329" s="5">
        <f t="shared" si="3"/>
        <v>3082.173402</v>
      </c>
      <c r="L329" s="5">
        <f t="shared" si="4"/>
        <v>0</v>
      </c>
      <c r="M329" s="5">
        <v>356734.06830922107</v>
      </c>
      <c r="N329" s="5">
        <f t="shared" si="5"/>
        <v>0</v>
      </c>
      <c r="O329" s="5">
        <f t="shared" si="6"/>
        <v>356734.0683</v>
      </c>
      <c r="P329" s="5">
        <f t="shared" si="9"/>
        <v>380064.2544</v>
      </c>
      <c r="Q329" s="5">
        <f t="shared" si="7"/>
        <v>367744.9575</v>
      </c>
      <c r="R329" s="5">
        <f t="shared" si="8"/>
        <v>12319.29688</v>
      </c>
    </row>
    <row r="330" ht="15.75" customHeight="1">
      <c r="A330" s="4">
        <v>2018.0</v>
      </c>
      <c r="B330" s="4">
        <v>525.0</v>
      </c>
      <c r="C330" s="4" t="s">
        <v>22</v>
      </c>
      <c r="D330" s="5">
        <v>6869.2490056730285</v>
      </c>
      <c r="E330" s="5">
        <f t="shared" si="1"/>
        <v>0</v>
      </c>
      <c r="F330" s="5">
        <f t="shared" si="2"/>
        <v>6869.249006</v>
      </c>
      <c r="G330" s="5">
        <v>3254.6498970856264</v>
      </c>
      <c r="H330" s="5">
        <v>1143.98423281015</v>
      </c>
      <c r="I330" s="5">
        <v>2110.6656642754765</v>
      </c>
      <c r="J330" s="5">
        <v>0.0</v>
      </c>
      <c r="K330" s="5">
        <f t="shared" si="3"/>
        <v>0</v>
      </c>
      <c r="L330" s="5">
        <f t="shared" si="4"/>
        <v>0</v>
      </c>
      <c r="M330" s="5">
        <v>24321.249412588244</v>
      </c>
      <c r="N330" s="5">
        <f t="shared" si="5"/>
        <v>0</v>
      </c>
      <c r="O330" s="5">
        <f t="shared" si="6"/>
        <v>24321.24941</v>
      </c>
      <c r="P330" s="5">
        <f t="shared" si="9"/>
        <v>34445.14832</v>
      </c>
      <c r="Q330" s="5">
        <f t="shared" si="7"/>
        <v>33301.16408</v>
      </c>
      <c r="R330" s="5">
        <f t="shared" si="8"/>
        <v>1143.984233</v>
      </c>
    </row>
    <row r="331" ht="15.75" customHeight="1">
      <c r="A331" s="4">
        <v>2018.0</v>
      </c>
      <c r="B331" s="4">
        <v>526.0</v>
      </c>
      <c r="C331" s="4" t="s">
        <v>22</v>
      </c>
      <c r="D331" s="5" t="s">
        <v>19</v>
      </c>
      <c r="E331" s="5" t="str">
        <f t="shared" si="1"/>
        <v/>
      </c>
      <c r="F331" s="5" t="str">
        <f t="shared" si="2"/>
        <v/>
      </c>
      <c r="G331" s="5" t="s">
        <v>19</v>
      </c>
      <c r="H331" s="5" t="s">
        <v>19</v>
      </c>
      <c r="I331" s="5" t="s">
        <v>19</v>
      </c>
      <c r="J331" s="5">
        <v>0.0</v>
      </c>
      <c r="K331" s="5">
        <f t="shared" si="3"/>
        <v>0</v>
      </c>
      <c r="L331" s="5">
        <f t="shared" si="4"/>
        <v>0</v>
      </c>
      <c r="M331" s="5">
        <v>1685.200751448339</v>
      </c>
      <c r="N331" s="5">
        <f t="shared" si="5"/>
        <v>0</v>
      </c>
      <c r="O331" s="5">
        <f t="shared" si="6"/>
        <v>1685.200751</v>
      </c>
      <c r="P331" s="5">
        <f t="shared" si="9"/>
        <v>1685.200751</v>
      </c>
      <c r="Q331" s="5">
        <f t="shared" si="7"/>
        <v>1685.200751</v>
      </c>
      <c r="R331" s="5">
        <f t="shared" si="8"/>
        <v>0</v>
      </c>
    </row>
    <row r="332" ht="15.75" customHeight="1">
      <c r="A332" s="4">
        <v>2018.0</v>
      </c>
      <c r="B332" s="4">
        <v>527.0</v>
      </c>
      <c r="C332" s="4" t="s">
        <v>22</v>
      </c>
      <c r="D332" s="5" t="s">
        <v>19</v>
      </c>
      <c r="E332" s="5" t="str">
        <f t="shared" si="1"/>
        <v/>
      </c>
      <c r="F332" s="5" t="str">
        <f t="shared" si="2"/>
        <v/>
      </c>
      <c r="G332" s="5" t="s">
        <v>19</v>
      </c>
      <c r="H332" s="5" t="s">
        <v>19</v>
      </c>
      <c r="I332" s="5" t="s">
        <v>19</v>
      </c>
      <c r="J332" s="5">
        <v>0.0</v>
      </c>
      <c r="K332" s="5">
        <f t="shared" si="3"/>
        <v>0</v>
      </c>
      <c r="L332" s="5">
        <f t="shared" si="4"/>
        <v>0</v>
      </c>
      <c r="M332" s="5">
        <v>0.0</v>
      </c>
      <c r="N332" s="5">
        <f t="shared" si="5"/>
        <v>0</v>
      </c>
      <c r="O332" s="5">
        <f t="shared" si="6"/>
        <v>0</v>
      </c>
      <c r="P332" s="5">
        <f t="shared" si="9"/>
        <v>0</v>
      </c>
      <c r="Q332" s="5">
        <f t="shared" si="7"/>
        <v>0</v>
      </c>
      <c r="R332" s="5">
        <f t="shared" si="8"/>
        <v>0</v>
      </c>
    </row>
    <row r="333" ht="15.75" customHeight="1">
      <c r="A333" s="4">
        <v>2018.0</v>
      </c>
      <c r="B333" s="4">
        <v>528.0</v>
      </c>
      <c r="C333" s="4" t="s">
        <v>22</v>
      </c>
      <c r="D333" s="5" t="s">
        <v>19</v>
      </c>
      <c r="E333" s="5" t="str">
        <f t="shared" si="1"/>
        <v/>
      </c>
      <c r="F333" s="5" t="str">
        <f t="shared" si="2"/>
        <v/>
      </c>
      <c r="G333" s="5" t="s">
        <v>19</v>
      </c>
      <c r="H333" s="5" t="s">
        <v>19</v>
      </c>
      <c r="I333" s="5" t="s">
        <v>19</v>
      </c>
      <c r="J333" s="5">
        <v>0.0</v>
      </c>
      <c r="K333" s="5">
        <f t="shared" si="3"/>
        <v>0</v>
      </c>
      <c r="L333" s="5">
        <f t="shared" si="4"/>
        <v>0</v>
      </c>
      <c r="M333" s="5">
        <v>10700.089252455182</v>
      </c>
      <c r="N333" s="5">
        <f t="shared" si="5"/>
        <v>0</v>
      </c>
      <c r="O333" s="5">
        <f t="shared" si="6"/>
        <v>10700.08925</v>
      </c>
      <c r="P333" s="5">
        <f t="shared" si="9"/>
        <v>10700.08925</v>
      </c>
      <c r="Q333" s="5">
        <f t="shared" si="7"/>
        <v>10700.08925</v>
      </c>
      <c r="R333" s="5">
        <f t="shared" si="8"/>
        <v>0</v>
      </c>
    </row>
    <row r="334" ht="15.75" customHeight="1">
      <c r="A334" s="4">
        <v>2017.0</v>
      </c>
      <c r="B334" s="4">
        <v>100.0</v>
      </c>
      <c r="C334" s="4" t="s">
        <v>18</v>
      </c>
      <c r="D334" s="5">
        <v>9143.935576760765</v>
      </c>
      <c r="E334" s="5">
        <f t="shared" si="1"/>
        <v>0</v>
      </c>
      <c r="F334" s="5">
        <f t="shared" si="2"/>
        <v>9143.935577</v>
      </c>
      <c r="G334" s="5">
        <v>1804.7629424375093</v>
      </c>
      <c r="H334" s="5">
        <v>1002.6184770375482</v>
      </c>
      <c r="I334" s="5">
        <v>802.1444653999611</v>
      </c>
      <c r="J334" s="5">
        <v>8486.317552788982</v>
      </c>
      <c r="K334" s="5">
        <f t="shared" si="3"/>
        <v>8486.317553</v>
      </c>
      <c r="L334" s="5">
        <f t="shared" si="4"/>
        <v>0</v>
      </c>
      <c r="M334" s="5">
        <v>29450.55652218926</v>
      </c>
      <c r="N334" s="5">
        <f t="shared" si="5"/>
        <v>0</v>
      </c>
      <c r="O334" s="5">
        <f t="shared" si="6"/>
        <v>29450.55652</v>
      </c>
      <c r="P334" s="5">
        <f t="shared" si="9"/>
        <v>48885.57259</v>
      </c>
      <c r="Q334" s="5">
        <f t="shared" si="7"/>
        <v>39396.63656</v>
      </c>
      <c r="R334" s="5">
        <f t="shared" si="8"/>
        <v>9488.93603</v>
      </c>
    </row>
    <row r="335" ht="15.75" customHeight="1">
      <c r="A335" s="4">
        <v>2017.0</v>
      </c>
      <c r="B335" s="4">
        <v>101.0</v>
      </c>
      <c r="C335" s="4" t="s">
        <v>18</v>
      </c>
      <c r="D335" s="5">
        <v>18469.685286778298</v>
      </c>
      <c r="E335" s="5">
        <f t="shared" si="1"/>
        <v>0</v>
      </c>
      <c r="F335" s="5">
        <f t="shared" si="2"/>
        <v>18469.68529</v>
      </c>
      <c r="G335" s="5">
        <v>8632.430814622468</v>
      </c>
      <c r="H335" s="5">
        <v>4475.737571590139</v>
      </c>
      <c r="I335" s="5">
        <v>4156.6932430323295</v>
      </c>
      <c r="J335" s="5">
        <v>251806.9501463555</v>
      </c>
      <c r="K335" s="5">
        <f t="shared" si="3"/>
        <v>251806.9501</v>
      </c>
      <c r="L335" s="5">
        <f t="shared" si="4"/>
        <v>0</v>
      </c>
      <c r="M335" s="5">
        <v>112954.30872427771</v>
      </c>
      <c r="N335" s="5">
        <f t="shared" si="5"/>
        <v>0</v>
      </c>
      <c r="O335" s="5">
        <f t="shared" si="6"/>
        <v>112954.3087</v>
      </c>
      <c r="P335" s="5">
        <f t="shared" si="9"/>
        <v>391863.375</v>
      </c>
      <c r="Q335" s="5">
        <f t="shared" si="7"/>
        <v>135580.6873</v>
      </c>
      <c r="R335" s="5">
        <f t="shared" si="8"/>
        <v>256282.6877</v>
      </c>
    </row>
    <row r="336" ht="15.75" customHeight="1">
      <c r="A336" s="4">
        <v>2017.0</v>
      </c>
      <c r="B336" s="4">
        <v>102.0</v>
      </c>
      <c r="C336" s="4" t="s">
        <v>18</v>
      </c>
      <c r="D336" s="5">
        <v>10656.78049393965</v>
      </c>
      <c r="E336" s="5">
        <f t="shared" si="1"/>
        <v>0</v>
      </c>
      <c r="F336" s="5">
        <f t="shared" si="2"/>
        <v>10656.78049</v>
      </c>
      <c r="G336" s="5">
        <v>41658.59898583044</v>
      </c>
      <c r="H336" s="5">
        <v>15100.388192567987</v>
      </c>
      <c r="I336" s="5">
        <v>26558.21079326245</v>
      </c>
      <c r="J336" s="5">
        <v>10792.313902991355</v>
      </c>
      <c r="K336" s="5">
        <f t="shared" si="3"/>
        <v>10792.3139</v>
      </c>
      <c r="L336" s="5">
        <f t="shared" si="4"/>
        <v>0</v>
      </c>
      <c r="M336" s="5">
        <v>30781.748418336327</v>
      </c>
      <c r="N336" s="5">
        <f t="shared" si="5"/>
        <v>0</v>
      </c>
      <c r="O336" s="5">
        <f t="shared" si="6"/>
        <v>30781.74842</v>
      </c>
      <c r="P336" s="5">
        <f t="shared" si="9"/>
        <v>93889.4418</v>
      </c>
      <c r="Q336" s="5">
        <f t="shared" si="7"/>
        <v>67996.73971</v>
      </c>
      <c r="R336" s="5">
        <f t="shared" si="8"/>
        <v>25892.7021</v>
      </c>
    </row>
    <row r="337" ht="15.75" customHeight="1">
      <c r="A337" s="4">
        <v>2017.0</v>
      </c>
      <c r="B337" s="4">
        <v>103.0</v>
      </c>
      <c r="C337" s="4" t="s">
        <v>18</v>
      </c>
      <c r="D337" s="5">
        <v>13412.806491649944</v>
      </c>
      <c r="E337" s="5">
        <f t="shared" si="1"/>
        <v>0</v>
      </c>
      <c r="F337" s="5">
        <f t="shared" si="2"/>
        <v>13412.80649</v>
      </c>
      <c r="G337" s="5" t="s">
        <v>19</v>
      </c>
      <c r="H337" s="5" t="s">
        <v>19</v>
      </c>
      <c r="I337" s="5" t="s">
        <v>19</v>
      </c>
      <c r="J337" s="5">
        <v>1219.5250355497085</v>
      </c>
      <c r="K337" s="5">
        <f t="shared" si="3"/>
        <v>1219.525036</v>
      </c>
      <c r="L337" s="5">
        <f t="shared" si="4"/>
        <v>0</v>
      </c>
      <c r="M337" s="5">
        <v>1113.1797162421553</v>
      </c>
      <c r="N337" s="5">
        <f t="shared" si="5"/>
        <v>0</v>
      </c>
      <c r="O337" s="5">
        <f t="shared" si="6"/>
        <v>1113.179716</v>
      </c>
      <c r="P337" s="5">
        <f t="shared" si="9"/>
        <v>15745.51124</v>
      </c>
      <c r="Q337" s="5">
        <f t="shared" si="7"/>
        <v>14525.98621</v>
      </c>
      <c r="R337" s="5">
        <f t="shared" si="8"/>
        <v>1219.525036</v>
      </c>
    </row>
    <row r="338" ht="15.75" customHeight="1">
      <c r="A338" s="4">
        <v>2017.0</v>
      </c>
      <c r="B338" s="4">
        <v>104.0</v>
      </c>
      <c r="C338" s="4" t="s">
        <v>18</v>
      </c>
      <c r="D338" s="5">
        <v>14061.231443066543</v>
      </c>
      <c r="E338" s="5">
        <f t="shared" si="1"/>
        <v>0</v>
      </c>
      <c r="F338" s="5">
        <f t="shared" si="2"/>
        <v>14061.23144</v>
      </c>
      <c r="G338" s="5" t="s">
        <v>19</v>
      </c>
      <c r="H338" s="5" t="s">
        <v>19</v>
      </c>
      <c r="I338" s="5" t="s">
        <v>19</v>
      </c>
      <c r="J338" s="5">
        <v>8483.582470255427</v>
      </c>
      <c r="K338" s="5">
        <f t="shared" si="3"/>
        <v>8483.58247</v>
      </c>
      <c r="L338" s="5">
        <f t="shared" si="4"/>
        <v>0</v>
      </c>
      <c r="M338" s="5">
        <v>18272.324723884085</v>
      </c>
      <c r="N338" s="5">
        <f t="shared" si="5"/>
        <v>0</v>
      </c>
      <c r="O338" s="5">
        <f t="shared" si="6"/>
        <v>18272.32472</v>
      </c>
      <c r="P338" s="5">
        <f t="shared" si="9"/>
        <v>40817.13864</v>
      </c>
      <c r="Q338" s="5">
        <f t="shared" si="7"/>
        <v>32333.55617</v>
      </c>
      <c r="R338" s="5">
        <f t="shared" si="8"/>
        <v>8483.58247</v>
      </c>
    </row>
    <row r="339" ht="15.75" customHeight="1">
      <c r="A339" s="4">
        <v>2017.0</v>
      </c>
      <c r="B339" s="4">
        <v>105.0</v>
      </c>
      <c r="C339" s="4" t="s">
        <v>18</v>
      </c>
      <c r="D339" s="5">
        <v>14231.915894321384</v>
      </c>
      <c r="E339" s="5">
        <f t="shared" si="1"/>
        <v>0</v>
      </c>
      <c r="F339" s="5">
        <f t="shared" si="2"/>
        <v>14231.91589</v>
      </c>
      <c r="G339" s="5">
        <v>1549.719590168295</v>
      </c>
      <c r="H339" s="5">
        <v>501.72326993479567</v>
      </c>
      <c r="I339" s="5">
        <v>1047.9963202334993</v>
      </c>
      <c r="J339" s="5">
        <v>10887.880904457912</v>
      </c>
      <c r="K339" s="5">
        <f t="shared" si="3"/>
        <v>10887.8809</v>
      </c>
      <c r="L339" s="5">
        <f t="shared" si="4"/>
        <v>0</v>
      </c>
      <c r="M339" s="5">
        <v>10754.131880802437</v>
      </c>
      <c r="N339" s="5">
        <f t="shared" si="5"/>
        <v>0</v>
      </c>
      <c r="O339" s="5">
        <f t="shared" si="6"/>
        <v>10754.13188</v>
      </c>
      <c r="P339" s="5">
        <f t="shared" si="9"/>
        <v>37423.64827</v>
      </c>
      <c r="Q339" s="5">
        <f t="shared" si="7"/>
        <v>26034.0441</v>
      </c>
      <c r="R339" s="5">
        <f t="shared" si="8"/>
        <v>11389.60417</v>
      </c>
    </row>
    <row r="340" ht="15.75" customHeight="1">
      <c r="A340" s="4">
        <v>2017.0</v>
      </c>
      <c r="B340" s="4">
        <v>106.0</v>
      </c>
      <c r="C340" s="4" t="s">
        <v>18</v>
      </c>
      <c r="D340" s="5">
        <v>17504.39432959144</v>
      </c>
      <c r="E340" s="5">
        <f t="shared" si="1"/>
        <v>0</v>
      </c>
      <c r="F340" s="5">
        <f t="shared" si="2"/>
        <v>17504.39433</v>
      </c>
      <c r="G340" s="5">
        <v>2975.229755530154</v>
      </c>
      <c r="H340" s="5">
        <v>1399.6746050021206</v>
      </c>
      <c r="I340" s="5">
        <v>1575.5551505280332</v>
      </c>
      <c r="J340" s="5">
        <v>47072.411451997476</v>
      </c>
      <c r="K340" s="5">
        <f t="shared" si="3"/>
        <v>47072.41145</v>
      </c>
      <c r="L340" s="5">
        <f t="shared" si="4"/>
        <v>0</v>
      </c>
      <c r="M340" s="5">
        <v>48783.94802057139</v>
      </c>
      <c r="N340" s="5">
        <f t="shared" si="5"/>
        <v>0</v>
      </c>
      <c r="O340" s="5">
        <f t="shared" si="6"/>
        <v>48783.94802</v>
      </c>
      <c r="P340" s="5">
        <f t="shared" si="9"/>
        <v>116335.9836</v>
      </c>
      <c r="Q340" s="5">
        <f t="shared" si="7"/>
        <v>67863.8975</v>
      </c>
      <c r="R340" s="5">
        <f t="shared" si="8"/>
        <v>48472.08606</v>
      </c>
    </row>
    <row r="341" ht="15.75" customHeight="1">
      <c r="A341" s="4">
        <v>2017.0</v>
      </c>
      <c r="B341" s="4">
        <v>107.0</v>
      </c>
      <c r="C341" s="4" t="s">
        <v>18</v>
      </c>
      <c r="D341" s="5">
        <v>5200.1569543389305</v>
      </c>
      <c r="E341" s="5">
        <f t="shared" si="1"/>
        <v>0</v>
      </c>
      <c r="F341" s="5">
        <f t="shared" si="2"/>
        <v>5200.156954</v>
      </c>
      <c r="G341" s="5">
        <v>2566.1667165009594</v>
      </c>
      <c r="H341" s="5">
        <v>787.4877532728018</v>
      </c>
      <c r="I341" s="5">
        <v>1778.6789632281575</v>
      </c>
      <c r="J341" s="5">
        <v>19785.490515410384</v>
      </c>
      <c r="K341" s="5">
        <f t="shared" si="3"/>
        <v>19785.49052</v>
      </c>
      <c r="L341" s="5">
        <f t="shared" si="4"/>
        <v>0</v>
      </c>
      <c r="M341" s="5">
        <v>43730.60345611462</v>
      </c>
      <c r="N341" s="5">
        <f t="shared" si="5"/>
        <v>0</v>
      </c>
      <c r="O341" s="5">
        <f t="shared" si="6"/>
        <v>43730.60346</v>
      </c>
      <c r="P341" s="5">
        <f t="shared" si="9"/>
        <v>71282.41764</v>
      </c>
      <c r="Q341" s="5">
        <f t="shared" si="7"/>
        <v>50709.43937</v>
      </c>
      <c r="R341" s="5">
        <f t="shared" si="8"/>
        <v>20572.97827</v>
      </c>
    </row>
    <row r="342" ht="15.75" customHeight="1">
      <c r="A342" s="4">
        <v>2017.0</v>
      </c>
      <c r="B342" s="4">
        <v>108.0</v>
      </c>
      <c r="C342" s="4" t="s">
        <v>18</v>
      </c>
      <c r="D342" s="5">
        <v>9638.392595344387</v>
      </c>
      <c r="E342" s="5">
        <f t="shared" si="1"/>
        <v>0</v>
      </c>
      <c r="F342" s="5">
        <f t="shared" si="2"/>
        <v>9638.392595</v>
      </c>
      <c r="G342" s="5">
        <v>2660.5658793538505</v>
      </c>
      <c r="H342" s="5">
        <v>951.6926128669097</v>
      </c>
      <c r="I342" s="5">
        <v>1708.8732664869408</v>
      </c>
      <c r="J342" s="5">
        <v>4102.108961266993</v>
      </c>
      <c r="K342" s="5">
        <f t="shared" si="3"/>
        <v>4102.108961</v>
      </c>
      <c r="L342" s="5">
        <f t="shared" si="4"/>
        <v>0</v>
      </c>
      <c r="M342" s="5">
        <v>41534.48969362189</v>
      </c>
      <c r="N342" s="5">
        <f t="shared" si="5"/>
        <v>0</v>
      </c>
      <c r="O342" s="5">
        <f t="shared" si="6"/>
        <v>41534.48969</v>
      </c>
      <c r="P342" s="5">
        <f t="shared" si="9"/>
        <v>57935.55713</v>
      </c>
      <c r="Q342" s="5">
        <f t="shared" si="7"/>
        <v>52881.75556</v>
      </c>
      <c r="R342" s="5">
        <f t="shared" si="8"/>
        <v>5053.801574</v>
      </c>
    </row>
    <row r="343" ht="15.75" customHeight="1">
      <c r="A343" s="4">
        <v>2017.0</v>
      </c>
      <c r="B343" s="4">
        <v>120.0</v>
      </c>
      <c r="C343" s="4" t="s">
        <v>18</v>
      </c>
      <c r="D343" s="5">
        <v>10199.275779235946</v>
      </c>
      <c r="E343" s="5">
        <f t="shared" si="1"/>
        <v>0</v>
      </c>
      <c r="F343" s="5">
        <f t="shared" si="2"/>
        <v>10199.27578</v>
      </c>
      <c r="G343" s="5" t="s">
        <v>19</v>
      </c>
      <c r="H343" s="5" t="s">
        <v>19</v>
      </c>
      <c r="I343" s="5" t="s">
        <v>19</v>
      </c>
      <c r="J343" s="5">
        <v>9109.916370439465</v>
      </c>
      <c r="K343" s="5">
        <f t="shared" si="3"/>
        <v>9109.91637</v>
      </c>
      <c r="L343" s="5">
        <f t="shared" si="4"/>
        <v>0</v>
      </c>
      <c r="M343" s="5">
        <v>36465.50081710053</v>
      </c>
      <c r="N343" s="5">
        <f t="shared" si="5"/>
        <v>0</v>
      </c>
      <c r="O343" s="5">
        <f t="shared" si="6"/>
        <v>36465.50082</v>
      </c>
      <c r="P343" s="5">
        <f t="shared" si="9"/>
        <v>55774.69297</v>
      </c>
      <c r="Q343" s="5">
        <f t="shared" si="7"/>
        <v>46664.7766</v>
      </c>
      <c r="R343" s="5">
        <f t="shared" si="8"/>
        <v>9109.91637</v>
      </c>
    </row>
    <row r="344" ht="15.75" customHeight="1">
      <c r="A344" s="4">
        <v>2017.0</v>
      </c>
      <c r="B344" s="4">
        <v>121.0</v>
      </c>
      <c r="C344" s="4" t="s">
        <v>18</v>
      </c>
      <c r="D344" s="5">
        <v>44793.18684569087</v>
      </c>
      <c r="E344" s="5">
        <f t="shared" si="1"/>
        <v>0</v>
      </c>
      <c r="F344" s="5">
        <f t="shared" si="2"/>
        <v>44793.18685</v>
      </c>
      <c r="G344" s="5">
        <v>5389.032910935219</v>
      </c>
      <c r="H344" s="5">
        <v>2529.3676042449733</v>
      </c>
      <c r="I344" s="5">
        <v>2859.6653066902454</v>
      </c>
      <c r="J344" s="5">
        <v>45672.46750155786</v>
      </c>
      <c r="K344" s="5">
        <f t="shared" si="3"/>
        <v>45672.4675</v>
      </c>
      <c r="L344" s="5">
        <f t="shared" si="4"/>
        <v>0</v>
      </c>
      <c r="M344" s="5">
        <v>719689.7610228928</v>
      </c>
      <c r="N344" s="5">
        <f t="shared" si="5"/>
        <v>0</v>
      </c>
      <c r="O344" s="5">
        <f t="shared" si="6"/>
        <v>719689.761</v>
      </c>
      <c r="P344" s="5">
        <f t="shared" si="9"/>
        <v>815544.4483</v>
      </c>
      <c r="Q344" s="5">
        <f t="shared" si="7"/>
        <v>767342.6132</v>
      </c>
      <c r="R344" s="5">
        <f t="shared" si="8"/>
        <v>48201.83511</v>
      </c>
    </row>
    <row r="345" ht="15.75" customHeight="1">
      <c r="A345" s="4">
        <v>2017.0</v>
      </c>
      <c r="B345" s="4">
        <v>122.0</v>
      </c>
      <c r="C345" s="4" t="s">
        <v>18</v>
      </c>
      <c r="D345" s="5">
        <v>104906.2709899389</v>
      </c>
      <c r="E345" s="5">
        <f t="shared" si="1"/>
        <v>0</v>
      </c>
      <c r="F345" s="5">
        <f t="shared" si="2"/>
        <v>104906.271</v>
      </c>
      <c r="G345" s="5">
        <v>28032.411053148433</v>
      </c>
      <c r="H345" s="5">
        <v>7574.953174962079</v>
      </c>
      <c r="I345" s="5">
        <v>20457.457878186353</v>
      </c>
      <c r="J345" s="5">
        <v>2524.320291263183</v>
      </c>
      <c r="K345" s="5">
        <f t="shared" si="3"/>
        <v>2524.320291</v>
      </c>
      <c r="L345" s="5">
        <f t="shared" si="4"/>
        <v>0</v>
      </c>
      <c r="M345" s="5">
        <v>154668.24447147036</v>
      </c>
      <c r="N345" s="5">
        <f t="shared" si="5"/>
        <v>0</v>
      </c>
      <c r="O345" s="5">
        <f t="shared" si="6"/>
        <v>154668.2445</v>
      </c>
      <c r="P345" s="5">
        <f t="shared" si="9"/>
        <v>290131.2468</v>
      </c>
      <c r="Q345" s="5">
        <f t="shared" si="7"/>
        <v>280031.9733</v>
      </c>
      <c r="R345" s="5">
        <f t="shared" si="8"/>
        <v>10099.27347</v>
      </c>
    </row>
    <row r="346" ht="15.75" customHeight="1">
      <c r="A346" s="4">
        <v>2017.0</v>
      </c>
      <c r="B346" s="4">
        <v>123.0</v>
      </c>
      <c r="C346" s="4" t="s">
        <v>18</v>
      </c>
      <c r="D346" s="5" t="s">
        <v>19</v>
      </c>
      <c r="E346" s="5" t="str">
        <f t="shared" si="1"/>
        <v/>
      </c>
      <c r="F346" s="5" t="str">
        <f t="shared" si="2"/>
        <v/>
      </c>
      <c r="G346" s="5" t="s">
        <v>19</v>
      </c>
      <c r="H346" s="5" t="s">
        <v>19</v>
      </c>
      <c r="I346" s="5" t="s">
        <v>19</v>
      </c>
      <c r="J346" s="5">
        <v>0.0</v>
      </c>
      <c r="K346" s="5">
        <f t="shared" si="3"/>
        <v>0</v>
      </c>
      <c r="L346" s="5">
        <f t="shared" si="4"/>
        <v>0</v>
      </c>
      <c r="M346" s="5">
        <v>2222.303499726818</v>
      </c>
      <c r="N346" s="5">
        <f t="shared" si="5"/>
        <v>0</v>
      </c>
      <c r="O346" s="5">
        <f t="shared" si="6"/>
        <v>2222.3035</v>
      </c>
      <c r="P346" s="5">
        <f t="shared" si="9"/>
        <v>2222.3035</v>
      </c>
      <c r="Q346" s="5">
        <f t="shared" si="7"/>
        <v>2222.3035</v>
      </c>
      <c r="R346" s="5">
        <f t="shared" si="8"/>
        <v>0</v>
      </c>
    </row>
    <row r="347" ht="15.75" customHeight="1">
      <c r="A347" s="4">
        <v>2017.0</v>
      </c>
      <c r="B347" s="4">
        <v>124.0</v>
      </c>
      <c r="C347" s="4" t="s">
        <v>18</v>
      </c>
      <c r="D347" s="5" t="s">
        <v>19</v>
      </c>
      <c r="E347" s="5" t="str">
        <f t="shared" si="1"/>
        <v/>
      </c>
      <c r="F347" s="5" t="str">
        <f t="shared" si="2"/>
        <v/>
      </c>
      <c r="G347" s="5" t="s">
        <v>19</v>
      </c>
      <c r="H347" s="5" t="s">
        <v>19</v>
      </c>
      <c r="I347" s="5" t="s">
        <v>19</v>
      </c>
      <c r="J347" s="5">
        <v>0.0</v>
      </c>
      <c r="K347" s="5">
        <f t="shared" si="3"/>
        <v>0</v>
      </c>
      <c r="L347" s="5">
        <f t="shared" si="4"/>
        <v>0</v>
      </c>
      <c r="M347" s="5">
        <v>9688.464519719488</v>
      </c>
      <c r="N347" s="5">
        <f t="shared" si="5"/>
        <v>0</v>
      </c>
      <c r="O347" s="5">
        <f t="shared" si="6"/>
        <v>9688.46452</v>
      </c>
      <c r="P347" s="5">
        <f t="shared" si="9"/>
        <v>9688.46452</v>
      </c>
      <c r="Q347" s="5">
        <f t="shared" si="7"/>
        <v>9688.46452</v>
      </c>
      <c r="R347" s="5">
        <f t="shared" si="8"/>
        <v>0</v>
      </c>
    </row>
    <row r="348" ht="15.75" customHeight="1">
      <c r="A348" s="4">
        <v>2017.0</v>
      </c>
      <c r="B348" s="4">
        <v>125.0</v>
      </c>
      <c r="C348" s="4" t="s">
        <v>18</v>
      </c>
      <c r="D348" s="5">
        <v>9930.93166772704</v>
      </c>
      <c r="E348" s="5">
        <f t="shared" si="1"/>
        <v>0</v>
      </c>
      <c r="F348" s="5">
        <f t="shared" si="2"/>
        <v>9930.931668</v>
      </c>
      <c r="G348" s="5">
        <v>1473.5378096203478</v>
      </c>
      <c r="H348" s="5">
        <v>731.9247372427229</v>
      </c>
      <c r="I348" s="5">
        <v>741.6130723776249</v>
      </c>
      <c r="J348" s="5">
        <v>3575.8790818110583</v>
      </c>
      <c r="K348" s="5">
        <f t="shared" si="3"/>
        <v>3575.879082</v>
      </c>
      <c r="L348" s="5">
        <f t="shared" si="4"/>
        <v>0</v>
      </c>
      <c r="M348" s="5">
        <v>294467.83345886867</v>
      </c>
      <c r="N348" s="5">
        <f t="shared" si="5"/>
        <v>0</v>
      </c>
      <c r="O348" s="5">
        <f t="shared" si="6"/>
        <v>294467.8335</v>
      </c>
      <c r="P348" s="5">
        <f t="shared" si="9"/>
        <v>309448.182</v>
      </c>
      <c r="Q348" s="5">
        <f t="shared" si="7"/>
        <v>305140.3782</v>
      </c>
      <c r="R348" s="5">
        <f t="shared" si="8"/>
        <v>4307.803819</v>
      </c>
    </row>
    <row r="349" ht="15.75" customHeight="1">
      <c r="A349" s="4">
        <v>2017.0</v>
      </c>
      <c r="B349" s="4">
        <v>126.0</v>
      </c>
      <c r="C349" s="4" t="s">
        <v>18</v>
      </c>
      <c r="D349" s="5">
        <v>4448.793442114001</v>
      </c>
      <c r="E349" s="5">
        <f t="shared" si="1"/>
        <v>0</v>
      </c>
      <c r="F349" s="5">
        <f t="shared" si="2"/>
        <v>4448.793442</v>
      </c>
      <c r="G349" s="5">
        <v>1352.6406361420836</v>
      </c>
      <c r="H349" s="5">
        <v>667.5014489097849</v>
      </c>
      <c r="I349" s="5">
        <v>685.1391872322987</v>
      </c>
      <c r="J349" s="5">
        <v>7797.55941595675</v>
      </c>
      <c r="K349" s="5">
        <f t="shared" si="3"/>
        <v>7797.559416</v>
      </c>
      <c r="L349" s="5">
        <f t="shared" si="4"/>
        <v>0</v>
      </c>
      <c r="M349" s="5">
        <v>234146.20529064385</v>
      </c>
      <c r="N349" s="5">
        <f t="shared" si="5"/>
        <v>0</v>
      </c>
      <c r="O349" s="5">
        <f t="shared" si="6"/>
        <v>234146.2053</v>
      </c>
      <c r="P349" s="5">
        <f t="shared" si="9"/>
        <v>247745.1988</v>
      </c>
      <c r="Q349" s="5">
        <f t="shared" si="7"/>
        <v>239280.1379</v>
      </c>
      <c r="R349" s="5">
        <f t="shared" si="8"/>
        <v>8465.060865</v>
      </c>
    </row>
    <row r="350" ht="15.75" customHeight="1">
      <c r="A350" s="4">
        <v>2017.0</v>
      </c>
      <c r="B350" s="4">
        <v>127.0</v>
      </c>
      <c r="C350" s="4" t="s">
        <v>18</v>
      </c>
      <c r="D350" s="5">
        <v>11007.827380798839</v>
      </c>
      <c r="E350" s="5">
        <f t="shared" si="1"/>
        <v>0</v>
      </c>
      <c r="F350" s="5">
        <f t="shared" si="2"/>
        <v>11007.82738</v>
      </c>
      <c r="G350" s="5">
        <v>760.5757112314075</v>
      </c>
      <c r="H350" s="5">
        <v>376.1889445970914</v>
      </c>
      <c r="I350" s="5">
        <v>384.3867666343161</v>
      </c>
      <c r="J350" s="5">
        <v>554.4173182723346</v>
      </c>
      <c r="K350" s="5">
        <f t="shared" si="3"/>
        <v>554.4173183</v>
      </c>
      <c r="L350" s="5">
        <f t="shared" si="4"/>
        <v>0</v>
      </c>
      <c r="M350" s="5">
        <v>38010.00001115378</v>
      </c>
      <c r="N350" s="5">
        <f t="shared" si="5"/>
        <v>0</v>
      </c>
      <c r="O350" s="5">
        <f t="shared" si="6"/>
        <v>38010.00001</v>
      </c>
      <c r="P350" s="5">
        <f t="shared" si="9"/>
        <v>50332.82042</v>
      </c>
      <c r="Q350" s="5">
        <f t="shared" si="7"/>
        <v>49402.21416</v>
      </c>
      <c r="R350" s="5">
        <f t="shared" si="8"/>
        <v>930.6062629</v>
      </c>
    </row>
    <row r="351" ht="15.75" customHeight="1">
      <c r="A351" s="4">
        <v>2017.0</v>
      </c>
      <c r="B351" s="4">
        <v>128.0</v>
      </c>
      <c r="C351" s="4" t="s">
        <v>18</v>
      </c>
      <c r="D351" s="5">
        <v>5782.155740447585</v>
      </c>
      <c r="E351" s="5">
        <f t="shared" si="1"/>
        <v>0</v>
      </c>
      <c r="F351" s="5">
        <f t="shared" si="2"/>
        <v>5782.15574</v>
      </c>
      <c r="G351" s="5">
        <v>4327.042328840195</v>
      </c>
      <c r="H351" s="5">
        <v>2539.006255609953</v>
      </c>
      <c r="I351" s="5">
        <v>1788.0360732302424</v>
      </c>
      <c r="J351" s="5">
        <v>0.0</v>
      </c>
      <c r="K351" s="5">
        <f t="shared" si="3"/>
        <v>0</v>
      </c>
      <c r="L351" s="5">
        <f t="shared" si="4"/>
        <v>0</v>
      </c>
      <c r="M351" s="5">
        <v>49681.50276304594</v>
      </c>
      <c r="N351" s="5">
        <f t="shared" si="5"/>
        <v>0</v>
      </c>
      <c r="O351" s="5">
        <f t="shared" si="6"/>
        <v>49681.50276</v>
      </c>
      <c r="P351" s="5">
        <f t="shared" si="9"/>
        <v>59790.70083</v>
      </c>
      <c r="Q351" s="5">
        <f t="shared" si="7"/>
        <v>57251.69458</v>
      </c>
      <c r="R351" s="5">
        <f t="shared" si="8"/>
        <v>2539.006256</v>
      </c>
    </row>
    <row r="352" ht="15.75" customHeight="1">
      <c r="A352" s="4">
        <v>2017.0</v>
      </c>
      <c r="B352" s="4">
        <v>300.0</v>
      </c>
      <c r="C352" s="4" t="s">
        <v>20</v>
      </c>
      <c r="D352" s="5" t="s">
        <v>19</v>
      </c>
      <c r="E352" s="5" t="str">
        <f t="shared" si="1"/>
        <v/>
      </c>
      <c r="F352" s="5" t="str">
        <f t="shared" si="2"/>
        <v/>
      </c>
      <c r="G352" s="5">
        <v>11031.37485504238</v>
      </c>
      <c r="H352" s="5">
        <v>6401.109080606899</v>
      </c>
      <c r="I352" s="5">
        <v>4630.265774435482</v>
      </c>
      <c r="J352" s="5">
        <v>146425.95118484052</v>
      </c>
      <c r="K352" s="5">
        <f t="shared" si="3"/>
        <v>146425.9512</v>
      </c>
      <c r="L352" s="5">
        <f t="shared" si="4"/>
        <v>0</v>
      </c>
      <c r="M352" s="5">
        <v>4386.1925670627825</v>
      </c>
      <c r="N352" s="5">
        <f t="shared" si="5"/>
        <v>0</v>
      </c>
      <c r="O352" s="5">
        <f t="shared" si="6"/>
        <v>4386.192567</v>
      </c>
      <c r="P352" s="5">
        <f t="shared" si="9"/>
        <v>161843.5186</v>
      </c>
      <c r="Q352" s="5">
        <f t="shared" si="7"/>
        <v>9016.458341</v>
      </c>
      <c r="R352" s="5">
        <f t="shared" si="8"/>
        <v>152827.0603</v>
      </c>
    </row>
    <row r="353" ht="15.75" customHeight="1">
      <c r="A353" s="4">
        <v>2017.0</v>
      </c>
      <c r="B353" s="4">
        <v>301.0</v>
      </c>
      <c r="C353" s="4" t="s">
        <v>20</v>
      </c>
      <c r="D353" s="5" t="s">
        <v>19</v>
      </c>
      <c r="E353" s="5" t="str">
        <f t="shared" si="1"/>
        <v/>
      </c>
      <c r="F353" s="5" t="str">
        <f t="shared" si="2"/>
        <v/>
      </c>
      <c r="G353" s="5" t="s">
        <v>19</v>
      </c>
      <c r="H353" s="5" t="s">
        <v>19</v>
      </c>
      <c r="I353" s="5" t="s">
        <v>19</v>
      </c>
      <c r="J353" s="5">
        <v>5035.805833646775</v>
      </c>
      <c r="K353" s="5">
        <f t="shared" si="3"/>
        <v>5035.805834</v>
      </c>
      <c r="L353" s="5">
        <f t="shared" si="4"/>
        <v>0</v>
      </c>
      <c r="M353" s="5">
        <v>0.0</v>
      </c>
      <c r="N353" s="5">
        <f t="shared" si="5"/>
        <v>0</v>
      </c>
      <c r="O353" s="5">
        <f t="shared" si="6"/>
        <v>0</v>
      </c>
      <c r="P353" s="5">
        <f t="shared" si="9"/>
        <v>5035.805834</v>
      </c>
      <c r="Q353" s="5">
        <f t="shared" si="7"/>
        <v>0</v>
      </c>
      <c r="R353" s="5">
        <f t="shared" si="8"/>
        <v>5035.805834</v>
      </c>
    </row>
    <row r="354" ht="15.75" customHeight="1">
      <c r="A354" s="4">
        <v>2017.0</v>
      </c>
      <c r="B354" s="4">
        <v>302.0</v>
      </c>
      <c r="C354" s="4" t="s">
        <v>20</v>
      </c>
      <c r="D354" s="5">
        <v>9476.175536581326</v>
      </c>
      <c r="E354" s="5">
        <f t="shared" si="1"/>
        <v>0</v>
      </c>
      <c r="F354" s="5">
        <f t="shared" si="2"/>
        <v>9476.175537</v>
      </c>
      <c r="G354" s="5" t="s">
        <v>19</v>
      </c>
      <c r="H354" s="5" t="s">
        <v>19</v>
      </c>
      <c r="I354" s="5" t="s">
        <v>19</v>
      </c>
      <c r="J354" s="5">
        <v>24617.612693877112</v>
      </c>
      <c r="K354" s="5">
        <f t="shared" si="3"/>
        <v>24617.61269</v>
      </c>
      <c r="L354" s="5">
        <f t="shared" si="4"/>
        <v>0</v>
      </c>
      <c r="M354" s="5">
        <v>214.42664534043598</v>
      </c>
      <c r="N354" s="5">
        <f t="shared" si="5"/>
        <v>0</v>
      </c>
      <c r="O354" s="5">
        <f t="shared" si="6"/>
        <v>214.4266453</v>
      </c>
      <c r="P354" s="5">
        <f t="shared" si="9"/>
        <v>34308.21488</v>
      </c>
      <c r="Q354" s="5">
        <f t="shared" si="7"/>
        <v>9690.602182</v>
      </c>
      <c r="R354" s="5">
        <f t="shared" si="8"/>
        <v>24617.61269</v>
      </c>
    </row>
    <row r="355" ht="15.75" customHeight="1">
      <c r="A355" s="4">
        <v>2017.0</v>
      </c>
      <c r="B355" s="4">
        <v>303.0</v>
      </c>
      <c r="C355" s="4" t="s">
        <v>20</v>
      </c>
      <c r="D355" s="5">
        <v>4521.009296734026</v>
      </c>
      <c r="E355" s="5">
        <f t="shared" si="1"/>
        <v>0</v>
      </c>
      <c r="F355" s="5">
        <f t="shared" si="2"/>
        <v>4521.009297</v>
      </c>
      <c r="G355" s="5">
        <v>2824.5943255620023</v>
      </c>
      <c r="H355" s="5">
        <v>1322.1913256985933</v>
      </c>
      <c r="I355" s="5">
        <v>1502.402999863409</v>
      </c>
      <c r="J355" s="5">
        <v>2367.181867858607</v>
      </c>
      <c r="K355" s="5">
        <f t="shared" si="3"/>
        <v>2367.181868</v>
      </c>
      <c r="L355" s="5">
        <f t="shared" si="4"/>
        <v>0</v>
      </c>
      <c r="M355" s="5">
        <v>378.15019341341906</v>
      </c>
      <c r="N355" s="5">
        <f t="shared" si="5"/>
        <v>0</v>
      </c>
      <c r="O355" s="5">
        <f t="shared" si="6"/>
        <v>378.1501934</v>
      </c>
      <c r="P355" s="5">
        <f t="shared" si="9"/>
        <v>10090.93568</v>
      </c>
      <c r="Q355" s="5">
        <f t="shared" si="7"/>
        <v>6401.56249</v>
      </c>
      <c r="R355" s="5">
        <f t="shared" si="8"/>
        <v>3689.373194</v>
      </c>
    </row>
    <row r="356" ht="15.75" customHeight="1">
      <c r="A356" s="4">
        <v>2017.0</v>
      </c>
      <c r="B356" s="4">
        <v>304.0</v>
      </c>
      <c r="C356" s="4" t="s">
        <v>20</v>
      </c>
      <c r="D356" s="5">
        <v>15294.403764149783</v>
      </c>
      <c r="E356" s="5">
        <f t="shared" si="1"/>
        <v>0</v>
      </c>
      <c r="F356" s="5">
        <f t="shared" si="2"/>
        <v>15294.40376</v>
      </c>
      <c r="G356" s="5">
        <v>7303.525429472111</v>
      </c>
      <c r="H356" s="5">
        <v>1616.9524416862569</v>
      </c>
      <c r="I356" s="5">
        <v>5686.572987785854</v>
      </c>
      <c r="J356" s="5">
        <v>115.80503709534798</v>
      </c>
      <c r="K356" s="5">
        <f t="shared" si="3"/>
        <v>115.8050371</v>
      </c>
      <c r="L356" s="5">
        <f t="shared" si="4"/>
        <v>0</v>
      </c>
      <c r="M356" s="5">
        <v>4155.530939838678</v>
      </c>
      <c r="N356" s="5">
        <f t="shared" si="5"/>
        <v>0</v>
      </c>
      <c r="O356" s="5">
        <f t="shared" si="6"/>
        <v>4155.53094</v>
      </c>
      <c r="P356" s="5">
        <f t="shared" si="9"/>
        <v>26869.26517</v>
      </c>
      <c r="Q356" s="5">
        <f t="shared" si="7"/>
        <v>25136.50769</v>
      </c>
      <c r="R356" s="5">
        <f t="shared" si="8"/>
        <v>1732.757479</v>
      </c>
    </row>
    <row r="357" ht="15.75" customHeight="1">
      <c r="A357" s="4">
        <v>2017.0</v>
      </c>
      <c r="B357" s="4">
        <v>305.0</v>
      </c>
      <c r="C357" s="4" t="s">
        <v>20</v>
      </c>
      <c r="D357" s="5">
        <v>37426.34172412489</v>
      </c>
      <c r="E357" s="5">
        <f t="shared" si="1"/>
        <v>0</v>
      </c>
      <c r="F357" s="5">
        <f t="shared" si="2"/>
        <v>37426.34172</v>
      </c>
      <c r="G357" s="5">
        <v>2824.5943255620023</v>
      </c>
      <c r="H357" s="5">
        <v>927.4990020955997</v>
      </c>
      <c r="I357" s="5">
        <v>1897.0953234664025</v>
      </c>
      <c r="J357" s="5">
        <v>1205.3242080143207</v>
      </c>
      <c r="K357" s="5">
        <f t="shared" si="3"/>
        <v>1205.324208</v>
      </c>
      <c r="L357" s="5">
        <f t="shared" si="4"/>
        <v>0</v>
      </c>
      <c r="M357" s="5">
        <v>3841.7711822654037</v>
      </c>
      <c r="N357" s="5">
        <f t="shared" si="5"/>
        <v>0</v>
      </c>
      <c r="O357" s="5">
        <f t="shared" si="6"/>
        <v>3841.771182</v>
      </c>
      <c r="P357" s="5">
        <f t="shared" si="9"/>
        <v>45298.03144</v>
      </c>
      <c r="Q357" s="5">
        <f t="shared" si="7"/>
        <v>43165.20823</v>
      </c>
      <c r="R357" s="5">
        <f t="shared" si="8"/>
        <v>2132.82321</v>
      </c>
    </row>
    <row r="358" ht="15.75" customHeight="1">
      <c r="A358" s="4">
        <v>2017.0</v>
      </c>
      <c r="B358" s="4">
        <v>306.0</v>
      </c>
      <c r="C358" s="4" t="s">
        <v>20</v>
      </c>
      <c r="D358" s="5" t="s">
        <v>19</v>
      </c>
      <c r="E358" s="5" t="str">
        <f t="shared" si="1"/>
        <v/>
      </c>
      <c r="F358" s="5" t="str">
        <f t="shared" si="2"/>
        <v/>
      </c>
      <c r="G358" s="5" t="s">
        <v>19</v>
      </c>
      <c r="H358" s="5" t="s">
        <v>19</v>
      </c>
      <c r="I358" s="5" t="s">
        <v>19</v>
      </c>
      <c r="J358" s="5">
        <v>0.0</v>
      </c>
      <c r="K358" s="5">
        <f t="shared" si="3"/>
        <v>0</v>
      </c>
      <c r="L358" s="5">
        <f t="shared" si="4"/>
        <v>0</v>
      </c>
      <c r="M358" s="5">
        <v>244.77357301529105</v>
      </c>
      <c r="N358" s="5">
        <f t="shared" si="5"/>
        <v>0</v>
      </c>
      <c r="O358" s="5">
        <f t="shared" si="6"/>
        <v>244.773573</v>
      </c>
      <c r="P358" s="5">
        <f t="shared" si="9"/>
        <v>244.773573</v>
      </c>
      <c r="Q358" s="5">
        <f t="shared" si="7"/>
        <v>244.773573</v>
      </c>
      <c r="R358" s="5">
        <f t="shared" si="8"/>
        <v>0</v>
      </c>
    </row>
    <row r="359" ht="15.75" customHeight="1">
      <c r="A359" s="4">
        <v>2017.0</v>
      </c>
      <c r="B359" s="4">
        <v>307.0</v>
      </c>
      <c r="C359" s="4" t="s">
        <v>20</v>
      </c>
      <c r="D359" s="5" t="s">
        <v>19</v>
      </c>
      <c r="E359" s="5" t="str">
        <f t="shared" si="1"/>
        <v/>
      </c>
      <c r="F359" s="5" t="str">
        <f t="shared" si="2"/>
        <v/>
      </c>
      <c r="G359" s="5" t="s">
        <v>19</v>
      </c>
      <c r="H359" s="5" t="s">
        <v>19</v>
      </c>
      <c r="I359" s="5" t="s">
        <v>19</v>
      </c>
      <c r="J359" s="5">
        <v>0.0</v>
      </c>
      <c r="K359" s="5">
        <f t="shared" si="3"/>
        <v>0</v>
      </c>
      <c r="L359" s="5">
        <f t="shared" si="4"/>
        <v>0</v>
      </c>
      <c r="M359" s="5">
        <v>0.0</v>
      </c>
      <c r="N359" s="5">
        <f t="shared" si="5"/>
        <v>0</v>
      </c>
      <c r="O359" s="5">
        <f t="shared" si="6"/>
        <v>0</v>
      </c>
      <c r="P359" s="5">
        <f t="shared" si="9"/>
        <v>0</v>
      </c>
      <c r="Q359" s="5">
        <f t="shared" si="7"/>
        <v>0</v>
      </c>
      <c r="R359" s="5">
        <f t="shared" si="8"/>
        <v>0</v>
      </c>
    </row>
    <row r="360" ht="15.75" customHeight="1">
      <c r="A360" s="4">
        <v>2017.0</v>
      </c>
      <c r="B360" s="4">
        <v>308.0</v>
      </c>
      <c r="C360" s="4" t="s">
        <v>20</v>
      </c>
      <c r="D360" s="5">
        <v>3015.4650585186287</v>
      </c>
      <c r="E360" s="5">
        <f t="shared" si="1"/>
        <v>0</v>
      </c>
      <c r="F360" s="5">
        <f t="shared" si="2"/>
        <v>3015.465059</v>
      </c>
      <c r="G360" s="5">
        <v>16753.854379857083</v>
      </c>
      <c r="H360" s="5">
        <v>5555.967452653109</v>
      </c>
      <c r="I360" s="5">
        <v>11197.886927203974</v>
      </c>
      <c r="J360" s="5">
        <v>4704.857246813467</v>
      </c>
      <c r="K360" s="5">
        <f t="shared" si="3"/>
        <v>4704.857247</v>
      </c>
      <c r="L360" s="5">
        <f t="shared" si="4"/>
        <v>0</v>
      </c>
      <c r="M360" s="5">
        <v>8634.387788114389</v>
      </c>
      <c r="N360" s="5">
        <f t="shared" si="5"/>
        <v>0</v>
      </c>
      <c r="O360" s="5">
        <f t="shared" si="6"/>
        <v>8634.387788</v>
      </c>
      <c r="P360" s="5">
        <f t="shared" si="9"/>
        <v>33108.56447</v>
      </c>
      <c r="Q360" s="5">
        <f t="shared" si="7"/>
        <v>22847.73977</v>
      </c>
      <c r="R360" s="5">
        <f t="shared" si="8"/>
        <v>10260.8247</v>
      </c>
    </row>
    <row r="361" ht="15.75" customHeight="1">
      <c r="A361" s="4">
        <v>2017.0</v>
      </c>
      <c r="B361" s="4">
        <v>309.0</v>
      </c>
      <c r="C361" s="4" t="s">
        <v>20</v>
      </c>
      <c r="D361" s="5" t="s">
        <v>19</v>
      </c>
      <c r="E361" s="5" t="str">
        <f t="shared" si="1"/>
        <v/>
      </c>
      <c r="F361" s="5" t="str">
        <f t="shared" si="2"/>
        <v/>
      </c>
      <c r="G361" s="5" t="s">
        <v>19</v>
      </c>
      <c r="H361" s="5" t="s">
        <v>19</v>
      </c>
      <c r="I361" s="5" t="s">
        <v>19</v>
      </c>
      <c r="J361" s="5">
        <v>0.0</v>
      </c>
      <c r="K361" s="5">
        <f t="shared" si="3"/>
        <v>0</v>
      </c>
      <c r="L361" s="5">
        <f t="shared" si="4"/>
        <v>0</v>
      </c>
      <c r="M361" s="5">
        <v>0.0</v>
      </c>
      <c r="N361" s="5">
        <f t="shared" si="5"/>
        <v>0</v>
      </c>
      <c r="O361" s="5">
        <f t="shared" si="6"/>
        <v>0</v>
      </c>
      <c r="P361" s="5">
        <f t="shared" si="9"/>
        <v>0</v>
      </c>
      <c r="Q361" s="5">
        <f t="shared" si="7"/>
        <v>0</v>
      </c>
      <c r="R361" s="5">
        <f t="shared" si="8"/>
        <v>0</v>
      </c>
    </row>
    <row r="362" ht="15.75" customHeight="1">
      <c r="A362" s="4">
        <v>2017.0</v>
      </c>
      <c r="B362" s="4">
        <v>310.0</v>
      </c>
      <c r="C362" s="4" t="s">
        <v>20</v>
      </c>
      <c r="D362" s="5">
        <v>23086.470513332028</v>
      </c>
      <c r="E362" s="5">
        <f t="shared" si="1"/>
        <v>0</v>
      </c>
      <c r="F362" s="5">
        <f t="shared" si="2"/>
        <v>23086.47051</v>
      </c>
      <c r="G362" s="5">
        <v>1497.7698983112991</v>
      </c>
      <c r="H362" s="5">
        <v>445.7363217374426</v>
      </c>
      <c r="I362" s="5">
        <v>1052.0335765738564</v>
      </c>
      <c r="J362" s="5">
        <v>2660.3431124506656</v>
      </c>
      <c r="K362" s="5">
        <f t="shared" si="3"/>
        <v>2660.343112</v>
      </c>
      <c r="L362" s="5">
        <f t="shared" si="4"/>
        <v>0</v>
      </c>
      <c r="M362" s="5">
        <v>0.0</v>
      </c>
      <c r="N362" s="5">
        <f t="shared" si="5"/>
        <v>0</v>
      </c>
      <c r="O362" s="5">
        <f t="shared" si="6"/>
        <v>0</v>
      </c>
      <c r="P362" s="5">
        <f t="shared" si="9"/>
        <v>27244.58352</v>
      </c>
      <c r="Q362" s="5">
        <f t="shared" si="7"/>
        <v>24138.50409</v>
      </c>
      <c r="R362" s="5">
        <f t="shared" si="8"/>
        <v>3106.079434</v>
      </c>
    </row>
    <row r="363" ht="15.75" customHeight="1">
      <c r="A363" s="4">
        <v>2017.0</v>
      </c>
      <c r="B363" s="4">
        <v>311.0</v>
      </c>
      <c r="C363" s="4" t="s">
        <v>20</v>
      </c>
      <c r="D363" s="5" t="s">
        <v>19</v>
      </c>
      <c r="E363" s="5" t="str">
        <f t="shared" si="1"/>
        <v/>
      </c>
      <c r="F363" s="5" t="str">
        <f t="shared" si="2"/>
        <v/>
      </c>
      <c r="G363" s="5">
        <v>1017.2853149330342</v>
      </c>
      <c r="H363" s="5">
        <v>462.27170141479934</v>
      </c>
      <c r="I363" s="5">
        <v>555.0136135182349</v>
      </c>
      <c r="J363" s="5">
        <v>2049.590519550543</v>
      </c>
      <c r="K363" s="5">
        <f t="shared" si="3"/>
        <v>2049.59052</v>
      </c>
      <c r="L363" s="5">
        <f t="shared" si="4"/>
        <v>0</v>
      </c>
      <c r="M363" s="5">
        <v>121.38771069941981</v>
      </c>
      <c r="N363" s="5">
        <f t="shared" si="5"/>
        <v>0</v>
      </c>
      <c r="O363" s="5">
        <f t="shared" si="6"/>
        <v>121.3877107</v>
      </c>
      <c r="P363" s="5">
        <f t="shared" si="9"/>
        <v>3188.263545</v>
      </c>
      <c r="Q363" s="5">
        <f t="shared" si="7"/>
        <v>676.4013242</v>
      </c>
      <c r="R363" s="5">
        <f t="shared" si="8"/>
        <v>2511.862221</v>
      </c>
    </row>
    <row r="364" ht="15.75" customHeight="1">
      <c r="A364" s="4">
        <v>2017.0</v>
      </c>
      <c r="B364" s="4">
        <v>312.0</v>
      </c>
      <c r="C364" s="4" t="s">
        <v>20</v>
      </c>
      <c r="D364" s="5">
        <v>2098.571111117101</v>
      </c>
      <c r="E364" s="5">
        <f t="shared" si="1"/>
        <v>0</v>
      </c>
      <c r="F364" s="5">
        <f t="shared" si="2"/>
        <v>2098.571111</v>
      </c>
      <c r="G364" s="5" t="s">
        <v>19</v>
      </c>
      <c r="H364" s="5" t="s">
        <v>19</v>
      </c>
      <c r="I364" s="5" t="s">
        <v>19</v>
      </c>
      <c r="J364" s="5">
        <v>8692.294356969396</v>
      </c>
      <c r="K364" s="5">
        <f t="shared" si="3"/>
        <v>8692.294357</v>
      </c>
      <c r="L364" s="5">
        <f t="shared" si="4"/>
        <v>0</v>
      </c>
      <c r="M364" s="5">
        <v>380.8976518860395</v>
      </c>
      <c r="N364" s="5">
        <f t="shared" si="5"/>
        <v>0</v>
      </c>
      <c r="O364" s="5">
        <f t="shared" si="6"/>
        <v>380.8976519</v>
      </c>
      <c r="P364" s="5">
        <f t="shared" si="9"/>
        <v>11171.76312</v>
      </c>
      <c r="Q364" s="5">
        <f t="shared" si="7"/>
        <v>2479.468763</v>
      </c>
      <c r="R364" s="5">
        <f t="shared" si="8"/>
        <v>8692.294357</v>
      </c>
    </row>
    <row r="365" ht="15.75" customHeight="1">
      <c r="A365" s="4">
        <v>2017.0</v>
      </c>
      <c r="B365" s="4">
        <v>313.0</v>
      </c>
      <c r="C365" s="4" t="s">
        <v>20</v>
      </c>
      <c r="D365" s="5">
        <v>58243.20429834721</v>
      </c>
      <c r="E365" s="5">
        <f t="shared" si="1"/>
        <v>0</v>
      </c>
      <c r="F365" s="5">
        <f t="shared" si="2"/>
        <v>58243.2043</v>
      </c>
      <c r="G365" s="5">
        <v>1966.2723225030734</v>
      </c>
      <c r="H365" s="5">
        <v>841.3872180753555</v>
      </c>
      <c r="I365" s="5">
        <v>1124.885104427718</v>
      </c>
      <c r="J365" s="5">
        <v>600.9170965988742</v>
      </c>
      <c r="K365" s="5">
        <f t="shared" si="3"/>
        <v>600.9170966</v>
      </c>
      <c r="L365" s="5">
        <f t="shared" si="4"/>
        <v>0</v>
      </c>
      <c r="M365" s="5">
        <v>675.5001308365861</v>
      </c>
      <c r="N365" s="5">
        <f t="shared" si="5"/>
        <v>0</v>
      </c>
      <c r="O365" s="5">
        <f t="shared" si="6"/>
        <v>675.5001308</v>
      </c>
      <c r="P365" s="5">
        <f t="shared" si="9"/>
        <v>61485.89385</v>
      </c>
      <c r="Q365" s="5">
        <f t="shared" si="7"/>
        <v>60043.58953</v>
      </c>
      <c r="R365" s="5">
        <f t="shared" si="8"/>
        <v>1442.304315</v>
      </c>
    </row>
    <row r="366" ht="15.75" customHeight="1">
      <c r="A366" s="4">
        <v>2017.0</v>
      </c>
      <c r="B366" s="4">
        <v>314.0</v>
      </c>
      <c r="C366" s="4" t="s">
        <v>20</v>
      </c>
      <c r="D366" s="5" t="s">
        <v>19</v>
      </c>
      <c r="E366" s="5" t="str">
        <f t="shared" si="1"/>
        <v/>
      </c>
      <c r="F366" s="5" t="str">
        <f t="shared" si="2"/>
        <v/>
      </c>
      <c r="G366" s="5" t="s">
        <v>19</v>
      </c>
      <c r="H366" s="5" t="s">
        <v>19</v>
      </c>
      <c r="I366" s="5" t="s">
        <v>19</v>
      </c>
      <c r="J366" s="5">
        <v>0.0</v>
      </c>
      <c r="K366" s="5">
        <f t="shared" si="3"/>
        <v>0</v>
      </c>
      <c r="L366" s="5">
        <f t="shared" si="4"/>
        <v>0</v>
      </c>
      <c r="M366" s="5">
        <v>204.5607717342075</v>
      </c>
      <c r="N366" s="5">
        <f t="shared" si="5"/>
        <v>0</v>
      </c>
      <c r="O366" s="5">
        <f t="shared" si="6"/>
        <v>204.5607717</v>
      </c>
      <c r="P366" s="5">
        <f t="shared" si="9"/>
        <v>204.5607717</v>
      </c>
      <c r="Q366" s="5">
        <f t="shared" si="7"/>
        <v>204.5607717</v>
      </c>
      <c r="R366" s="5">
        <f t="shared" si="8"/>
        <v>0</v>
      </c>
    </row>
    <row r="367" ht="15.75" customHeight="1">
      <c r="A367" s="4">
        <v>2017.0</v>
      </c>
      <c r="B367" s="4">
        <v>320.0</v>
      </c>
      <c r="C367" s="4" t="s">
        <v>20</v>
      </c>
      <c r="D367" s="5">
        <v>162874.5023987965</v>
      </c>
      <c r="E367" s="5">
        <f t="shared" si="1"/>
        <v>0</v>
      </c>
      <c r="F367" s="5">
        <f t="shared" si="2"/>
        <v>162874.5024</v>
      </c>
      <c r="G367" s="5">
        <v>82322.02677221049</v>
      </c>
      <c r="H367" s="5">
        <v>51333.806624639656</v>
      </c>
      <c r="I367" s="5">
        <v>30988.220147570835</v>
      </c>
      <c r="J367" s="5">
        <v>26207.155805788607</v>
      </c>
      <c r="K367" s="5">
        <f t="shared" si="3"/>
        <v>26207.15581</v>
      </c>
      <c r="L367" s="5">
        <f t="shared" si="4"/>
        <v>0</v>
      </c>
      <c r="M367" s="5">
        <v>23844.50521925614</v>
      </c>
      <c r="N367" s="5">
        <f t="shared" si="5"/>
        <v>0</v>
      </c>
      <c r="O367" s="5">
        <f t="shared" si="6"/>
        <v>23844.50522</v>
      </c>
      <c r="P367" s="5">
        <f t="shared" si="9"/>
        <v>295248.1902</v>
      </c>
      <c r="Q367" s="5">
        <f t="shared" si="7"/>
        <v>217707.2278</v>
      </c>
      <c r="R367" s="5">
        <f t="shared" si="8"/>
        <v>77540.96243</v>
      </c>
    </row>
    <row r="368" ht="15.75" customHeight="1">
      <c r="A368" s="4">
        <v>2017.0</v>
      </c>
      <c r="B368" s="4">
        <v>321.0</v>
      </c>
      <c r="C368" s="4" t="s">
        <v>20</v>
      </c>
      <c r="D368" s="5">
        <v>106758.40452677904</v>
      </c>
      <c r="E368" s="5">
        <f t="shared" si="1"/>
        <v>0</v>
      </c>
      <c r="F368" s="5">
        <f t="shared" si="2"/>
        <v>106758.4045</v>
      </c>
      <c r="G368" s="5">
        <v>39151.345677081765</v>
      </c>
      <c r="H368" s="5">
        <v>29093.569184578475</v>
      </c>
      <c r="I368" s="5">
        <v>10057.77649250329</v>
      </c>
      <c r="J368" s="5">
        <v>2833.733394019454</v>
      </c>
      <c r="K368" s="5">
        <f t="shared" si="3"/>
        <v>2833.733394</v>
      </c>
      <c r="L368" s="5">
        <f t="shared" si="4"/>
        <v>0</v>
      </c>
      <c r="M368" s="5">
        <v>1010.9023681055492</v>
      </c>
      <c r="N368" s="5">
        <f t="shared" si="5"/>
        <v>0</v>
      </c>
      <c r="O368" s="5">
        <f t="shared" si="6"/>
        <v>1010.902368</v>
      </c>
      <c r="P368" s="5">
        <f t="shared" si="9"/>
        <v>149754.386</v>
      </c>
      <c r="Q368" s="5">
        <f t="shared" si="7"/>
        <v>117827.0834</v>
      </c>
      <c r="R368" s="5">
        <f t="shared" si="8"/>
        <v>31927.30258</v>
      </c>
    </row>
    <row r="369" ht="15.75" customHeight="1">
      <c r="A369" s="4">
        <v>2017.0</v>
      </c>
      <c r="B369" s="4">
        <v>322.0</v>
      </c>
      <c r="C369" s="4" t="s">
        <v>20</v>
      </c>
      <c r="D369" s="5">
        <v>24070.326166677434</v>
      </c>
      <c r="E369" s="5">
        <f t="shared" si="1"/>
        <v>0</v>
      </c>
      <c r="F369" s="5">
        <f t="shared" si="2"/>
        <v>24070.32617</v>
      </c>
      <c r="G369" s="5">
        <v>4280.826072026801</v>
      </c>
      <c r="H369" s="5">
        <v>1212.7542717953145</v>
      </c>
      <c r="I369" s="5">
        <v>3068.071800231486</v>
      </c>
      <c r="J369" s="5">
        <v>0.0</v>
      </c>
      <c r="K369" s="5">
        <f t="shared" si="3"/>
        <v>0</v>
      </c>
      <c r="L369" s="5">
        <f t="shared" si="4"/>
        <v>0</v>
      </c>
      <c r="M369" s="5">
        <v>58248.242655649476</v>
      </c>
      <c r="N369" s="5">
        <f t="shared" si="5"/>
        <v>0</v>
      </c>
      <c r="O369" s="5">
        <f t="shared" si="6"/>
        <v>58248.24266</v>
      </c>
      <c r="P369" s="5">
        <f t="shared" si="9"/>
        <v>86599.39489</v>
      </c>
      <c r="Q369" s="5">
        <f t="shared" si="7"/>
        <v>85386.64062</v>
      </c>
      <c r="R369" s="5">
        <f t="shared" si="8"/>
        <v>1212.754272</v>
      </c>
    </row>
    <row r="370" ht="15.75" customHeight="1">
      <c r="A370" s="4">
        <v>2017.0</v>
      </c>
      <c r="B370" s="4">
        <v>323.0</v>
      </c>
      <c r="C370" s="4" t="s">
        <v>20</v>
      </c>
      <c r="D370" s="5" t="s">
        <v>19</v>
      </c>
      <c r="E370" s="5" t="str">
        <f t="shared" si="1"/>
        <v/>
      </c>
      <c r="F370" s="5" t="str">
        <f t="shared" si="2"/>
        <v/>
      </c>
      <c r="G370" s="5" t="s">
        <v>19</v>
      </c>
      <c r="H370" s="5" t="s">
        <v>19</v>
      </c>
      <c r="I370" s="5" t="s">
        <v>19</v>
      </c>
      <c r="J370" s="5">
        <v>0.0</v>
      </c>
      <c r="K370" s="5">
        <f t="shared" si="3"/>
        <v>0</v>
      </c>
      <c r="L370" s="5">
        <f t="shared" si="4"/>
        <v>0</v>
      </c>
      <c r="M370" s="5">
        <v>102415.56082395665</v>
      </c>
      <c r="N370" s="5">
        <f t="shared" si="5"/>
        <v>0</v>
      </c>
      <c r="O370" s="5">
        <f t="shared" si="6"/>
        <v>102415.5608</v>
      </c>
      <c r="P370" s="5">
        <f t="shared" si="9"/>
        <v>102415.5608</v>
      </c>
      <c r="Q370" s="5">
        <f t="shared" si="7"/>
        <v>102415.5608</v>
      </c>
      <c r="R370" s="5">
        <f t="shared" si="8"/>
        <v>0</v>
      </c>
    </row>
    <row r="371" ht="15.75" customHeight="1">
      <c r="A371" s="4">
        <v>2017.0</v>
      </c>
      <c r="B371" s="4">
        <v>324.0</v>
      </c>
      <c r="C371" s="4" t="s">
        <v>20</v>
      </c>
      <c r="D371" s="5">
        <v>22328.88415392771</v>
      </c>
      <c r="E371" s="5">
        <f t="shared" si="1"/>
        <v>0</v>
      </c>
      <c r="F371" s="5">
        <f t="shared" si="2"/>
        <v>22328.88415</v>
      </c>
      <c r="G371" s="5">
        <v>3088.2018276647905</v>
      </c>
      <c r="H371" s="5">
        <v>1277.6176935248488</v>
      </c>
      <c r="I371" s="5">
        <v>1810.5841341399416</v>
      </c>
      <c r="J371" s="5">
        <v>0.0</v>
      </c>
      <c r="K371" s="5">
        <f t="shared" si="3"/>
        <v>0</v>
      </c>
      <c r="L371" s="5">
        <f t="shared" si="4"/>
        <v>0</v>
      </c>
      <c r="M371" s="5">
        <v>93942.59870955636</v>
      </c>
      <c r="N371" s="5">
        <f t="shared" si="5"/>
        <v>0</v>
      </c>
      <c r="O371" s="5">
        <f t="shared" si="6"/>
        <v>93942.59871</v>
      </c>
      <c r="P371" s="5">
        <f t="shared" si="9"/>
        <v>119359.6847</v>
      </c>
      <c r="Q371" s="5">
        <f t="shared" si="7"/>
        <v>118082.067</v>
      </c>
      <c r="R371" s="5">
        <f t="shared" si="8"/>
        <v>1277.617694</v>
      </c>
    </row>
    <row r="372" ht="15.75" customHeight="1">
      <c r="A372" s="4">
        <v>2017.0</v>
      </c>
      <c r="B372" s="4">
        <v>325.0</v>
      </c>
      <c r="C372" s="4" t="s">
        <v>20</v>
      </c>
      <c r="D372" s="5">
        <v>18496.748877818984</v>
      </c>
      <c r="E372" s="5">
        <f t="shared" si="1"/>
        <v>0</v>
      </c>
      <c r="F372" s="5">
        <f t="shared" si="2"/>
        <v>18496.74888</v>
      </c>
      <c r="G372" s="5">
        <v>2788.2484426963147</v>
      </c>
      <c r="H372" s="5">
        <v>1782.9452869497707</v>
      </c>
      <c r="I372" s="5">
        <v>1005.303155746544</v>
      </c>
      <c r="J372" s="5">
        <v>352.17422239955147</v>
      </c>
      <c r="K372" s="5">
        <f t="shared" si="3"/>
        <v>352.1742224</v>
      </c>
      <c r="L372" s="5">
        <f t="shared" si="4"/>
        <v>0</v>
      </c>
      <c r="M372" s="5">
        <v>14153.33250654344</v>
      </c>
      <c r="N372" s="5">
        <f t="shared" si="5"/>
        <v>0</v>
      </c>
      <c r="O372" s="5">
        <f t="shared" si="6"/>
        <v>14153.33251</v>
      </c>
      <c r="P372" s="5">
        <f t="shared" si="9"/>
        <v>35790.50405</v>
      </c>
      <c r="Q372" s="5">
        <f t="shared" si="7"/>
        <v>33655.38454</v>
      </c>
      <c r="R372" s="5">
        <f t="shared" si="8"/>
        <v>2135.119509</v>
      </c>
    </row>
    <row r="373" ht="15.75" customHeight="1">
      <c r="A373" s="4">
        <v>2017.0</v>
      </c>
      <c r="B373" s="4">
        <v>326.0</v>
      </c>
      <c r="C373" s="4" t="s">
        <v>20</v>
      </c>
      <c r="D373" s="5" t="s">
        <v>19</v>
      </c>
      <c r="E373" s="5" t="str">
        <f t="shared" si="1"/>
        <v/>
      </c>
      <c r="F373" s="5" t="str">
        <f t="shared" si="2"/>
        <v/>
      </c>
      <c r="G373" s="5" t="s">
        <v>19</v>
      </c>
      <c r="H373" s="5" t="s">
        <v>19</v>
      </c>
      <c r="I373" s="5" t="s">
        <v>19</v>
      </c>
      <c r="J373" s="5">
        <v>0.0</v>
      </c>
      <c r="K373" s="5">
        <f t="shared" si="3"/>
        <v>0</v>
      </c>
      <c r="L373" s="5">
        <f t="shared" si="4"/>
        <v>0</v>
      </c>
      <c r="M373" s="5">
        <v>28358.392163057775</v>
      </c>
      <c r="N373" s="5">
        <f t="shared" si="5"/>
        <v>0</v>
      </c>
      <c r="O373" s="5">
        <f t="shared" si="6"/>
        <v>28358.39216</v>
      </c>
      <c r="P373" s="5">
        <f t="shared" si="9"/>
        <v>28358.39216</v>
      </c>
      <c r="Q373" s="5">
        <f t="shared" si="7"/>
        <v>28358.39216</v>
      </c>
      <c r="R373" s="5">
        <f t="shared" si="8"/>
        <v>0</v>
      </c>
    </row>
    <row r="374" ht="15.75" customHeight="1">
      <c r="A374" s="4">
        <v>2017.0</v>
      </c>
      <c r="B374" s="4">
        <v>327.0</v>
      </c>
      <c r="C374" s="4" t="s">
        <v>20</v>
      </c>
      <c r="D374" s="5">
        <v>84129.7244998346</v>
      </c>
      <c r="E374" s="5">
        <f t="shared" si="1"/>
        <v>0</v>
      </c>
      <c r="F374" s="5">
        <f t="shared" si="2"/>
        <v>84129.7245</v>
      </c>
      <c r="G374" s="5">
        <v>35844.2298010798</v>
      </c>
      <c r="H374" s="5">
        <v>7963.982043831463</v>
      </c>
      <c r="I374" s="5">
        <v>27880.247757248333</v>
      </c>
      <c r="J374" s="5">
        <v>101.52770375482564</v>
      </c>
      <c r="K374" s="5">
        <f t="shared" si="3"/>
        <v>101.5277038</v>
      </c>
      <c r="L374" s="5">
        <f t="shared" si="4"/>
        <v>0</v>
      </c>
      <c r="M374" s="5">
        <v>37025.37479941553</v>
      </c>
      <c r="N374" s="5">
        <f t="shared" si="5"/>
        <v>0</v>
      </c>
      <c r="O374" s="5">
        <f t="shared" si="6"/>
        <v>37025.3748</v>
      </c>
      <c r="P374" s="5">
        <f t="shared" si="9"/>
        <v>157100.8568</v>
      </c>
      <c r="Q374" s="5">
        <f t="shared" si="7"/>
        <v>149035.3471</v>
      </c>
      <c r="R374" s="5">
        <f t="shared" si="8"/>
        <v>8065.509748</v>
      </c>
    </row>
    <row r="375" ht="15.75" customHeight="1">
      <c r="A375" s="4">
        <v>2017.0</v>
      </c>
      <c r="B375" s="4">
        <v>328.0</v>
      </c>
      <c r="C375" s="4" t="s">
        <v>20</v>
      </c>
      <c r="D375" s="5">
        <v>5360.87539938965</v>
      </c>
      <c r="E375" s="5">
        <f t="shared" si="1"/>
        <v>0</v>
      </c>
      <c r="F375" s="5">
        <f t="shared" si="2"/>
        <v>5360.875399</v>
      </c>
      <c r="G375" s="5">
        <v>4338.739841428171</v>
      </c>
      <c r="H375" s="5">
        <v>1534.6749486056895</v>
      </c>
      <c r="I375" s="5">
        <v>2804.064892822481</v>
      </c>
      <c r="J375" s="5">
        <v>0.0</v>
      </c>
      <c r="K375" s="5">
        <f t="shared" si="3"/>
        <v>0</v>
      </c>
      <c r="L375" s="5">
        <f t="shared" si="4"/>
        <v>0</v>
      </c>
      <c r="M375" s="5">
        <v>41663.45935462721</v>
      </c>
      <c r="N375" s="5">
        <f t="shared" si="5"/>
        <v>0</v>
      </c>
      <c r="O375" s="5">
        <f t="shared" si="6"/>
        <v>41663.45935</v>
      </c>
      <c r="P375" s="5">
        <f t="shared" si="9"/>
        <v>51363.0746</v>
      </c>
      <c r="Q375" s="5">
        <f t="shared" si="7"/>
        <v>49828.39965</v>
      </c>
      <c r="R375" s="5">
        <f t="shared" si="8"/>
        <v>1534.674949</v>
      </c>
    </row>
    <row r="376" ht="15.75" customHeight="1">
      <c r="A376" s="4">
        <v>2017.0</v>
      </c>
      <c r="B376" s="4">
        <v>331.0</v>
      </c>
      <c r="C376" s="4" t="s">
        <v>20</v>
      </c>
      <c r="D376" s="5">
        <v>178315.9593210975</v>
      </c>
      <c r="E376" s="5">
        <f t="shared" si="1"/>
        <v>0</v>
      </c>
      <c r="F376" s="5">
        <f t="shared" si="2"/>
        <v>178315.9593</v>
      </c>
      <c r="G376" s="5">
        <v>242025.87602457206</v>
      </c>
      <c r="H376" s="5">
        <v>60937.19567647286</v>
      </c>
      <c r="I376" s="5">
        <v>181088.6803480992</v>
      </c>
      <c r="J376" s="5">
        <v>2142.0759121897045</v>
      </c>
      <c r="K376" s="5">
        <f t="shared" si="3"/>
        <v>2142.075912</v>
      </c>
      <c r="L376" s="5">
        <f t="shared" si="4"/>
        <v>0</v>
      </c>
      <c r="M376" s="5">
        <v>32483.701059697618</v>
      </c>
      <c r="N376" s="5">
        <f t="shared" si="5"/>
        <v>0</v>
      </c>
      <c r="O376" s="5">
        <f t="shared" si="6"/>
        <v>32483.70106</v>
      </c>
      <c r="P376" s="5">
        <f t="shared" si="9"/>
        <v>454967.6123</v>
      </c>
      <c r="Q376" s="5">
        <f t="shared" si="7"/>
        <v>391888.3407</v>
      </c>
      <c r="R376" s="5">
        <f t="shared" si="8"/>
        <v>63079.27159</v>
      </c>
    </row>
    <row r="377" ht="15.75" customHeight="1">
      <c r="A377" s="4">
        <v>2017.0</v>
      </c>
      <c r="B377" s="4">
        <v>332.0</v>
      </c>
      <c r="C377" s="4" t="s">
        <v>20</v>
      </c>
      <c r="D377" s="5" t="s">
        <v>19</v>
      </c>
      <c r="E377" s="5" t="str">
        <f t="shared" si="1"/>
        <v/>
      </c>
      <c r="F377" s="5" t="str">
        <f t="shared" si="2"/>
        <v/>
      </c>
      <c r="G377" s="5" t="s">
        <v>19</v>
      </c>
      <c r="H377" s="5" t="s">
        <v>19</v>
      </c>
      <c r="I377" s="5" t="s">
        <v>19</v>
      </c>
      <c r="J377" s="5">
        <v>0.0</v>
      </c>
      <c r="K377" s="5">
        <f t="shared" si="3"/>
        <v>0</v>
      </c>
      <c r="L377" s="5">
        <f t="shared" si="4"/>
        <v>0</v>
      </c>
      <c r="M377" s="5">
        <v>9342.607651670369</v>
      </c>
      <c r="N377" s="5">
        <f t="shared" si="5"/>
        <v>0</v>
      </c>
      <c r="O377" s="5">
        <f t="shared" si="6"/>
        <v>9342.607652</v>
      </c>
      <c r="P377" s="5">
        <f t="shared" si="9"/>
        <v>9342.607652</v>
      </c>
      <c r="Q377" s="5">
        <f t="shared" si="7"/>
        <v>9342.607652</v>
      </c>
      <c r="R377" s="5">
        <f t="shared" si="8"/>
        <v>0</v>
      </c>
    </row>
    <row r="378" ht="15.75" customHeight="1">
      <c r="A378" s="4">
        <v>2017.0</v>
      </c>
      <c r="B378" s="4">
        <v>333.0</v>
      </c>
      <c r="C378" s="4" t="s">
        <v>20</v>
      </c>
      <c r="D378" s="5">
        <v>9803.981534960205</v>
      </c>
      <c r="E378" s="5">
        <f t="shared" si="1"/>
        <v>0</v>
      </c>
      <c r="F378" s="5">
        <f t="shared" si="2"/>
        <v>9803.981535</v>
      </c>
      <c r="G378" s="5" t="s">
        <v>19</v>
      </c>
      <c r="H378" s="5" t="s">
        <v>19</v>
      </c>
      <c r="I378" s="5" t="s">
        <v>19</v>
      </c>
      <c r="J378" s="5">
        <v>0.0</v>
      </c>
      <c r="K378" s="5">
        <f t="shared" si="3"/>
        <v>0</v>
      </c>
      <c r="L378" s="5">
        <f t="shared" si="4"/>
        <v>0</v>
      </c>
      <c r="M378" s="5">
        <v>8692.583953943536</v>
      </c>
      <c r="N378" s="5">
        <f t="shared" si="5"/>
        <v>0</v>
      </c>
      <c r="O378" s="5">
        <f t="shared" si="6"/>
        <v>8692.583954</v>
      </c>
      <c r="P378" s="5">
        <f t="shared" si="9"/>
        <v>18496.56549</v>
      </c>
      <c r="Q378" s="5">
        <f t="shared" si="7"/>
        <v>18496.56549</v>
      </c>
      <c r="R378" s="5">
        <f t="shared" si="8"/>
        <v>0</v>
      </c>
    </row>
    <row r="379" ht="15.75" customHeight="1">
      <c r="A379" s="4">
        <v>2017.0</v>
      </c>
      <c r="B379" s="4">
        <v>400.0</v>
      </c>
      <c r="C379" s="4" t="s">
        <v>21</v>
      </c>
      <c r="D379" s="5">
        <v>301.63538759606314</v>
      </c>
      <c r="E379" s="5">
        <f t="shared" si="1"/>
        <v>0</v>
      </c>
      <c r="F379" s="5">
        <f t="shared" si="2"/>
        <v>301.6353876</v>
      </c>
      <c r="G379" s="5" t="s">
        <v>19</v>
      </c>
      <c r="H379" s="5" t="s">
        <v>19</v>
      </c>
      <c r="I379" s="5" t="s">
        <v>19</v>
      </c>
      <c r="J379" s="5">
        <v>43421.44507268604</v>
      </c>
      <c r="K379" s="5">
        <f t="shared" si="3"/>
        <v>43421.44507</v>
      </c>
      <c r="L379" s="5">
        <f t="shared" si="4"/>
        <v>0</v>
      </c>
      <c r="M379" s="5">
        <v>403.94727585351666</v>
      </c>
      <c r="N379" s="5">
        <f t="shared" si="5"/>
        <v>0</v>
      </c>
      <c r="O379" s="5">
        <f t="shared" si="6"/>
        <v>403.9472759</v>
      </c>
      <c r="P379" s="5">
        <f t="shared" si="9"/>
        <v>44127.02774</v>
      </c>
      <c r="Q379" s="5">
        <f t="shared" si="7"/>
        <v>705.5826634</v>
      </c>
      <c r="R379" s="5">
        <f t="shared" si="8"/>
        <v>43421.44507</v>
      </c>
    </row>
    <row r="380" ht="15.75" customHeight="1">
      <c r="A380" s="4">
        <v>2017.0</v>
      </c>
      <c r="B380" s="4">
        <v>401.0</v>
      </c>
      <c r="C380" s="4" t="s">
        <v>21</v>
      </c>
      <c r="D380" s="5">
        <v>268.369313421183</v>
      </c>
      <c r="E380" s="5">
        <f t="shared" si="1"/>
        <v>0</v>
      </c>
      <c r="F380" s="5">
        <f t="shared" si="2"/>
        <v>268.3693134</v>
      </c>
      <c r="G380" s="5">
        <v>5933.691238711441</v>
      </c>
      <c r="H380" s="5">
        <v>4681.618833520967</v>
      </c>
      <c r="I380" s="5">
        <v>1252.0724051904735</v>
      </c>
      <c r="J380" s="5">
        <v>164934.09413972328</v>
      </c>
      <c r="K380" s="5">
        <f t="shared" si="3"/>
        <v>164934.0941</v>
      </c>
      <c r="L380" s="5">
        <f t="shared" si="4"/>
        <v>0</v>
      </c>
      <c r="M380" s="5">
        <v>208.14023083766483</v>
      </c>
      <c r="N380" s="5">
        <f t="shared" si="5"/>
        <v>0</v>
      </c>
      <c r="O380" s="5">
        <f t="shared" si="6"/>
        <v>208.1402308</v>
      </c>
      <c r="P380" s="5">
        <f t="shared" si="9"/>
        <v>171344.2949</v>
      </c>
      <c r="Q380" s="5">
        <f t="shared" si="7"/>
        <v>1728.581949</v>
      </c>
      <c r="R380" s="5">
        <f t="shared" si="8"/>
        <v>169615.713</v>
      </c>
    </row>
    <row r="381" ht="15.75" customHeight="1">
      <c r="A381" s="4">
        <v>2017.0</v>
      </c>
      <c r="B381" s="4">
        <v>402.0</v>
      </c>
      <c r="C381" s="4" t="s">
        <v>21</v>
      </c>
      <c r="D381" s="5">
        <v>1479.0906684621236</v>
      </c>
      <c r="E381" s="5">
        <f t="shared" si="1"/>
        <v>0</v>
      </c>
      <c r="F381" s="5">
        <f t="shared" si="2"/>
        <v>1479.090668</v>
      </c>
      <c r="G381" s="5">
        <v>1183.1361744229014</v>
      </c>
      <c r="H381" s="5">
        <v>853.6002897831074</v>
      </c>
      <c r="I381" s="5">
        <v>329.53588463979395</v>
      </c>
      <c r="J381" s="5">
        <v>144240.93560195935</v>
      </c>
      <c r="K381" s="5">
        <f t="shared" si="3"/>
        <v>144240.9356</v>
      </c>
      <c r="L381" s="5">
        <f t="shared" si="4"/>
        <v>0</v>
      </c>
      <c r="M381" s="5">
        <v>366.8059576315052</v>
      </c>
      <c r="N381" s="5">
        <f t="shared" si="5"/>
        <v>0</v>
      </c>
      <c r="O381" s="5">
        <f t="shared" si="6"/>
        <v>366.8059576</v>
      </c>
      <c r="P381" s="5">
        <f t="shared" si="9"/>
        <v>147269.9684</v>
      </c>
      <c r="Q381" s="5">
        <f t="shared" si="7"/>
        <v>2175.432511</v>
      </c>
      <c r="R381" s="5">
        <f t="shared" si="8"/>
        <v>145094.5359</v>
      </c>
    </row>
    <row r="382" ht="15.75" customHeight="1">
      <c r="A382" s="4">
        <v>2017.0</v>
      </c>
      <c r="B382" s="4">
        <v>403.0</v>
      </c>
      <c r="C382" s="4" t="s">
        <v>21</v>
      </c>
      <c r="D382" s="5">
        <v>5289.607429193533</v>
      </c>
      <c r="E382" s="5">
        <f t="shared" si="1"/>
        <v>0</v>
      </c>
      <c r="F382" s="5">
        <f t="shared" si="2"/>
        <v>5289.607429</v>
      </c>
      <c r="G382" s="5">
        <v>19325.910018199724</v>
      </c>
      <c r="H382" s="5">
        <v>9075.36990411054</v>
      </c>
      <c r="I382" s="5">
        <v>10250.540114089184</v>
      </c>
      <c r="J382" s="5">
        <v>329190.53946057113</v>
      </c>
      <c r="K382" s="5">
        <f t="shared" si="3"/>
        <v>329190.5395</v>
      </c>
      <c r="L382" s="5">
        <f t="shared" si="4"/>
        <v>0</v>
      </c>
      <c r="M382" s="5">
        <v>12911.03810579185</v>
      </c>
      <c r="N382" s="5">
        <f t="shared" si="5"/>
        <v>0</v>
      </c>
      <c r="O382" s="5">
        <f t="shared" si="6"/>
        <v>12911.03811</v>
      </c>
      <c r="P382" s="5">
        <f t="shared" si="9"/>
        <v>366717.095</v>
      </c>
      <c r="Q382" s="5">
        <f t="shared" si="7"/>
        <v>28451.18565</v>
      </c>
      <c r="R382" s="5">
        <f t="shared" si="8"/>
        <v>338265.9094</v>
      </c>
    </row>
    <row r="383" ht="15.75" customHeight="1">
      <c r="A383" s="4">
        <v>2017.0</v>
      </c>
      <c r="B383" s="4">
        <v>404.0</v>
      </c>
      <c r="C383" s="4" t="s">
        <v>21</v>
      </c>
      <c r="D383" s="5">
        <v>1419.8408601843255</v>
      </c>
      <c r="E383" s="5">
        <f t="shared" si="1"/>
        <v>0</v>
      </c>
      <c r="F383" s="5">
        <f t="shared" si="2"/>
        <v>1419.84086</v>
      </c>
      <c r="G383" s="5">
        <v>7088.838889411292</v>
      </c>
      <c r="H383" s="5">
        <v>3959.216818846737</v>
      </c>
      <c r="I383" s="5">
        <v>3129.622070564555</v>
      </c>
      <c r="J383" s="5">
        <v>145632.60263686033</v>
      </c>
      <c r="K383" s="5">
        <f t="shared" si="3"/>
        <v>145632.6026</v>
      </c>
      <c r="L383" s="5">
        <f t="shared" si="4"/>
        <v>0</v>
      </c>
      <c r="M383" s="5">
        <v>548.8267690706757</v>
      </c>
      <c r="N383" s="5">
        <f t="shared" si="5"/>
        <v>0</v>
      </c>
      <c r="O383" s="5">
        <f t="shared" si="6"/>
        <v>548.8267691</v>
      </c>
      <c r="P383" s="5">
        <f t="shared" si="9"/>
        <v>154690.1092</v>
      </c>
      <c r="Q383" s="5">
        <f t="shared" si="7"/>
        <v>5098.2897</v>
      </c>
      <c r="R383" s="5">
        <f t="shared" si="8"/>
        <v>149591.8195</v>
      </c>
    </row>
    <row r="384" ht="15.75" customHeight="1">
      <c r="A384" s="4">
        <v>2017.0</v>
      </c>
      <c r="B384" s="4">
        <v>405.0</v>
      </c>
      <c r="C384" s="4" t="s">
        <v>21</v>
      </c>
      <c r="D384" s="5">
        <v>7329.739918584333</v>
      </c>
      <c r="E384" s="5">
        <f t="shared" si="1"/>
        <v>0</v>
      </c>
      <c r="F384" s="5">
        <f t="shared" si="2"/>
        <v>7329.739919</v>
      </c>
      <c r="G384" s="5">
        <v>3277.8867206418354</v>
      </c>
      <c r="H384" s="5">
        <v>1809.9797382793793</v>
      </c>
      <c r="I384" s="5">
        <v>1467.9069823624561</v>
      </c>
      <c r="J384" s="5">
        <v>54157.70981025909</v>
      </c>
      <c r="K384" s="5">
        <f t="shared" si="3"/>
        <v>54157.70981</v>
      </c>
      <c r="L384" s="5">
        <f t="shared" si="4"/>
        <v>0</v>
      </c>
      <c r="M384" s="5">
        <v>591.8511586904483</v>
      </c>
      <c r="N384" s="5">
        <f t="shared" si="5"/>
        <v>0</v>
      </c>
      <c r="O384" s="5">
        <f t="shared" si="6"/>
        <v>591.8511587</v>
      </c>
      <c r="P384" s="5">
        <f t="shared" si="9"/>
        <v>65357.18761</v>
      </c>
      <c r="Q384" s="5">
        <f t="shared" si="7"/>
        <v>9389.49806</v>
      </c>
      <c r="R384" s="5">
        <f t="shared" si="8"/>
        <v>55967.68955</v>
      </c>
    </row>
    <row r="385" ht="15.75" customHeight="1">
      <c r="A385" s="4">
        <v>2017.0</v>
      </c>
      <c r="B385" s="4">
        <v>406.0</v>
      </c>
      <c r="C385" s="4" t="s">
        <v>21</v>
      </c>
      <c r="D385" s="5" t="s">
        <v>19</v>
      </c>
      <c r="E385" s="5" t="str">
        <f t="shared" si="1"/>
        <v/>
      </c>
      <c r="F385" s="5" t="str">
        <f t="shared" si="2"/>
        <v/>
      </c>
      <c r="G385" s="5" t="s">
        <v>19</v>
      </c>
      <c r="H385" s="5" t="s">
        <v>19</v>
      </c>
      <c r="I385" s="5" t="s">
        <v>19</v>
      </c>
      <c r="J385" s="5">
        <v>84298.15428000878</v>
      </c>
      <c r="K385" s="5">
        <f t="shared" si="3"/>
        <v>84298.15428</v>
      </c>
      <c r="L385" s="5">
        <f t="shared" si="4"/>
        <v>0</v>
      </c>
      <c r="M385" s="5">
        <v>0.0</v>
      </c>
      <c r="N385" s="5">
        <f t="shared" si="5"/>
        <v>0</v>
      </c>
      <c r="O385" s="5">
        <f t="shared" si="6"/>
        <v>0</v>
      </c>
      <c r="P385" s="5">
        <f t="shared" si="9"/>
        <v>84298.15428</v>
      </c>
      <c r="Q385" s="5">
        <f t="shared" si="7"/>
        <v>0</v>
      </c>
      <c r="R385" s="5">
        <f t="shared" si="8"/>
        <v>84298.15428</v>
      </c>
    </row>
    <row r="386" ht="15.75" customHeight="1">
      <c r="A386" s="4">
        <v>2017.0</v>
      </c>
      <c r="B386" s="4">
        <v>407.0</v>
      </c>
      <c r="C386" s="4" t="s">
        <v>21</v>
      </c>
      <c r="D386" s="5">
        <v>1197.9233964529362</v>
      </c>
      <c r="E386" s="5">
        <f t="shared" si="1"/>
        <v>0</v>
      </c>
      <c r="F386" s="5">
        <f t="shared" si="2"/>
        <v>1197.923396</v>
      </c>
      <c r="G386" s="5">
        <v>1463.187024219811</v>
      </c>
      <c r="H386" s="5">
        <v>1104.718624228438</v>
      </c>
      <c r="I386" s="5">
        <v>358.46839999137296</v>
      </c>
      <c r="J386" s="5">
        <v>102135.73859150687</v>
      </c>
      <c r="K386" s="5">
        <f t="shared" si="3"/>
        <v>102135.7386</v>
      </c>
      <c r="L386" s="5">
        <f t="shared" si="4"/>
        <v>0</v>
      </c>
      <c r="M386" s="5">
        <v>52.451479931848155</v>
      </c>
      <c r="N386" s="5">
        <f t="shared" si="5"/>
        <v>0</v>
      </c>
      <c r="O386" s="5">
        <f t="shared" si="6"/>
        <v>52.45147993</v>
      </c>
      <c r="P386" s="5">
        <f t="shared" si="9"/>
        <v>104849.3005</v>
      </c>
      <c r="Q386" s="5">
        <f t="shared" si="7"/>
        <v>1608.843276</v>
      </c>
      <c r="R386" s="5">
        <f t="shared" si="8"/>
        <v>103240.4572</v>
      </c>
    </row>
    <row r="387" ht="15.75" customHeight="1">
      <c r="A387" s="4">
        <v>2017.0</v>
      </c>
      <c r="B387" s="4">
        <v>408.0</v>
      </c>
      <c r="C387" s="4" t="s">
        <v>21</v>
      </c>
      <c r="D387" s="5" t="s">
        <v>19</v>
      </c>
      <c r="E387" s="5" t="str">
        <f t="shared" si="1"/>
        <v/>
      </c>
      <c r="F387" s="5" t="str">
        <f t="shared" si="2"/>
        <v/>
      </c>
      <c r="G387" s="5">
        <v>856.4239840403734</v>
      </c>
      <c r="H387" s="5">
        <v>459.07803408458597</v>
      </c>
      <c r="I387" s="5">
        <v>397.34594995578743</v>
      </c>
      <c r="J387" s="5">
        <v>122242.49903434986</v>
      </c>
      <c r="K387" s="5">
        <f t="shared" si="3"/>
        <v>122242.499</v>
      </c>
      <c r="L387" s="5">
        <f t="shared" si="4"/>
        <v>0</v>
      </c>
      <c r="M387" s="5">
        <v>0.0</v>
      </c>
      <c r="N387" s="5">
        <f t="shared" si="5"/>
        <v>0</v>
      </c>
      <c r="O387" s="5">
        <f t="shared" si="6"/>
        <v>0</v>
      </c>
      <c r="P387" s="5">
        <f t="shared" si="9"/>
        <v>123098.923</v>
      </c>
      <c r="Q387" s="5">
        <f t="shared" si="7"/>
        <v>397.34595</v>
      </c>
      <c r="R387" s="5">
        <f t="shared" si="8"/>
        <v>122701.5771</v>
      </c>
    </row>
    <row r="388" ht="15.75" customHeight="1">
      <c r="A388" s="4">
        <v>2017.0</v>
      </c>
      <c r="B388" s="4">
        <v>409.0</v>
      </c>
      <c r="C388" s="4" t="s">
        <v>21</v>
      </c>
      <c r="D388" s="5">
        <v>2900.008797887864</v>
      </c>
      <c r="E388" s="5">
        <f t="shared" si="1"/>
        <v>0</v>
      </c>
      <c r="F388" s="5">
        <f t="shared" si="2"/>
        <v>2900.008798</v>
      </c>
      <c r="G388" s="5">
        <v>2956.184310393168</v>
      </c>
      <c r="H388" s="5">
        <v>1661.425266210883</v>
      </c>
      <c r="I388" s="5">
        <v>1294.759044182285</v>
      </c>
      <c r="J388" s="5">
        <v>85248.90080858837</v>
      </c>
      <c r="K388" s="5">
        <f t="shared" si="3"/>
        <v>85248.90081</v>
      </c>
      <c r="L388" s="5">
        <f t="shared" si="4"/>
        <v>0</v>
      </c>
      <c r="M388" s="5">
        <v>404.7269600146658</v>
      </c>
      <c r="N388" s="5">
        <f t="shared" si="5"/>
        <v>0</v>
      </c>
      <c r="O388" s="5">
        <f t="shared" si="6"/>
        <v>404.72696</v>
      </c>
      <c r="P388" s="5">
        <f t="shared" si="9"/>
        <v>91509.82088</v>
      </c>
      <c r="Q388" s="5">
        <f t="shared" si="7"/>
        <v>4599.494802</v>
      </c>
      <c r="R388" s="5">
        <f t="shared" si="8"/>
        <v>86910.32607</v>
      </c>
    </row>
    <row r="389" ht="15.75" customHeight="1">
      <c r="A389" s="4">
        <v>2017.0</v>
      </c>
      <c r="B389" s="4">
        <v>420.0</v>
      </c>
      <c r="C389" s="4" t="s">
        <v>21</v>
      </c>
      <c r="D389" s="5">
        <v>1128.9781650024076</v>
      </c>
      <c r="E389" s="5">
        <f t="shared" si="1"/>
        <v>0</v>
      </c>
      <c r="F389" s="5">
        <f t="shared" si="2"/>
        <v>1128.978165</v>
      </c>
      <c r="G389" s="5">
        <v>2270.713898028052</v>
      </c>
      <c r="H389" s="5">
        <v>1353.2699638944364</v>
      </c>
      <c r="I389" s="5">
        <v>917.4439341336156</v>
      </c>
      <c r="J389" s="5">
        <v>845.814429004824</v>
      </c>
      <c r="K389" s="5">
        <f t="shared" si="3"/>
        <v>845.814429</v>
      </c>
      <c r="L389" s="5">
        <f t="shared" si="4"/>
        <v>0</v>
      </c>
      <c r="M389" s="5">
        <v>12757.404885856326</v>
      </c>
      <c r="N389" s="5">
        <f t="shared" si="5"/>
        <v>0</v>
      </c>
      <c r="O389" s="5">
        <f t="shared" si="6"/>
        <v>12757.40489</v>
      </c>
      <c r="P389" s="5">
        <f t="shared" si="9"/>
        <v>17002.91138</v>
      </c>
      <c r="Q389" s="5">
        <f t="shared" si="7"/>
        <v>14803.82698</v>
      </c>
      <c r="R389" s="5">
        <f t="shared" si="8"/>
        <v>2199.084393</v>
      </c>
    </row>
    <row r="390" ht="15.75" customHeight="1">
      <c r="A390" s="4">
        <v>2017.0</v>
      </c>
      <c r="B390" s="4">
        <v>421.0</v>
      </c>
      <c r="C390" s="4" t="s">
        <v>21</v>
      </c>
      <c r="D390" s="5">
        <v>2930.17233664747</v>
      </c>
      <c r="E390" s="5">
        <f t="shared" si="1"/>
        <v>0</v>
      </c>
      <c r="F390" s="5">
        <f t="shared" si="2"/>
        <v>2930.172337</v>
      </c>
      <c r="G390" s="5">
        <v>762.8528840195253</v>
      </c>
      <c r="H390" s="5">
        <v>525.1988512232119</v>
      </c>
      <c r="I390" s="5">
        <v>237.65403279631334</v>
      </c>
      <c r="J390" s="5">
        <v>656.3320513943107</v>
      </c>
      <c r="K390" s="5">
        <f t="shared" si="3"/>
        <v>656.3320514</v>
      </c>
      <c r="L390" s="5">
        <f t="shared" si="4"/>
        <v>0</v>
      </c>
      <c r="M390" s="5">
        <v>47430.17217329139</v>
      </c>
      <c r="N390" s="5">
        <f t="shared" si="5"/>
        <v>0</v>
      </c>
      <c r="O390" s="5">
        <f t="shared" si="6"/>
        <v>47430.17217</v>
      </c>
      <c r="P390" s="5">
        <f t="shared" si="9"/>
        <v>51779.52945</v>
      </c>
      <c r="Q390" s="5">
        <f t="shared" si="7"/>
        <v>50597.99854</v>
      </c>
      <c r="R390" s="5">
        <f t="shared" si="8"/>
        <v>1181.530903</v>
      </c>
    </row>
    <row r="391" ht="15.75" customHeight="1">
      <c r="A391" s="4">
        <v>2017.0</v>
      </c>
      <c r="B391" s="4">
        <v>422.0</v>
      </c>
      <c r="C391" s="4" t="s">
        <v>21</v>
      </c>
      <c r="D391" s="5" t="s">
        <v>19</v>
      </c>
      <c r="E391" s="5" t="str">
        <f t="shared" si="1"/>
        <v/>
      </c>
      <c r="F391" s="5" t="str">
        <f t="shared" si="2"/>
        <v/>
      </c>
      <c r="G391" s="5" t="s">
        <v>19</v>
      </c>
      <c r="H391" s="5" t="s">
        <v>19</v>
      </c>
      <c r="I391" s="5" t="s">
        <v>19</v>
      </c>
      <c r="J391" s="5">
        <v>645.1127000884251</v>
      </c>
      <c r="K391" s="5">
        <f t="shared" si="3"/>
        <v>645.1127001</v>
      </c>
      <c r="L391" s="5">
        <f t="shared" si="4"/>
        <v>0</v>
      </c>
      <c r="M391" s="5">
        <v>46039.74723263856</v>
      </c>
      <c r="N391" s="5">
        <f t="shared" si="5"/>
        <v>0</v>
      </c>
      <c r="O391" s="5">
        <f t="shared" si="6"/>
        <v>46039.74723</v>
      </c>
      <c r="P391" s="5">
        <f t="shared" si="9"/>
        <v>46684.85993</v>
      </c>
      <c r="Q391" s="5">
        <f t="shared" si="7"/>
        <v>46039.74723</v>
      </c>
      <c r="R391" s="5">
        <f t="shared" si="8"/>
        <v>645.1127001</v>
      </c>
    </row>
    <row r="392" ht="15.75" customHeight="1">
      <c r="A392" s="4">
        <v>2017.0</v>
      </c>
      <c r="B392" s="4">
        <v>423.0</v>
      </c>
      <c r="C392" s="4" t="s">
        <v>21</v>
      </c>
      <c r="D392" s="5">
        <v>16824.791012411835</v>
      </c>
      <c r="E392" s="5">
        <f t="shared" si="1"/>
        <v>0</v>
      </c>
      <c r="F392" s="5">
        <f t="shared" si="2"/>
        <v>16824.79101</v>
      </c>
      <c r="G392" s="5">
        <v>1891.0884926779822</v>
      </c>
      <c r="H392" s="5">
        <v>880.0237747535964</v>
      </c>
      <c r="I392" s="5">
        <v>1011.0647179243858</v>
      </c>
      <c r="J392" s="5">
        <v>34202.036631668714</v>
      </c>
      <c r="K392" s="5">
        <f t="shared" si="3"/>
        <v>34202.03663</v>
      </c>
      <c r="L392" s="5">
        <f t="shared" si="4"/>
        <v>0</v>
      </c>
      <c r="M392" s="5">
        <v>93133.84718032333</v>
      </c>
      <c r="N392" s="5">
        <f t="shared" si="5"/>
        <v>0</v>
      </c>
      <c r="O392" s="5">
        <f t="shared" si="6"/>
        <v>93133.84718</v>
      </c>
      <c r="P392" s="5">
        <f t="shared" si="9"/>
        <v>146051.7633</v>
      </c>
      <c r="Q392" s="5">
        <f t="shared" si="7"/>
        <v>110969.7029</v>
      </c>
      <c r="R392" s="5">
        <f t="shared" si="8"/>
        <v>35082.06041</v>
      </c>
    </row>
    <row r="393" ht="15.75" customHeight="1">
      <c r="A393" s="4">
        <v>2017.0</v>
      </c>
      <c r="B393" s="4">
        <v>424.0</v>
      </c>
      <c r="C393" s="4" t="s">
        <v>21</v>
      </c>
      <c r="D393" s="5">
        <v>1322.8866284570197</v>
      </c>
      <c r="E393" s="5">
        <f t="shared" si="1"/>
        <v>0</v>
      </c>
      <c r="F393" s="5">
        <f t="shared" si="2"/>
        <v>1322.886628</v>
      </c>
      <c r="G393" s="5">
        <v>1400.6682804005723</v>
      </c>
      <c r="H393" s="5">
        <v>773.9903291105024</v>
      </c>
      <c r="I393" s="5">
        <v>626.6779512900698</v>
      </c>
      <c r="J393" s="5">
        <v>7361.14105125053</v>
      </c>
      <c r="K393" s="5">
        <f t="shared" si="3"/>
        <v>7361.141051</v>
      </c>
      <c r="L393" s="5">
        <f t="shared" si="4"/>
        <v>0</v>
      </c>
      <c r="M393" s="5">
        <v>33535.690082890855</v>
      </c>
      <c r="N393" s="5">
        <f t="shared" si="5"/>
        <v>0</v>
      </c>
      <c r="O393" s="5">
        <f t="shared" si="6"/>
        <v>33535.69008</v>
      </c>
      <c r="P393" s="5">
        <f t="shared" si="9"/>
        <v>43620.38604</v>
      </c>
      <c r="Q393" s="5">
        <f t="shared" si="7"/>
        <v>35485.25466</v>
      </c>
      <c r="R393" s="5">
        <f t="shared" si="8"/>
        <v>8135.13138</v>
      </c>
    </row>
    <row r="394" ht="15.75" customHeight="1">
      <c r="A394" s="4">
        <v>2017.0</v>
      </c>
      <c r="B394" s="4">
        <v>425.0</v>
      </c>
      <c r="C394" s="4" t="s">
        <v>21</v>
      </c>
      <c r="D394" s="5">
        <v>2852.178043569059</v>
      </c>
      <c r="E394" s="5">
        <f t="shared" si="1"/>
        <v>0</v>
      </c>
      <c r="F394" s="5">
        <f t="shared" si="2"/>
        <v>2852.178044</v>
      </c>
      <c r="G394" s="5" t="s">
        <v>19</v>
      </c>
      <c r="H394" s="5" t="s">
        <v>19</v>
      </c>
      <c r="I394" s="5" t="s">
        <v>19</v>
      </c>
      <c r="J394" s="5">
        <v>0.0</v>
      </c>
      <c r="K394" s="5">
        <f t="shared" si="3"/>
        <v>0</v>
      </c>
      <c r="L394" s="5">
        <f t="shared" si="4"/>
        <v>0</v>
      </c>
      <c r="M394" s="5">
        <v>51865.67486942551</v>
      </c>
      <c r="N394" s="5">
        <f t="shared" si="5"/>
        <v>0</v>
      </c>
      <c r="O394" s="5">
        <f t="shared" si="6"/>
        <v>51865.67487</v>
      </c>
      <c r="P394" s="5">
        <f t="shared" si="9"/>
        <v>54717.85291</v>
      </c>
      <c r="Q394" s="5">
        <f t="shared" si="7"/>
        <v>54717.85291</v>
      </c>
      <c r="R394" s="5">
        <f t="shared" si="8"/>
        <v>0</v>
      </c>
    </row>
    <row r="395" ht="15.75" customHeight="1">
      <c r="A395" s="4">
        <v>2017.0</v>
      </c>
      <c r="B395" s="4">
        <v>426.0</v>
      </c>
      <c r="C395" s="4" t="s">
        <v>21</v>
      </c>
      <c r="D395" s="5" t="s">
        <v>19</v>
      </c>
      <c r="E395" s="5" t="str">
        <f t="shared" si="1"/>
        <v/>
      </c>
      <c r="F395" s="5" t="str">
        <f t="shared" si="2"/>
        <v/>
      </c>
      <c r="G395" s="5" t="s">
        <v>19</v>
      </c>
      <c r="H395" s="5" t="s">
        <v>19</v>
      </c>
      <c r="I395" s="5" t="s">
        <v>19</v>
      </c>
      <c r="J395" s="5">
        <v>0.0</v>
      </c>
      <c r="K395" s="5">
        <f t="shared" si="3"/>
        <v>0</v>
      </c>
      <c r="L395" s="5">
        <f t="shared" si="4"/>
        <v>0</v>
      </c>
      <c r="M395" s="5">
        <v>46105.27614236422</v>
      </c>
      <c r="N395" s="5">
        <f t="shared" si="5"/>
        <v>0</v>
      </c>
      <c r="O395" s="5">
        <f t="shared" si="6"/>
        <v>46105.27614</v>
      </c>
      <c r="P395" s="5">
        <f t="shared" si="9"/>
        <v>46105.27614</v>
      </c>
      <c r="Q395" s="5">
        <f t="shared" si="7"/>
        <v>46105.27614</v>
      </c>
      <c r="R395" s="5">
        <f t="shared" si="8"/>
        <v>0</v>
      </c>
    </row>
    <row r="396" ht="15.75" customHeight="1">
      <c r="A396" s="4">
        <v>2017.0</v>
      </c>
      <c r="B396" s="4">
        <v>427.0</v>
      </c>
      <c r="C396" s="4" t="s">
        <v>21</v>
      </c>
      <c r="D396" s="5">
        <v>7814.941984917428</v>
      </c>
      <c r="E396" s="5">
        <f t="shared" si="1"/>
        <v>0</v>
      </c>
      <c r="F396" s="5">
        <f t="shared" si="2"/>
        <v>7814.941985</v>
      </c>
      <c r="G396" s="5">
        <v>5670.118839272183</v>
      </c>
      <c r="H396" s="5">
        <v>1586.121232264901</v>
      </c>
      <c r="I396" s="5">
        <v>4083.9976070072826</v>
      </c>
      <c r="J396" s="5">
        <v>0.0</v>
      </c>
      <c r="K396" s="5">
        <f t="shared" si="3"/>
        <v>0</v>
      </c>
      <c r="L396" s="5">
        <f t="shared" si="4"/>
        <v>0</v>
      </c>
      <c r="M396" s="5">
        <v>49913.466226551245</v>
      </c>
      <c r="N396" s="5">
        <f t="shared" si="5"/>
        <v>0</v>
      </c>
      <c r="O396" s="5">
        <f t="shared" si="6"/>
        <v>49913.46623</v>
      </c>
      <c r="P396" s="5">
        <f t="shared" si="9"/>
        <v>63398.52705</v>
      </c>
      <c r="Q396" s="5">
        <f t="shared" si="7"/>
        <v>61812.40582</v>
      </c>
      <c r="R396" s="5">
        <f t="shared" si="8"/>
        <v>1586.121232</v>
      </c>
    </row>
    <row r="397" ht="15.75" customHeight="1">
      <c r="A397" s="4">
        <v>2017.0</v>
      </c>
      <c r="B397" s="4">
        <v>428.0</v>
      </c>
      <c r="C397" s="4" t="s">
        <v>21</v>
      </c>
      <c r="D397" s="5" t="s">
        <v>19</v>
      </c>
      <c r="E397" s="5" t="str">
        <f t="shared" si="1"/>
        <v/>
      </c>
      <c r="F397" s="5" t="str">
        <f t="shared" si="2"/>
        <v/>
      </c>
      <c r="G397" s="5" t="s">
        <v>19</v>
      </c>
      <c r="H397" s="5" t="s">
        <v>19</v>
      </c>
      <c r="I397" s="5" t="s">
        <v>19</v>
      </c>
      <c r="J397" s="5">
        <v>0.0</v>
      </c>
      <c r="K397" s="5">
        <f t="shared" si="3"/>
        <v>0</v>
      </c>
      <c r="L397" s="5">
        <f t="shared" si="4"/>
        <v>0</v>
      </c>
      <c r="M397" s="5">
        <v>10964.131315213417</v>
      </c>
      <c r="N397" s="5">
        <f t="shared" si="5"/>
        <v>0</v>
      </c>
      <c r="O397" s="5">
        <f t="shared" si="6"/>
        <v>10964.13132</v>
      </c>
      <c r="P397" s="5">
        <f t="shared" si="9"/>
        <v>10964.13132</v>
      </c>
      <c r="Q397" s="5">
        <f t="shared" si="7"/>
        <v>10964.13132</v>
      </c>
      <c r="R397" s="5">
        <f t="shared" si="8"/>
        <v>0</v>
      </c>
    </row>
    <row r="398" ht="15.75" customHeight="1">
      <c r="A398" s="4">
        <v>2017.0</v>
      </c>
      <c r="B398" s="4">
        <v>429.0</v>
      </c>
      <c r="C398" s="4" t="s">
        <v>21</v>
      </c>
      <c r="D398" s="5">
        <v>8004.110463709816</v>
      </c>
      <c r="E398" s="5">
        <f t="shared" si="1"/>
        <v>0</v>
      </c>
      <c r="F398" s="5">
        <f t="shared" si="2"/>
        <v>8004.110464</v>
      </c>
      <c r="G398" s="5">
        <v>6553.082237079531</v>
      </c>
      <c r="H398" s="5">
        <v>2917.886404411183</v>
      </c>
      <c r="I398" s="5">
        <v>3635.1958326683484</v>
      </c>
      <c r="J398" s="5">
        <v>1887.8116815389537</v>
      </c>
      <c r="K398" s="5">
        <f t="shared" si="3"/>
        <v>1887.811682</v>
      </c>
      <c r="L398" s="5">
        <f t="shared" si="4"/>
        <v>0</v>
      </c>
      <c r="M398" s="5">
        <v>3470.3033208963298</v>
      </c>
      <c r="N398" s="5">
        <f t="shared" si="5"/>
        <v>0</v>
      </c>
      <c r="O398" s="5">
        <f t="shared" si="6"/>
        <v>3470.303321</v>
      </c>
      <c r="P398" s="5">
        <f t="shared" si="9"/>
        <v>19915.3077</v>
      </c>
      <c r="Q398" s="5">
        <f t="shared" si="7"/>
        <v>15109.60962</v>
      </c>
      <c r="R398" s="5">
        <f t="shared" si="8"/>
        <v>4805.698086</v>
      </c>
    </row>
    <row r="399" ht="15.75" customHeight="1">
      <c r="A399" s="4">
        <v>2017.0</v>
      </c>
      <c r="B399" s="4">
        <v>500.0</v>
      </c>
      <c r="C399" s="4" t="s">
        <v>22</v>
      </c>
      <c r="D399" s="5">
        <v>4645.803765932665</v>
      </c>
      <c r="E399" s="5">
        <f t="shared" si="1"/>
        <v>0</v>
      </c>
      <c r="F399" s="5">
        <f t="shared" si="2"/>
        <v>4645.803766</v>
      </c>
      <c r="G399" s="5">
        <v>22724.811821266565</v>
      </c>
      <c r="H399" s="5">
        <v>10434.514253743686</v>
      </c>
      <c r="I399" s="5">
        <v>12290.297567522879</v>
      </c>
      <c r="J399" s="5">
        <v>93056.08431730542</v>
      </c>
      <c r="K399" s="5">
        <f t="shared" si="3"/>
        <v>93056.08432</v>
      </c>
      <c r="L399" s="5">
        <f t="shared" si="4"/>
        <v>0</v>
      </c>
      <c r="M399" s="5">
        <v>5622.557880425013</v>
      </c>
      <c r="N399" s="5">
        <f t="shared" si="5"/>
        <v>0</v>
      </c>
      <c r="O399" s="5">
        <f t="shared" si="6"/>
        <v>5622.55788</v>
      </c>
      <c r="P399" s="5">
        <f t="shared" si="9"/>
        <v>126049.2578</v>
      </c>
      <c r="Q399" s="5">
        <f t="shared" si="7"/>
        <v>22558.65921</v>
      </c>
      <c r="R399" s="5">
        <f t="shared" si="8"/>
        <v>103490.5986</v>
      </c>
    </row>
    <row r="400" ht="15.75" customHeight="1">
      <c r="A400" s="4">
        <v>2017.0</v>
      </c>
      <c r="B400" s="4">
        <v>501.0</v>
      </c>
      <c r="C400" s="4" t="s">
        <v>22</v>
      </c>
      <c r="D400" s="5" t="s">
        <v>19</v>
      </c>
      <c r="E400" s="5" t="str">
        <f t="shared" si="1"/>
        <v/>
      </c>
      <c r="F400" s="5" t="str">
        <f t="shared" si="2"/>
        <v/>
      </c>
      <c r="G400" s="5" t="s">
        <v>19</v>
      </c>
      <c r="H400" s="5" t="s">
        <v>19</v>
      </c>
      <c r="I400" s="5" t="s">
        <v>19</v>
      </c>
      <c r="J400" s="5">
        <v>53403.864134691685</v>
      </c>
      <c r="K400" s="5">
        <f t="shared" si="3"/>
        <v>53403.86413</v>
      </c>
      <c r="L400" s="5">
        <f t="shared" si="4"/>
        <v>0</v>
      </c>
      <c r="M400" s="5">
        <v>665.705137608644</v>
      </c>
      <c r="N400" s="5">
        <f t="shared" si="5"/>
        <v>0</v>
      </c>
      <c r="O400" s="5">
        <f t="shared" si="6"/>
        <v>665.7051376</v>
      </c>
      <c r="P400" s="5">
        <f t="shared" si="9"/>
        <v>54069.56927</v>
      </c>
      <c r="Q400" s="5">
        <f t="shared" si="7"/>
        <v>665.7051376</v>
      </c>
      <c r="R400" s="5">
        <f t="shared" si="8"/>
        <v>53403.86413</v>
      </c>
    </row>
    <row r="401" ht="15.75" customHeight="1">
      <c r="A401" s="4">
        <v>2017.0</v>
      </c>
      <c r="B401" s="4">
        <v>502.0</v>
      </c>
      <c r="C401" s="4" t="s">
        <v>22</v>
      </c>
      <c r="D401" s="5" t="s">
        <v>19</v>
      </c>
      <c r="E401" s="5" t="str">
        <f t="shared" si="1"/>
        <v/>
      </c>
      <c r="F401" s="5" t="str">
        <f t="shared" si="2"/>
        <v/>
      </c>
      <c r="G401" s="5" t="s">
        <v>19</v>
      </c>
      <c r="H401" s="5" t="s">
        <v>19</v>
      </c>
      <c r="I401" s="5" t="s">
        <v>19</v>
      </c>
      <c r="J401" s="5">
        <v>1964.8434640836515</v>
      </c>
      <c r="K401" s="5">
        <f t="shared" si="3"/>
        <v>1964.843464</v>
      </c>
      <c r="L401" s="5">
        <f t="shared" si="4"/>
        <v>0</v>
      </c>
      <c r="M401" s="5">
        <v>973.0525836262857</v>
      </c>
      <c r="N401" s="5">
        <f t="shared" si="5"/>
        <v>0</v>
      </c>
      <c r="O401" s="5">
        <f t="shared" si="6"/>
        <v>973.0525836</v>
      </c>
      <c r="P401" s="5">
        <f t="shared" si="9"/>
        <v>2937.896048</v>
      </c>
      <c r="Q401" s="5">
        <f t="shared" si="7"/>
        <v>973.0525836</v>
      </c>
      <c r="R401" s="5">
        <f t="shared" si="8"/>
        <v>1964.843464</v>
      </c>
    </row>
    <row r="402" ht="15.75" customHeight="1">
      <c r="A402" s="4">
        <v>2017.0</v>
      </c>
      <c r="B402" s="4">
        <v>503.0</v>
      </c>
      <c r="C402" s="4" t="s">
        <v>22</v>
      </c>
      <c r="D402" s="5" t="s">
        <v>19</v>
      </c>
      <c r="E402" s="5" t="str">
        <f t="shared" si="1"/>
        <v/>
      </c>
      <c r="F402" s="5" t="str">
        <f t="shared" si="2"/>
        <v/>
      </c>
      <c r="G402" s="5" t="s">
        <v>19</v>
      </c>
      <c r="H402" s="5" t="s">
        <v>19</v>
      </c>
      <c r="I402" s="5" t="s">
        <v>19</v>
      </c>
      <c r="J402" s="5">
        <v>901.729146721447</v>
      </c>
      <c r="K402" s="5">
        <f t="shared" si="3"/>
        <v>901.7291467</v>
      </c>
      <c r="L402" s="5">
        <f t="shared" si="4"/>
        <v>0</v>
      </c>
      <c r="M402" s="5">
        <v>1858.9448036678377</v>
      </c>
      <c r="N402" s="5">
        <f t="shared" si="5"/>
        <v>0</v>
      </c>
      <c r="O402" s="5">
        <f t="shared" si="6"/>
        <v>1858.944804</v>
      </c>
      <c r="P402" s="5">
        <f t="shared" si="9"/>
        <v>2760.67395</v>
      </c>
      <c r="Q402" s="5">
        <f t="shared" si="7"/>
        <v>1858.944804</v>
      </c>
      <c r="R402" s="5">
        <f t="shared" si="8"/>
        <v>901.7291467</v>
      </c>
    </row>
    <row r="403" ht="15.75" customHeight="1">
      <c r="A403" s="4">
        <v>2017.0</v>
      </c>
      <c r="B403" s="4">
        <v>504.0</v>
      </c>
      <c r="C403" s="4" t="s">
        <v>22</v>
      </c>
      <c r="D403" s="5">
        <v>3675.2792491319237</v>
      </c>
      <c r="E403" s="5">
        <f t="shared" si="1"/>
        <v>0</v>
      </c>
      <c r="F403" s="5">
        <f t="shared" si="2"/>
        <v>3675.279249</v>
      </c>
      <c r="G403" s="5">
        <v>6195.310714966104</v>
      </c>
      <c r="H403" s="5">
        <v>4077.0618607342863</v>
      </c>
      <c r="I403" s="5">
        <v>2118.2488542318174</v>
      </c>
      <c r="J403" s="5">
        <v>12029.7823625585</v>
      </c>
      <c r="K403" s="5">
        <f t="shared" si="3"/>
        <v>12029.78236</v>
      </c>
      <c r="L403" s="5">
        <f t="shared" si="4"/>
        <v>0</v>
      </c>
      <c r="M403" s="5">
        <v>18260.539117111657</v>
      </c>
      <c r="N403" s="5">
        <f t="shared" si="5"/>
        <v>0</v>
      </c>
      <c r="O403" s="5">
        <f t="shared" si="6"/>
        <v>18260.53912</v>
      </c>
      <c r="P403" s="5">
        <f t="shared" si="9"/>
        <v>40160.91144</v>
      </c>
      <c r="Q403" s="5">
        <f t="shared" si="7"/>
        <v>24054.06722</v>
      </c>
      <c r="R403" s="5">
        <f t="shared" si="8"/>
        <v>16106.84422</v>
      </c>
    </row>
    <row r="404" ht="15.75" customHeight="1">
      <c r="A404" s="4">
        <v>2017.0</v>
      </c>
      <c r="B404" s="4">
        <v>505.0</v>
      </c>
      <c r="C404" s="4" t="s">
        <v>22</v>
      </c>
      <c r="D404" s="5">
        <v>6879.4470010999175</v>
      </c>
      <c r="E404" s="5">
        <f t="shared" si="1"/>
        <v>0</v>
      </c>
      <c r="F404" s="5">
        <f t="shared" si="2"/>
        <v>6879.447001</v>
      </c>
      <c r="G404" s="5">
        <v>35685.73902506093</v>
      </c>
      <c r="H404" s="5">
        <v>10882.433241098197</v>
      </c>
      <c r="I404" s="5">
        <v>24803.305783962736</v>
      </c>
      <c r="J404" s="5">
        <v>11272.421582770792</v>
      </c>
      <c r="K404" s="5">
        <f t="shared" si="3"/>
        <v>11272.42158</v>
      </c>
      <c r="L404" s="5">
        <f t="shared" si="4"/>
        <v>0</v>
      </c>
      <c r="M404" s="5">
        <v>5371.793227816479</v>
      </c>
      <c r="N404" s="5">
        <f t="shared" si="5"/>
        <v>0</v>
      </c>
      <c r="O404" s="5">
        <f t="shared" si="6"/>
        <v>5371.793228</v>
      </c>
      <c r="P404" s="5">
        <f t="shared" si="9"/>
        <v>59209.40084</v>
      </c>
      <c r="Q404" s="5">
        <f t="shared" si="7"/>
        <v>37054.54601</v>
      </c>
      <c r="R404" s="5">
        <f t="shared" si="8"/>
        <v>22154.85482</v>
      </c>
    </row>
    <row r="405" ht="15.75" customHeight="1">
      <c r="A405" s="4">
        <v>2017.0</v>
      </c>
      <c r="B405" s="4">
        <v>506.0</v>
      </c>
      <c r="C405" s="4" t="s">
        <v>22</v>
      </c>
      <c r="D405" s="5">
        <v>1772.1107148402953</v>
      </c>
      <c r="E405" s="5">
        <f t="shared" si="1"/>
        <v>0</v>
      </c>
      <c r="F405" s="5">
        <f t="shared" si="2"/>
        <v>1772.110715</v>
      </c>
      <c r="G405" s="5">
        <v>17092.521952394305</v>
      </c>
      <c r="H405" s="5">
        <v>5916.193911043056</v>
      </c>
      <c r="I405" s="5">
        <v>11176.32804135125</v>
      </c>
      <c r="J405" s="5">
        <v>7513.871390176922</v>
      </c>
      <c r="K405" s="5">
        <f t="shared" si="3"/>
        <v>7513.87139</v>
      </c>
      <c r="L405" s="5">
        <f t="shared" si="4"/>
        <v>0</v>
      </c>
      <c r="M405" s="5">
        <v>5196.7580714373</v>
      </c>
      <c r="N405" s="5">
        <f t="shared" si="5"/>
        <v>0</v>
      </c>
      <c r="O405" s="5">
        <f t="shared" si="6"/>
        <v>5196.758071</v>
      </c>
      <c r="P405" s="5">
        <f t="shared" si="9"/>
        <v>31575.26213</v>
      </c>
      <c r="Q405" s="5">
        <f t="shared" si="7"/>
        <v>18145.19683</v>
      </c>
      <c r="R405" s="5">
        <f t="shared" si="8"/>
        <v>13430.0653</v>
      </c>
    </row>
    <row r="406" ht="15.75" customHeight="1">
      <c r="A406" s="4">
        <v>2017.0</v>
      </c>
      <c r="B406" s="4">
        <v>507.0</v>
      </c>
      <c r="C406" s="4" t="s">
        <v>22</v>
      </c>
      <c r="D406" s="5" t="s">
        <v>19</v>
      </c>
      <c r="E406" s="5" t="str">
        <f t="shared" si="1"/>
        <v/>
      </c>
      <c r="F406" s="5" t="str">
        <f t="shared" si="2"/>
        <v/>
      </c>
      <c r="G406" s="5" t="s">
        <v>19</v>
      </c>
      <c r="H406" s="5" t="s">
        <v>19</v>
      </c>
      <c r="I406" s="5" t="s">
        <v>19</v>
      </c>
      <c r="J406" s="5">
        <v>0.0</v>
      </c>
      <c r="K406" s="5">
        <f t="shared" si="3"/>
        <v>0</v>
      </c>
      <c r="L406" s="5">
        <f t="shared" si="4"/>
        <v>0</v>
      </c>
      <c r="M406" s="5">
        <v>0.0</v>
      </c>
      <c r="N406" s="5">
        <f t="shared" si="5"/>
        <v>0</v>
      </c>
      <c r="O406" s="5">
        <f t="shared" si="6"/>
        <v>0</v>
      </c>
      <c r="P406" s="5">
        <f t="shared" si="9"/>
        <v>0</v>
      </c>
      <c r="Q406" s="5">
        <f t="shared" si="7"/>
        <v>0</v>
      </c>
      <c r="R406" s="5">
        <f t="shared" si="8"/>
        <v>0</v>
      </c>
    </row>
    <row r="407" ht="15.75" customHeight="1">
      <c r="A407" s="4">
        <v>2017.0</v>
      </c>
      <c r="B407" s="4">
        <v>508.0</v>
      </c>
      <c r="C407" s="4" t="s">
        <v>22</v>
      </c>
      <c r="D407" s="5">
        <v>20490.302270364686</v>
      </c>
      <c r="E407" s="5">
        <f t="shared" si="1"/>
        <v>0</v>
      </c>
      <c r="F407" s="5">
        <f t="shared" si="2"/>
        <v>20490.30227</v>
      </c>
      <c r="G407" s="5" t="s">
        <v>19</v>
      </c>
      <c r="H407" s="5" t="s">
        <v>19</v>
      </c>
      <c r="I407" s="5" t="s">
        <v>19</v>
      </c>
      <c r="J407" s="5">
        <v>0.0</v>
      </c>
      <c r="K407" s="5">
        <f t="shared" si="3"/>
        <v>0</v>
      </c>
      <c r="L407" s="5">
        <f t="shared" si="4"/>
        <v>0</v>
      </c>
      <c r="M407" s="5">
        <v>30393.96186873207</v>
      </c>
      <c r="N407" s="5">
        <f t="shared" si="5"/>
        <v>0</v>
      </c>
      <c r="O407" s="5">
        <f t="shared" si="6"/>
        <v>30393.96187</v>
      </c>
      <c r="P407" s="5">
        <f t="shared" si="9"/>
        <v>50884.26414</v>
      </c>
      <c r="Q407" s="5">
        <f t="shared" si="7"/>
        <v>50884.26414</v>
      </c>
      <c r="R407" s="5">
        <f t="shared" si="8"/>
        <v>0</v>
      </c>
    </row>
    <row r="408" ht="15.75" customHeight="1">
      <c r="A408" s="4">
        <v>2017.0</v>
      </c>
      <c r="B408" s="4">
        <v>520.0</v>
      </c>
      <c r="C408" s="4" t="s">
        <v>22</v>
      </c>
      <c r="D408" s="5">
        <v>3533.1185247104604</v>
      </c>
      <c r="E408" s="5">
        <f t="shared" si="1"/>
        <v>0</v>
      </c>
      <c r="F408" s="5">
        <f t="shared" si="2"/>
        <v>3533.118525</v>
      </c>
      <c r="G408" s="5">
        <v>8812.681191724</v>
      </c>
      <c r="H408" s="5">
        <v>6463.187916046615</v>
      </c>
      <c r="I408" s="5">
        <v>2349.493275677384</v>
      </c>
      <c r="J408" s="5">
        <v>11941.79224851367</v>
      </c>
      <c r="K408" s="5">
        <f t="shared" si="3"/>
        <v>11941.79225</v>
      </c>
      <c r="L408" s="5">
        <f t="shared" si="4"/>
        <v>0</v>
      </c>
      <c r="M408" s="5">
        <v>242146.0643942674</v>
      </c>
      <c r="N408" s="5">
        <f t="shared" si="5"/>
        <v>0</v>
      </c>
      <c r="O408" s="5">
        <f t="shared" si="6"/>
        <v>242146.0644</v>
      </c>
      <c r="P408" s="5">
        <f t="shared" si="9"/>
        <v>266433.6564</v>
      </c>
      <c r="Q408" s="5">
        <f t="shared" si="7"/>
        <v>248028.6762</v>
      </c>
      <c r="R408" s="5">
        <f t="shared" si="8"/>
        <v>18404.98016</v>
      </c>
    </row>
    <row r="409" ht="15.75" customHeight="1">
      <c r="A409" s="4">
        <v>2017.0</v>
      </c>
      <c r="B409" s="4">
        <v>521.0</v>
      </c>
      <c r="C409" s="4" t="s">
        <v>22</v>
      </c>
      <c r="D409" s="5">
        <v>3727.0928056591956</v>
      </c>
      <c r="E409" s="5">
        <f t="shared" si="1"/>
        <v>0</v>
      </c>
      <c r="F409" s="5">
        <f t="shared" si="2"/>
        <v>3727.092806</v>
      </c>
      <c r="G409" s="5">
        <v>10069.85158374131</v>
      </c>
      <c r="H409" s="5">
        <v>6065.222719103386</v>
      </c>
      <c r="I409" s="5">
        <v>4004.6288646379244</v>
      </c>
      <c r="J409" s="5">
        <v>18365.232023536857</v>
      </c>
      <c r="K409" s="5">
        <f t="shared" si="3"/>
        <v>18365.23202</v>
      </c>
      <c r="L409" s="5">
        <f t="shared" si="4"/>
        <v>0</v>
      </c>
      <c r="M409" s="5">
        <v>12850.438195070485</v>
      </c>
      <c r="N409" s="5">
        <f t="shared" si="5"/>
        <v>0</v>
      </c>
      <c r="O409" s="5">
        <f t="shared" si="6"/>
        <v>12850.4382</v>
      </c>
      <c r="P409" s="5">
        <f t="shared" si="9"/>
        <v>45012.61461</v>
      </c>
      <c r="Q409" s="5">
        <f t="shared" si="7"/>
        <v>20582.15987</v>
      </c>
      <c r="R409" s="5">
        <f t="shared" si="8"/>
        <v>24430.45474</v>
      </c>
    </row>
    <row r="410" ht="15.75" customHeight="1">
      <c r="A410" s="4">
        <v>2017.0</v>
      </c>
      <c r="B410" s="4">
        <v>522.0</v>
      </c>
      <c r="C410" s="4" t="s">
        <v>22</v>
      </c>
      <c r="D410" s="5" t="s">
        <v>19</v>
      </c>
      <c r="E410" s="5" t="str">
        <f t="shared" si="1"/>
        <v/>
      </c>
      <c r="F410" s="5" t="str">
        <f t="shared" si="2"/>
        <v/>
      </c>
      <c r="G410" s="5" t="s">
        <v>19</v>
      </c>
      <c r="H410" s="5" t="s">
        <v>19</v>
      </c>
      <c r="I410" s="5" t="s">
        <v>19</v>
      </c>
      <c r="J410" s="5">
        <v>0.0</v>
      </c>
      <c r="K410" s="5">
        <f t="shared" si="3"/>
        <v>0</v>
      </c>
      <c r="L410" s="5">
        <f t="shared" si="4"/>
        <v>0</v>
      </c>
      <c r="M410" s="5">
        <v>6599.897039309564</v>
      </c>
      <c r="N410" s="5">
        <f t="shared" si="5"/>
        <v>0</v>
      </c>
      <c r="O410" s="5">
        <f t="shared" si="6"/>
        <v>6599.897039</v>
      </c>
      <c r="P410" s="5">
        <f t="shared" si="9"/>
        <v>6599.897039</v>
      </c>
      <c r="Q410" s="5">
        <f t="shared" si="7"/>
        <v>6599.897039</v>
      </c>
      <c r="R410" s="5">
        <f t="shared" si="8"/>
        <v>0</v>
      </c>
    </row>
    <row r="411" ht="15.75" customHeight="1">
      <c r="A411" s="4">
        <v>2017.0</v>
      </c>
      <c r="B411" s="4">
        <v>523.0</v>
      </c>
      <c r="C411" s="4" t="s">
        <v>22</v>
      </c>
      <c r="D411" s="5">
        <v>2181.3942706019357</v>
      </c>
      <c r="E411" s="5">
        <f t="shared" si="1"/>
        <v>0</v>
      </c>
      <c r="F411" s="5">
        <f t="shared" si="2"/>
        <v>2181.394271</v>
      </c>
      <c r="G411" s="5" t="s">
        <v>19</v>
      </c>
      <c r="H411" s="5" t="s">
        <v>19</v>
      </c>
      <c r="I411" s="5" t="s">
        <v>19</v>
      </c>
      <c r="J411" s="5">
        <v>0.0</v>
      </c>
      <c r="K411" s="5">
        <f t="shared" si="3"/>
        <v>0</v>
      </c>
      <c r="L411" s="5">
        <f t="shared" si="4"/>
        <v>0</v>
      </c>
      <c r="M411" s="5">
        <v>70010.63329146446</v>
      </c>
      <c r="N411" s="5">
        <f t="shared" si="5"/>
        <v>0</v>
      </c>
      <c r="O411" s="5">
        <f t="shared" si="6"/>
        <v>70010.63329</v>
      </c>
      <c r="P411" s="5">
        <f t="shared" si="9"/>
        <v>72192.02756</v>
      </c>
      <c r="Q411" s="5">
        <f t="shared" si="7"/>
        <v>72192.02756</v>
      </c>
      <c r="R411" s="5">
        <f t="shared" si="8"/>
        <v>0</v>
      </c>
    </row>
    <row r="412" ht="15.75" customHeight="1">
      <c r="A412" s="4">
        <v>2017.0</v>
      </c>
      <c r="B412" s="4">
        <v>524.0</v>
      </c>
      <c r="C412" s="4" t="s">
        <v>22</v>
      </c>
      <c r="D412" s="5">
        <v>7699.755744775376</v>
      </c>
      <c r="E412" s="5">
        <f t="shared" si="1"/>
        <v>0</v>
      </c>
      <c r="F412" s="5">
        <f t="shared" si="2"/>
        <v>7699.755745</v>
      </c>
      <c r="G412" s="5">
        <v>38361.5970647587</v>
      </c>
      <c r="H412" s="5">
        <v>13531.899028195343</v>
      </c>
      <c r="I412" s="5">
        <v>24829.698036563357</v>
      </c>
      <c r="J412" s="5">
        <v>15851.13650811281</v>
      </c>
      <c r="K412" s="5">
        <f t="shared" si="3"/>
        <v>15851.13651</v>
      </c>
      <c r="L412" s="5">
        <f t="shared" si="4"/>
        <v>0</v>
      </c>
      <c r="M412" s="5">
        <v>269742.1785919296</v>
      </c>
      <c r="N412" s="5">
        <f t="shared" si="5"/>
        <v>0</v>
      </c>
      <c r="O412" s="5">
        <f t="shared" si="6"/>
        <v>269742.1786</v>
      </c>
      <c r="P412" s="5">
        <f t="shared" si="9"/>
        <v>331654.6679</v>
      </c>
      <c r="Q412" s="5">
        <f t="shared" si="7"/>
        <v>302271.6324</v>
      </c>
      <c r="R412" s="5">
        <f t="shared" si="8"/>
        <v>29383.03554</v>
      </c>
    </row>
    <row r="413" ht="15.75" customHeight="1">
      <c r="A413" s="4">
        <v>2017.0</v>
      </c>
      <c r="B413" s="4">
        <v>525.0</v>
      </c>
      <c r="C413" s="4" t="s">
        <v>22</v>
      </c>
      <c r="D413" s="5" t="s">
        <v>19</v>
      </c>
      <c r="E413" s="5" t="str">
        <f t="shared" si="1"/>
        <v/>
      </c>
      <c r="F413" s="5" t="str">
        <f t="shared" si="2"/>
        <v/>
      </c>
      <c r="G413" s="5">
        <v>9734.744906398948</v>
      </c>
      <c r="H413" s="5">
        <v>2612.5832385101476</v>
      </c>
      <c r="I413" s="5">
        <v>7122.1616678888</v>
      </c>
      <c r="J413" s="5">
        <v>0.0</v>
      </c>
      <c r="K413" s="5">
        <f t="shared" si="3"/>
        <v>0</v>
      </c>
      <c r="L413" s="5">
        <f t="shared" si="4"/>
        <v>0</v>
      </c>
      <c r="M413" s="5">
        <v>9721.952685746324</v>
      </c>
      <c r="N413" s="5">
        <f t="shared" si="5"/>
        <v>0</v>
      </c>
      <c r="O413" s="5">
        <f t="shared" si="6"/>
        <v>9721.952686</v>
      </c>
      <c r="P413" s="5">
        <f t="shared" si="9"/>
        <v>19456.69759</v>
      </c>
      <c r="Q413" s="5">
        <f t="shared" si="7"/>
        <v>16844.11435</v>
      </c>
      <c r="R413" s="5">
        <f t="shared" si="8"/>
        <v>2612.583239</v>
      </c>
    </row>
    <row r="414" ht="15.75" customHeight="1">
      <c r="A414" s="4">
        <v>2017.0</v>
      </c>
      <c r="B414" s="4">
        <v>526.0</v>
      </c>
      <c r="C414" s="4" t="s">
        <v>22</v>
      </c>
      <c r="D414" s="5" t="s">
        <v>19</v>
      </c>
      <c r="E414" s="5" t="str">
        <f t="shared" si="1"/>
        <v/>
      </c>
      <c r="F414" s="5" t="str">
        <f t="shared" si="2"/>
        <v/>
      </c>
      <c r="G414" s="5" t="s">
        <v>19</v>
      </c>
      <c r="H414" s="5" t="s">
        <v>19</v>
      </c>
      <c r="I414" s="5" t="s">
        <v>19</v>
      </c>
      <c r="J414" s="5">
        <v>0.0</v>
      </c>
      <c r="K414" s="5">
        <f t="shared" si="3"/>
        <v>0</v>
      </c>
      <c r="L414" s="5">
        <f t="shared" si="4"/>
        <v>0</v>
      </c>
      <c r="M414" s="5">
        <v>2071.8447081616946</v>
      </c>
      <c r="N414" s="5">
        <f t="shared" si="5"/>
        <v>0</v>
      </c>
      <c r="O414" s="5">
        <f t="shared" si="6"/>
        <v>2071.844708</v>
      </c>
      <c r="P414" s="5">
        <f t="shared" si="9"/>
        <v>2071.844708</v>
      </c>
      <c r="Q414" s="5">
        <f t="shared" si="7"/>
        <v>2071.844708</v>
      </c>
      <c r="R414" s="5">
        <f t="shared" si="8"/>
        <v>0</v>
      </c>
    </row>
    <row r="415" ht="15.75" customHeight="1">
      <c r="A415" s="4">
        <v>2017.0</v>
      </c>
      <c r="B415" s="4">
        <v>527.0</v>
      </c>
      <c r="C415" s="4" t="s">
        <v>22</v>
      </c>
      <c r="D415" s="5" t="s">
        <v>19</v>
      </c>
      <c r="E415" s="5" t="str">
        <f t="shared" si="1"/>
        <v/>
      </c>
      <c r="F415" s="5" t="str">
        <f t="shared" si="2"/>
        <v/>
      </c>
      <c r="G415" s="5" t="s">
        <v>19</v>
      </c>
      <c r="H415" s="5" t="s">
        <v>19</v>
      </c>
      <c r="I415" s="5" t="s">
        <v>19</v>
      </c>
      <c r="J415" s="5">
        <v>0.0</v>
      </c>
      <c r="K415" s="5">
        <f t="shared" si="3"/>
        <v>0</v>
      </c>
      <c r="L415" s="5">
        <f t="shared" si="4"/>
        <v>0</v>
      </c>
      <c r="M415" s="5">
        <v>1776.0710153413702</v>
      </c>
      <c r="N415" s="5">
        <f t="shared" si="5"/>
        <v>0</v>
      </c>
      <c r="O415" s="5">
        <f t="shared" si="6"/>
        <v>1776.071015</v>
      </c>
      <c r="P415" s="5">
        <f t="shared" si="9"/>
        <v>1776.071015</v>
      </c>
      <c r="Q415" s="5">
        <f t="shared" si="7"/>
        <v>1776.071015</v>
      </c>
      <c r="R415" s="5">
        <f t="shared" si="8"/>
        <v>0</v>
      </c>
    </row>
    <row r="416" ht="15.75" customHeight="1">
      <c r="A416" s="4">
        <v>2017.0</v>
      </c>
      <c r="B416" s="4">
        <v>528.0</v>
      </c>
      <c r="C416" s="4" t="s">
        <v>22</v>
      </c>
      <c r="D416" s="5" t="s">
        <v>19</v>
      </c>
      <c r="E416" s="5" t="str">
        <f t="shared" si="1"/>
        <v/>
      </c>
      <c r="F416" s="5" t="str">
        <f t="shared" si="2"/>
        <v/>
      </c>
      <c r="G416" s="5" t="s">
        <v>19</v>
      </c>
      <c r="H416" s="5" t="s">
        <v>19</v>
      </c>
      <c r="I416" s="5" t="s">
        <v>19</v>
      </c>
      <c r="J416" s="5">
        <v>0.0</v>
      </c>
      <c r="K416" s="5">
        <f t="shared" si="3"/>
        <v>0</v>
      </c>
      <c r="L416" s="5">
        <f t="shared" si="4"/>
        <v>0</v>
      </c>
      <c r="M416" s="5">
        <v>17582.102850985968</v>
      </c>
      <c r="N416" s="5">
        <f t="shared" si="5"/>
        <v>0</v>
      </c>
      <c r="O416" s="5">
        <f t="shared" si="6"/>
        <v>17582.10285</v>
      </c>
      <c r="P416" s="5">
        <f t="shared" si="9"/>
        <v>17582.10285</v>
      </c>
      <c r="Q416" s="5">
        <f t="shared" si="7"/>
        <v>17582.10285</v>
      </c>
      <c r="R416" s="5">
        <f t="shared" si="8"/>
        <v>0</v>
      </c>
    </row>
    <row r="417" ht="15.75" customHeight="1">
      <c r="A417" s="4">
        <v>2016.0</v>
      </c>
      <c r="B417" s="4">
        <v>100.0</v>
      </c>
      <c r="C417" s="4" t="s">
        <v>18</v>
      </c>
      <c r="D417" s="5">
        <v>15337.037534677904</v>
      </c>
      <c r="E417" s="5">
        <f t="shared" si="1"/>
        <v>0</v>
      </c>
      <c r="F417" s="5">
        <f t="shared" si="2"/>
        <v>15337.03753</v>
      </c>
      <c r="G417" s="5">
        <v>2214.6783039875745</v>
      </c>
      <c r="H417" s="5">
        <v>990.2552828079324</v>
      </c>
      <c r="I417" s="5">
        <v>1224.423021179642</v>
      </c>
      <c r="J417" s="5">
        <v>22693.510821959873</v>
      </c>
      <c r="K417" s="5">
        <f t="shared" si="3"/>
        <v>22693.51082</v>
      </c>
      <c r="L417" s="5">
        <f t="shared" si="4"/>
        <v>0</v>
      </c>
      <c r="M417" s="5">
        <v>49279.18801264478</v>
      </c>
      <c r="N417" s="5">
        <f t="shared" si="5"/>
        <v>0</v>
      </c>
      <c r="O417" s="5">
        <f t="shared" si="6"/>
        <v>49279.18801</v>
      </c>
      <c r="P417" s="5">
        <f t="shared" si="9"/>
        <v>89524.41467</v>
      </c>
      <c r="Q417" s="5">
        <f t="shared" si="7"/>
        <v>65840.64857</v>
      </c>
      <c r="R417" s="5">
        <f t="shared" si="8"/>
        <v>23683.7661</v>
      </c>
    </row>
    <row r="418" ht="15.75" customHeight="1">
      <c r="A418" s="4">
        <v>2016.0</v>
      </c>
      <c r="B418" s="4">
        <v>101.0</v>
      </c>
      <c r="C418" s="4" t="s">
        <v>18</v>
      </c>
      <c r="D418" s="5">
        <v>17583.439238357056</v>
      </c>
      <c r="E418" s="5">
        <f t="shared" si="1"/>
        <v>0</v>
      </c>
      <c r="F418" s="5">
        <f t="shared" si="2"/>
        <v>17583.43924</v>
      </c>
      <c r="G418" s="5">
        <v>10811.33461488802</v>
      </c>
      <c r="H418" s="5">
        <v>6023.376485837403</v>
      </c>
      <c r="I418" s="5">
        <v>4787.958129050616</v>
      </c>
      <c r="J418" s="5">
        <v>350086.9722928762</v>
      </c>
      <c r="K418" s="5">
        <f t="shared" si="3"/>
        <v>350086.9723</v>
      </c>
      <c r="L418" s="5">
        <f t="shared" si="4"/>
        <v>0</v>
      </c>
      <c r="M418" s="5">
        <v>134194.60787004227</v>
      </c>
      <c r="N418" s="5">
        <f t="shared" si="5"/>
        <v>0</v>
      </c>
      <c r="O418" s="5">
        <f t="shared" si="6"/>
        <v>134194.6079</v>
      </c>
      <c r="P418" s="5">
        <f t="shared" si="9"/>
        <v>512676.354</v>
      </c>
      <c r="Q418" s="5">
        <f t="shared" si="7"/>
        <v>156566.0052</v>
      </c>
      <c r="R418" s="5">
        <f t="shared" si="8"/>
        <v>356110.3488</v>
      </c>
    </row>
    <row r="419" ht="15.75" customHeight="1">
      <c r="A419" s="4">
        <v>2016.0</v>
      </c>
      <c r="B419" s="4">
        <v>102.0</v>
      </c>
      <c r="C419" s="4" t="s">
        <v>18</v>
      </c>
      <c r="D419" s="5">
        <v>19540.242957486866</v>
      </c>
      <c r="E419" s="5">
        <f t="shared" si="1"/>
        <v>0</v>
      </c>
      <c r="F419" s="5">
        <f t="shared" si="2"/>
        <v>19540.24296</v>
      </c>
      <c r="G419" s="5">
        <v>52616.01407863794</v>
      </c>
      <c r="H419" s="5">
        <v>25366.90588537645</v>
      </c>
      <c r="I419" s="5">
        <v>27249.10819326149</v>
      </c>
      <c r="J419" s="5">
        <v>13553.298954291244</v>
      </c>
      <c r="K419" s="5">
        <f t="shared" si="3"/>
        <v>13553.29895</v>
      </c>
      <c r="L419" s="5">
        <f t="shared" si="4"/>
        <v>0</v>
      </c>
      <c r="M419" s="5">
        <v>25600.515262562352</v>
      </c>
      <c r="N419" s="5">
        <f t="shared" si="5"/>
        <v>0</v>
      </c>
      <c r="O419" s="5">
        <f t="shared" si="6"/>
        <v>25600.51526</v>
      </c>
      <c r="P419" s="5">
        <f t="shared" si="9"/>
        <v>111310.0713</v>
      </c>
      <c r="Q419" s="5">
        <f t="shared" si="7"/>
        <v>72389.86641</v>
      </c>
      <c r="R419" s="5">
        <f t="shared" si="8"/>
        <v>38920.20484</v>
      </c>
    </row>
    <row r="420" ht="15.75" customHeight="1">
      <c r="A420" s="4">
        <v>2016.0</v>
      </c>
      <c r="B420" s="4">
        <v>103.0</v>
      </c>
      <c r="C420" s="4" t="s">
        <v>18</v>
      </c>
      <c r="D420" s="5">
        <v>11808.111258247674</v>
      </c>
      <c r="E420" s="5">
        <f t="shared" si="1"/>
        <v>0</v>
      </c>
      <c r="F420" s="5">
        <f t="shared" si="2"/>
        <v>11808.11126</v>
      </c>
      <c r="G420" s="5" t="s">
        <v>19</v>
      </c>
      <c r="H420" s="5" t="s">
        <v>19</v>
      </c>
      <c r="I420" s="5" t="s">
        <v>19</v>
      </c>
      <c r="J420" s="5">
        <v>0.0</v>
      </c>
      <c r="K420" s="5">
        <f t="shared" si="3"/>
        <v>0</v>
      </c>
      <c r="L420" s="5">
        <f t="shared" si="4"/>
        <v>0</v>
      </c>
      <c r="M420" s="5">
        <v>3162.0887100231503</v>
      </c>
      <c r="N420" s="5">
        <f t="shared" si="5"/>
        <v>0</v>
      </c>
      <c r="O420" s="5">
        <f t="shared" si="6"/>
        <v>3162.08871</v>
      </c>
      <c r="P420" s="5">
        <f t="shared" si="9"/>
        <v>14970.19997</v>
      </c>
      <c r="Q420" s="5">
        <f t="shared" si="7"/>
        <v>14970.19997</v>
      </c>
      <c r="R420" s="5">
        <f t="shared" si="8"/>
        <v>0</v>
      </c>
    </row>
    <row r="421" ht="15.75" customHeight="1">
      <c r="A421" s="4">
        <v>2016.0</v>
      </c>
      <c r="B421" s="4">
        <v>104.0</v>
      </c>
      <c r="C421" s="4" t="s">
        <v>18</v>
      </c>
      <c r="D421" s="5">
        <v>8730.079181290703</v>
      </c>
      <c r="E421" s="5">
        <f t="shared" si="1"/>
        <v>0</v>
      </c>
      <c r="F421" s="5">
        <f t="shared" si="2"/>
        <v>8730.079181</v>
      </c>
      <c r="G421" s="5" t="s">
        <v>19</v>
      </c>
      <c r="H421" s="5" t="s">
        <v>19</v>
      </c>
      <c r="I421" s="5" t="s">
        <v>19</v>
      </c>
      <c r="J421" s="5">
        <v>6874.923568216616</v>
      </c>
      <c r="K421" s="5">
        <f t="shared" si="3"/>
        <v>6874.923568</v>
      </c>
      <c r="L421" s="5">
        <f t="shared" si="4"/>
        <v>0</v>
      </c>
      <c r="M421" s="5">
        <v>18644.966402874743</v>
      </c>
      <c r="N421" s="5">
        <f t="shared" si="5"/>
        <v>0</v>
      </c>
      <c r="O421" s="5">
        <f t="shared" si="6"/>
        <v>18644.9664</v>
      </c>
      <c r="P421" s="5">
        <f t="shared" si="9"/>
        <v>34249.96915</v>
      </c>
      <c r="Q421" s="5">
        <f t="shared" si="7"/>
        <v>27375.04558</v>
      </c>
      <c r="R421" s="5">
        <f t="shared" si="8"/>
        <v>6874.923568</v>
      </c>
    </row>
    <row r="422" ht="15.75" customHeight="1">
      <c r="A422" s="4">
        <v>2016.0</v>
      </c>
      <c r="B422" s="4">
        <v>105.0</v>
      </c>
      <c r="C422" s="4" t="s">
        <v>18</v>
      </c>
      <c r="D422" s="5">
        <v>21732.84936991845</v>
      </c>
      <c r="E422" s="5">
        <f t="shared" si="1"/>
        <v>0</v>
      </c>
      <c r="F422" s="5">
        <f t="shared" si="2"/>
        <v>21732.84937</v>
      </c>
      <c r="G422" s="5">
        <v>2776.2589522267563</v>
      </c>
      <c r="H422" s="5">
        <v>1282.0578194887876</v>
      </c>
      <c r="I422" s="5">
        <v>1494.2011327379687</v>
      </c>
      <c r="J422" s="5">
        <v>14728.325240390044</v>
      </c>
      <c r="K422" s="5">
        <f t="shared" si="3"/>
        <v>14728.32524</v>
      </c>
      <c r="L422" s="5">
        <f t="shared" si="4"/>
        <v>0</v>
      </c>
      <c r="M422" s="5">
        <v>12050.781564828314</v>
      </c>
      <c r="N422" s="5">
        <f t="shared" si="5"/>
        <v>0</v>
      </c>
      <c r="O422" s="5">
        <f t="shared" si="6"/>
        <v>12050.78156</v>
      </c>
      <c r="P422" s="5">
        <f t="shared" si="9"/>
        <v>51288.21513</v>
      </c>
      <c r="Q422" s="5">
        <f t="shared" si="7"/>
        <v>35277.83207</v>
      </c>
      <c r="R422" s="5">
        <f t="shared" si="8"/>
        <v>16010.38306</v>
      </c>
    </row>
    <row r="423" ht="15.75" customHeight="1">
      <c r="A423" s="4">
        <v>2016.0</v>
      </c>
      <c r="B423" s="4">
        <v>106.0</v>
      </c>
      <c r="C423" s="4" t="s">
        <v>18</v>
      </c>
      <c r="D423" s="5">
        <v>6366.2244250543945</v>
      </c>
      <c r="E423" s="5">
        <f t="shared" si="1"/>
        <v>0</v>
      </c>
      <c r="F423" s="5">
        <f t="shared" si="2"/>
        <v>6366.224425</v>
      </c>
      <c r="G423" s="5">
        <v>3991.821572495036</v>
      </c>
      <c r="H423" s="5">
        <v>1910.9775146543195</v>
      </c>
      <c r="I423" s="5">
        <v>2080.8440578407162</v>
      </c>
      <c r="J423" s="5">
        <v>44097.75213683616</v>
      </c>
      <c r="K423" s="5">
        <f t="shared" si="3"/>
        <v>44097.75214</v>
      </c>
      <c r="L423" s="5">
        <f t="shared" si="4"/>
        <v>0</v>
      </c>
      <c r="M423" s="5">
        <v>57486.75692378334</v>
      </c>
      <c r="N423" s="5">
        <f t="shared" si="5"/>
        <v>0</v>
      </c>
      <c r="O423" s="5">
        <f t="shared" si="6"/>
        <v>57486.75692</v>
      </c>
      <c r="P423" s="5">
        <f t="shared" si="9"/>
        <v>111942.5551</v>
      </c>
      <c r="Q423" s="5">
        <f t="shared" si="7"/>
        <v>65933.82541</v>
      </c>
      <c r="R423" s="5">
        <f t="shared" si="8"/>
        <v>46008.72965</v>
      </c>
    </row>
    <row r="424" ht="15.75" customHeight="1">
      <c r="A424" s="4">
        <v>2016.0</v>
      </c>
      <c r="B424" s="4">
        <v>107.0</v>
      </c>
      <c r="C424" s="4" t="s">
        <v>18</v>
      </c>
      <c r="D424" s="5">
        <v>10027.442288544238</v>
      </c>
      <c r="E424" s="5">
        <f t="shared" si="1"/>
        <v>0</v>
      </c>
      <c r="F424" s="5">
        <f t="shared" si="2"/>
        <v>10027.44229</v>
      </c>
      <c r="G424" s="5">
        <v>1718.0739290983813</v>
      </c>
      <c r="H424" s="5">
        <v>510.9497858885411</v>
      </c>
      <c r="I424" s="5">
        <v>1207.1241432098402</v>
      </c>
      <c r="J424" s="5">
        <v>19493.15946579096</v>
      </c>
      <c r="K424" s="5">
        <f t="shared" si="3"/>
        <v>19493.15947</v>
      </c>
      <c r="L424" s="5">
        <f t="shared" si="4"/>
        <v>0</v>
      </c>
      <c r="M424" s="5">
        <v>23426.78077029135</v>
      </c>
      <c r="N424" s="5">
        <f t="shared" si="5"/>
        <v>0</v>
      </c>
      <c r="O424" s="5">
        <f t="shared" si="6"/>
        <v>23426.78077</v>
      </c>
      <c r="P424" s="5">
        <f t="shared" si="9"/>
        <v>54665.45645</v>
      </c>
      <c r="Q424" s="5">
        <f t="shared" si="7"/>
        <v>34661.3472</v>
      </c>
      <c r="R424" s="5">
        <f t="shared" si="8"/>
        <v>20004.10925</v>
      </c>
    </row>
    <row r="425" ht="15.75" customHeight="1">
      <c r="A425" s="4">
        <v>2016.0</v>
      </c>
      <c r="B425" s="4">
        <v>108.0</v>
      </c>
      <c r="C425" s="4" t="s">
        <v>18</v>
      </c>
      <c r="D425" s="5">
        <v>3034.9510145495565</v>
      </c>
      <c r="E425" s="5">
        <f t="shared" si="1"/>
        <v>0</v>
      </c>
      <c r="F425" s="5">
        <f t="shared" si="2"/>
        <v>3034.951015</v>
      </c>
      <c r="G425" s="5" t="s">
        <v>19</v>
      </c>
      <c r="H425" s="5" t="s">
        <v>19</v>
      </c>
      <c r="I425" s="5" t="s">
        <v>19</v>
      </c>
      <c r="J425" s="5">
        <v>3869.9727154484654</v>
      </c>
      <c r="K425" s="5">
        <f t="shared" si="3"/>
        <v>3869.972715</v>
      </c>
      <c r="L425" s="5">
        <f t="shared" si="4"/>
        <v>0</v>
      </c>
      <c r="M425" s="5">
        <v>50605.2522606869</v>
      </c>
      <c r="N425" s="5">
        <f t="shared" si="5"/>
        <v>0</v>
      </c>
      <c r="O425" s="5">
        <f t="shared" si="6"/>
        <v>50605.25226</v>
      </c>
      <c r="P425" s="5">
        <f t="shared" si="9"/>
        <v>57510.17599</v>
      </c>
      <c r="Q425" s="5">
        <f t="shared" si="7"/>
        <v>53640.20328</v>
      </c>
      <c r="R425" s="5">
        <f t="shared" si="8"/>
        <v>3869.972715</v>
      </c>
    </row>
    <row r="426" ht="15.75" customHeight="1">
      <c r="A426" s="4">
        <v>2016.0</v>
      </c>
      <c r="B426" s="4">
        <v>120.0</v>
      </c>
      <c r="C426" s="4" t="s">
        <v>18</v>
      </c>
      <c r="D426" s="5">
        <v>12591.684504677689</v>
      </c>
      <c r="E426" s="5">
        <f t="shared" si="1"/>
        <v>0</v>
      </c>
      <c r="F426" s="5">
        <f t="shared" si="2"/>
        <v>12591.6845</v>
      </c>
      <c r="G426" s="5">
        <v>3912.4998881457004</v>
      </c>
      <c r="H426" s="5">
        <v>1775.8774969486956</v>
      </c>
      <c r="I426" s="5">
        <v>2136.6223911970046</v>
      </c>
      <c r="J426" s="5">
        <v>133.7865504069627</v>
      </c>
      <c r="K426" s="5">
        <f t="shared" si="3"/>
        <v>133.7865504</v>
      </c>
      <c r="L426" s="5">
        <f t="shared" si="4"/>
        <v>0</v>
      </c>
      <c r="M426" s="5">
        <v>42926.26680081172</v>
      </c>
      <c r="N426" s="5">
        <f t="shared" si="5"/>
        <v>0</v>
      </c>
      <c r="O426" s="5">
        <f t="shared" si="6"/>
        <v>42926.2668</v>
      </c>
      <c r="P426" s="5">
        <f t="shared" si="9"/>
        <v>59564.23774</v>
      </c>
      <c r="Q426" s="5">
        <f t="shared" si="7"/>
        <v>57654.5737</v>
      </c>
      <c r="R426" s="5">
        <f t="shared" si="8"/>
        <v>1909.664047</v>
      </c>
    </row>
    <row r="427" ht="15.75" customHeight="1">
      <c r="A427" s="4">
        <v>2016.0</v>
      </c>
      <c r="B427" s="4">
        <v>121.0</v>
      </c>
      <c r="C427" s="4" t="s">
        <v>18</v>
      </c>
      <c r="D427" s="5">
        <v>34410.158046498495</v>
      </c>
      <c r="E427" s="5">
        <f t="shared" si="1"/>
        <v>0</v>
      </c>
      <c r="F427" s="5">
        <f t="shared" si="2"/>
        <v>34410.15805</v>
      </c>
      <c r="G427" s="5">
        <v>7487.0387701008785</v>
      </c>
      <c r="H427" s="5">
        <v>3160.631582238697</v>
      </c>
      <c r="I427" s="5">
        <v>4326.407187862182</v>
      </c>
      <c r="J427" s="5">
        <v>60263.13511535983</v>
      </c>
      <c r="K427" s="5">
        <f t="shared" si="3"/>
        <v>60263.13512</v>
      </c>
      <c r="L427" s="5">
        <f t="shared" si="4"/>
        <v>0</v>
      </c>
      <c r="M427" s="5">
        <v>574110.2518082964</v>
      </c>
      <c r="N427" s="5">
        <f t="shared" si="5"/>
        <v>0</v>
      </c>
      <c r="O427" s="5">
        <f t="shared" si="6"/>
        <v>574110.2518</v>
      </c>
      <c r="P427" s="5">
        <f t="shared" si="9"/>
        <v>676270.5837</v>
      </c>
      <c r="Q427" s="5">
        <f t="shared" si="7"/>
        <v>612846.817</v>
      </c>
      <c r="R427" s="5">
        <f t="shared" si="8"/>
        <v>63423.7667</v>
      </c>
    </row>
    <row r="428" ht="15.75" customHeight="1">
      <c r="A428" s="4">
        <v>2016.0</v>
      </c>
      <c r="B428" s="4">
        <v>122.0</v>
      </c>
      <c r="C428" s="4" t="s">
        <v>18</v>
      </c>
      <c r="D428" s="5">
        <v>103130.32523895631</v>
      </c>
      <c r="E428" s="5">
        <f t="shared" si="1"/>
        <v>0</v>
      </c>
      <c r="F428" s="5">
        <f t="shared" si="2"/>
        <v>103130.3252</v>
      </c>
      <c r="G428" s="5">
        <v>34969.04893017531</v>
      </c>
      <c r="H428" s="5">
        <v>11308.82502986835</v>
      </c>
      <c r="I428" s="5">
        <v>23660.223900306963</v>
      </c>
      <c r="J428" s="5">
        <v>3370.0766465871548</v>
      </c>
      <c r="K428" s="5">
        <f t="shared" si="3"/>
        <v>3370.076647</v>
      </c>
      <c r="L428" s="5">
        <f t="shared" si="4"/>
        <v>0</v>
      </c>
      <c r="M428" s="5">
        <v>107583.02914091677</v>
      </c>
      <c r="N428" s="5">
        <f t="shared" si="5"/>
        <v>0</v>
      </c>
      <c r="O428" s="5">
        <f t="shared" si="6"/>
        <v>107583.0291</v>
      </c>
      <c r="P428" s="5">
        <f t="shared" si="9"/>
        <v>249052.48</v>
      </c>
      <c r="Q428" s="5">
        <f t="shared" si="7"/>
        <v>234373.5783</v>
      </c>
      <c r="R428" s="5">
        <f t="shared" si="8"/>
        <v>14678.90168</v>
      </c>
    </row>
    <row r="429" ht="15.75" customHeight="1">
      <c r="A429" s="4">
        <v>2016.0</v>
      </c>
      <c r="B429" s="4">
        <v>123.0</v>
      </c>
      <c r="C429" s="4" t="s">
        <v>18</v>
      </c>
      <c r="D429" s="5" t="s">
        <v>19</v>
      </c>
      <c r="E429" s="5" t="str">
        <f t="shared" si="1"/>
        <v/>
      </c>
      <c r="F429" s="5" t="str">
        <f t="shared" si="2"/>
        <v/>
      </c>
      <c r="G429" s="5" t="s">
        <v>19</v>
      </c>
      <c r="H429" s="5" t="s">
        <v>19</v>
      </c>
      <c r="I429" s="5" t="s">
        <v>19</v>
      </c>
      <c r="J429" s="5">
        <v>0.0</v>
      </c>
      <c r="K429" s="5">
        <f t="shared" si="3"/>
        <v>0</v>
      </c>
      <c r="L429" s="5">
        <f t="shared" si="4"/>
        <v>0</v>
      </c>
      <c r="M429" s="5">
        <v>1251.3114945457473</v>
      </c>
      <c r="N429" s="5">
        <f t="shared" si="5"/>
        <v>0</v>
      </c>
      <c r="O429" s="5">
        <f t="shared" si="6"/>
        <v>1251.311495</v>
      </c>
      <c r="P429" s="5">
        <f t="shared" si="9"/>
        <v>1251.311495</v>
      </c>
      <c r="Q429" s="5">
        <f t="shared" si="7"/>
        <v>1251.311495</v>
      </c>
      <c r="R429" s="5">
        <f t="shared" si="8"/>
        <v>0</v>
      </c>
    </row>
    <row r="430" ht="15.75" customHeight="1">
      <c r="A430" s="4">
        <v>2016.0</v>
      </c>
      <c r="B430" s="4">
        <v>124.0</v>
      </c>
      <c r="C430" s="4" t="s">
        <v>18</v>
      </c>
      <c r="D430" s="5">
        <v>4910.6135027143055</v>
      </c>
      <c r="E430" s="5">
        <f t="shared" si="1"/>
        <v>0</v>
      </c>
      <c r="F430" s="5">
        <f t="shared" si="2"/>
        <v>4910.613503</v>
      </c>
      <c r="G430" s="5">
        <v>272.1408851346896</v>
      </c>
      <c r="H430" s="5">
        <v>104.04642213056506</v>
      </c>
      <c r="I430" s="5">
        <v>168.09446300412452</v>
      </c>
      <c r="J430" s="5">
        <v>0.0</v>
      </c>
      <c r="K430" s="5">
        <f t="shared" si="3"/>
        <v>0</v>
      </c>
      <c r="L430" s="5">
        <f t="shared" si="4"/>
        <v>0</v>
      </c>
      <c r="M430" s="5">
        <v>31096.2007119466</v>
      </c>
      <c r="N430" s="5">
        <f t="shared" si="5"/>
        <v>0</v>
      </c>
      <c r="O430" s="5">
        <f t="shared" si="6"/>
        <v>31096.20071</v>
      </c>
      <c r="P430" s="5">
        <f t="shared" si="9"/>
        <v>36278.9551</v>
      </c>
      <c r="Q430" s="5">
        <f t="shared" si="7"/>
        <v>36174.90868</v>
      </c>
      <c r="R430" s="5">
        <f t="shared" si="8"/>
        <v>104.0464221</v>
      </c>
    </row>
    <row r="431" ht="15.75" customHeight="1">
      <c r="A431" s="4">
        <v>2016.0</v>
      </c>
      <c r="B431" s="4">
        <v>125.0</v>
      </c>
      <c r="C431" s="4" t="s">
        <v>18</v>
      </c>
      <c r="D431" s="5">
        <v>12503.460227031695</v>
      </c>
      <c r="E431" s="5">
        <f t="shared" si="1"/>
        <v>0</v>
      </c>
      <c r="F431" s="5">
        <f t="shared" si="2"/>
        <v>12503.46023</v>
      </c>
      <c r="G431" s="5">
        <v>2096.1177013164934</v>
      </c>
      <c r="H431" s="5">
        <v>1002.2379202309176</v>
      </c>
      <c r="I431" s="5">
        <v>1093.8797810855758</v>
      </c>
      <c r="J431" s="5">
        <v>2922.645891610928</v>
      </c>
      <c r="K431" s="5">
        <f t="shared" si="3"/>
        <v>2922.645892</v>
      </c>
      <c r="L431" s="5">
        <f t="shared" si="4"/>
        <v>0</v>
      </c>
      <c r="M431" s="5">
        <v>265307.91432653356</v>
      </c>
      <c r="N431" s="5">
        <f t="shared" si="5"/>
        <v>0</v>
      </c>
      <c r="O431" s="5">
        <f t="shared" si="6"/>
        <v>265307.9143</v>
      </c>
      <c r="P431" s="5">
        <f t="shared" si="9"/>
        <v>282830.1381</v>
      </c>
      <c r="Q431" s="5">
        <f t="shared" si="7"/>
        <v>278905.2543</v>
      </c>
      <c r="R431" s="5">
        <f t="shared" si="8"/>
        <v>3924.883812</v>
      </c>
    </row>
    <row r="432" ht="15.75" customHeight="1">
      <c r="A432" s="4">
        <v>2016.0</v>
      </c>
      <c r="B432" s="4">
        <v>126.0</v>
      </c>
      <c r="C432" s="4" t="s">
        <v>18</v>
      </c>
      <c r="D432" s="5">
        <v>14084.055542703605</v>
      </c>
      <c r="E432" s="5">
        <f t="shared" si="1"/>
        <v>0</v>
      </c>
      <c r="F432" s="5">
        <f t="shared" si="2"/>
        <v>14084.05554</v>
      </c>
      <c r="G432" s="5">
        <v>1213.0310771507484</v>
      </c>
      <c r="H432" s="5">
        <v>602.0853381196933</v>
      </c>
      <c r="I432" s="5">
        <v>610.945739031055</v>
      </c>
      <c r="J432" s="5">
        <v>7076.259210250626</v>
      </c>
      <c r="K432" s="5">
        <f t="shared" si="3"/>
        <v>7076.25921</v>
      </c>
      <c r="L432" s="5">
        <f t="shared" si="4"/>
        <v>0</v>
      </c>
      <c r="M432" s="5">
        <v>219086.46821034257</v>
      </c>
      <c r="N432" s="5">
        <f t="shared" si="5"/>
        <v>0</v>
      </c>
      <c r="O432" s="5">
        <f t="shared" si="6"/>
        <v>219086.4682</v>
      </c>
      <c r="P432" s="5">
        <f t="shared" si="9"/>
        <v>241459.814</v>
      </c>
      <c r="Q432" s="5">
        <f t="shared" si="7"/>
        <v>233781.4695</v>
      </c>
      <c r="R432" s="5">
        <f t="shared" si="8"/>
        <v>7678.344548</v>
      </c>
    </row>
    <row r="433" ht="15.75" customHeight="1">
      <c r="A433" s="4">
        <v>2016.0</v>
      </c>
      <c r="B433" s="4">
        <v>127.0</v>
      </c>
      <c r="C433" s="4" t="s">
        <v>18</v>
      </c>
      <c r="D433" s="5">
        <v>6121.007555784289</v>
      </c>
      <c r="E433" s="5">
        <f t="shared" si="1"/>
        <v>0</v>
      </c>
      <c r="F433" s="5">
        <f t="shared" si="2"/>
        <v>6121.007556</v>
      </c>
      <c r="G433" s="5" t="s">
        <v>19</v>
      </c>
      <c r="H433" s="5" t="s">
        <v>19</v>
      </c>
      <c r="I433" s="5" t="s">
        <v>19</v>
      </c>
      <c r="J433" s="5">
        <v>0.0</v>
      </c>
      <c r="K433" s="5">
        <f t="shared" si="3"/>
        <v>0</v>
      </c>
      <c r="L433" s="5">
        <f t="shared" si="4"/>
        <v>0</v>
      </c>
      <c r="M433" s="5">
        <v>77675.43263740759</v>
      </c>
      <c r="N433" s="5">
        <f t="shared" si="5"/>
        <v>0</v>
      </c>
      <c r="O433" s="5">
        <f t="shared" si="6"/>
        <v>77675.43264</v>
      </c>
      <c r="P433" s="5">
        <f t="shared" si="9"/>
        <v>83796.44019</v>
      </c>
      <c r="Q433" s="5">
        <f t="shared" si="7"/>
        <v>83796.44019</v>
      </c>
      <c r="R433" s="5">
        <f t="shared" si="8"/>
        <v>0</v>
      </c>
    </row>
    <row r="434" ht="15.75" customHeight="1">
      <c r="A434" s="4">
        <v>2016.0</v>
      </c>
      <c r="B434" s="4">
        <v>128.0</v>
      </c>
      <c r="C434" s="4" t="s">
        <v>18</v>
      </c>
      <c r="D434" s="5">
        <v>3656.7349225525454</v>
      </c>
      <c r="E434" s="5">
        <f t="shared" si="1"/>
        <v>0</v>
      </c>
      <c r="F434" s="5">
        <f t="shared" si="2"/>
        <v>3656.734923</v>
      </c>
      <c r="G434" s="5">
        <v>1731.1535685389636</v>
      </c>
      <c r="H434" s="5">
        <v>1022.152726088836</v>
      </c>
      <c r="I434" s="5">
        <v>709.0008424501276</v>
      </c>
      <c r="J434" s="5">
        <v>0.0</v>
      </c>
      <c r="K434" s="5">
        <f t="shared" si="3"/>
        <v>0</v>
      </c>
      <c r="L434" s="5">
        <f t="shared" si="4"/>
        <v>0</v>
      </c>
      <c r="M434" s="5">
        <v>29828.120037311615</v>
      </c>
      <c r="N434" s="5">
        <f t="shared" si="5"/>
        <v>0</v>
      </c>
      <c r="O434" s="5">
        <f t="shared" si="6"/>
        <v>29828.12004</v>
      </c>
      <c r="P434" s="5">
        <f t="shared" si="9"/>
        <v>35216.00853</v>
      </c>
      <c r="Q434" s="5">
        <f t="shared" si="7"/>
        <v>34193.8558</v>
      </c>
      <c r="R434" s="5">
        <f t="shared" si="8"/>
        <v>1022.152726</v>
      </c>
    </row>
    <row r="435" ht="15.75" customHeight="1">
      <c r="A435" s="4">
        <v>2016.0</v>
      </c>
      <c r="B435" s="4">
        <v>300.0</v>
      </c>
      <c r="C435" s="4" t="s">
        <v>20</v>
      </c>
      <c r="D435" s="5" t="s">
        <v>19</v>
      </c>
      <c r="E435" s="5" t="str">
        <f t="shared" si="1"/>
        <v/>
      </c>
      <c r="F435" s="5" t="str">
        <f t="shared" si="2"/>
        <v/>
      </c>
      <c r="G435" s="5">
        <v>7455.569327293606</v>
      </c>
      <c r="H435" s="5">
        <v>4784.304062108514</v>
      </c>
      <c r="I435" s="5">
        <v>2671.265265185092</v>
      </c>
      <c r="J435" s="5">
        <v>488868.16256716894</v>
      </c>
      <c r="K435" s="5">
        <f t="shared" si="3"/>
        <v>488868.1626</v>
      </c>
      <c r="L435" s="5">
        <f t="shared" si="4"/>
        <v>0</v>
      </c>
      <c r="M435" s="5">
        <v>3367.433889845346</v>
      </c>
      <c r="N435" s="5">
        <f t="shared" si="5"/>
        <v>0</v>
      </c>
      <c r="O435" s="5">
        <f t="shared" si="6"/>
        <v>3367.43389</v>
      </c>
      <c r="P435" s="5">
        <f t="shared" si="9"/>
        <v>499691.1658</v>
      </c>
      <c r="Q435" s="5">
        <f t="shared" si="7"/>
        <v>6038.699155</v>
      </c>
      <c r="R435" s="5">
        <f t="shared" si="8"/>
        <v>493652.4666</v>
      </c>
    </row>
    <row r="436" ht="15.75" customHeight="1">
      <c r="A436" s="4">
        <v>2016.0</v>
      </c>
      <c r="B436" s="4">
        <v>301.0</v>
      </c>
      <c r="C436" s="4" t="s">
        <v>20</v>
      </c>
      <c r="D436" s="5" t="s">
        <v>19</v>
      </c>
      <c r="E436" s="5" t="str">
        <f t="shared" si="1"/>
        <v/>
      </c>
      <c r="F436" s="5" t="str">
        <f t="shared" si="2"/>
        <v/>
      </c>
      <c r="G436" s="5">
        <v>1636.216115502678</v>
      </c>
      <c r="H436" s="5">
        <v>715.5392863317682</v>
      </c>
      <c r="I436" s="5">
        <v>920.6768291709097</v>
      </c>
      <c r="J436" s="5">
        <v>46118.50025032785</v>
      </c>
      <c r="K436" s="5">
        <f t="shared" si="3"/>
        <v>46118.50025</v>
      </c>
      <c r="L436" s="5">
        <f t="shared" si="4"/>
        <v>0</v>
      </c>
      <c r="M436" s="5">
        <v>0.0</v>
      </c>
      <c r="N436" s="5">
        <f t="shared" si="5"/>
        <v>0</v>
      </c>
      <c r="O436" s="5">
        <f t="shared" si="6"/>
        <v>0</v>
      </c>
      <c r="P436" s="5">
        <f t="shared" si="9"/>
        <v>47754.71637</v>
      </c>
      <c r="Q436" s="5">
        <f t="shared" si="7"/>
        <v>920.6768292</v>
      </c>
      <c r="R436" s="5">
        <f t="shared" si="8"/>
        <v>46834.03954</v>
      </c>
    </row>
    <row r="437" ht="15.75" customHeight="1">
      <c r="A437" s="4">
        <v>2016.0</v>
      </c>
      <c r="B437" s="4">
        <v>302.0</v>
      </c>
      <c r="C437" s="4" t="s">
        <v>20</v>
      </c>
      <c r="D437" s="5">
        <v>7172.5885533886685</v>
      </c>
      <c r="E437" s="5">
        <f t="shared" si="1"/>
        <v>0</v>
      </c>
      <c r="F437" s="5">
        <f t="shared" si="2"/>
        <v>7172.588553</v>
      </c>
      <c r="G437" s="5">
        <v>727.5463448908049</v>
      </c>
      <c r="H437" s="5">
        <v>557.0054114590582</v>
      </c>
      <c r="I437" s="5">
        <v>170.54093343174668</v>
      </c>
      <c r="J437" s="5">
        <v>20138.374593936955</v>
      </c>
      <c r="K437" s="5">
        <f t="shared" si="3"/>
        <v>20138.37459</v>
      </c>
      <c r="L437" s="5">
        <f t="shared" si="4"/>
        <v>0</v>
      </c>
      <c r="M437" s="5">
        <v>442.88246170301625</v>
      </c>
      <c r="N437" s="5">
        <f t="shared" si="5"/>
        <v>0</v>
      </c>
      <c r="O437" s="5">
        <f t="shared" si="6"/>
        <v>442.8824617</v>
      </c>
      <c r="P437" s="5">
        <f t="shared" si="9"/>
        <v>28481.39195</v>
      </c>
      <c r="Q437" s="5">
        <f t="shared" si="7"/>
        <v>7786.011949</v>
      </c>
      <c r="R437" s="5">
        <f t="shared" si="8"/>
        <v>20695.38001</v>
      </c>
    </row>
    <row r="438" ht="15.75" customHeight="1">
      <c r="A438" s="4">
        <v>2016.0</v>
      </c>
      <c r="B438" s="4">
        <v>303.0</v>
      </c>
      <c r="C438" s="4" t="s">
        <v>20</v>
      </c>
      <c r="D438" s="5">
        <v>2273.267246401072</v>
      </c>
      <c r="E438" s="5">
        <f t="shared" si="1"/>
        <v>0</v>
      </c>
      <c r="F438" s="5">
        <f t="shared" si="2"/>
        <v>2273.267246</v>
      </c>
      <c r="G438" s="5" t="s">
        <v>19</v>
      </c>
      <c r="H438" s="5" t="s">
        <v>19</v>
      </c>
      <c r="I438" s="5" t="s">
        <v>19</v>
      </c>
      <c r="J438" s="5">
        <v>24253.197746961516</v>
      </c>
      <c r="K438" s="5">
        <f t="shared" si="3"/>
        <v>24253.19775</v>
      </c>
      <c r="L438" s="5">
        <f t="shared" si="4"/>
        <v>0</v>
      </c>
      <c r="M438" s="5">
        <v>2250.8101200228566</v>
      </c>
      <c r="N438" s="5">
        <f t="shared" si="5"/>
        <v>0</v>
      </c>
      <c r="O438" s="5">
        <f t="shared" si="6"/>
        <v>2250.81012</v>
      </c>
      <c r="P438" s="5">
        <f t="shared" si="9"/>
        <v>28777.27511</v>
      </c>
      <c r="Q438" s="5">
        <f t="shared" si="7"/>
        <v>4524.077366</v>
      </c>
      <c r="R438" s="5">
        <f t="shared" si="8"/>
        <v>24253.19775</v>
      </c>
    </row>
    <row r="439" ht="15.75" customHeight="1">
      <c r="A439" s="4">
        <v>2016.0</v>
      </c>
      <c r="B439" s="4">
        <v>304.0</v>
      </c>
      <c r="C439" s="4" t="s">
        <v>20</v>
      </c>
      <c r="D439" s="5">
        <v>17635.326700008784</v>
      </c>
      <c r="E439" s="5">
        <f t="shared" si="1"/>
        <v>0</v>
      </c>
      <c r="F439" s="5">
        <f t="shared" si="2"/>
        <v>17635.3267</v>
      </c>
      <c r="G439" s="5" t="s">
        <v>19</v>
      </c>
      <c r="H439" s="5" t="s">
        <v>19</v>
      </c>
      <c r="I439" s="5" t="s">
        <v>19</v>
      </c>
      <c r="J439" s="5">
        <v>2573.6437802474748</v>
      </c>
      <c r="K439" s="5">
        <f t="shared" si="3"/>
        <v>2573.64378</v>
      </c>
      <c r="L439" s="5">
        <f t="shared" si="4"/>
        <v>0</v>
      </c>
      <c r="M439" s="5">
        <v>2204.103837423718</v>
      </c>
      <c r="N439" s="5">
        <f t="shared" si="5"/>
        <v>0</v>
      </c>
      <c r="O439" s="5">
        <f t="shared" si="6"/>
        <v>2204.103837</v>
      </c>
      <c r="P439" s="5">
        <f t="shared" si="9"/>
        <v>22413.07432</v>
      </c>
      <c r="Q439" s="5">
        <f t="shared" si="7"/>
        <v>19839.43054</v>
      </c>
      <c r="R439" s="5">
        <f t="shared" si="8"/>
        <v>2573.64378</v>
      </c>
    </row>
    <row r="440" ht="15.75" customHeight="1">
      <c r="A440" s="4">
        <v>2016.0</v>
      </c>
      <c r="B440" s="4">
        <v>305.0</v>
      </c>
      <c r="C440" s="4" t="s">
        <v>20</v>
      </c>
      <c r="D440" s="5">
        <v>14877.702335775351</v>
      </c>
      <c r="E440" s="5">
        <f t="shared" si="1"/>
        <v>0</v>
      </c>
      <c r="F440" s="5">
        <f t="shared" si="2"/>
        <v>14877.70234</v>
      </c>
      <c r="G440" s="5">
        <v>1337.871236730672</v>
      </c>
      <c r="H440" s="5">
        <v>522.7751190924477</v>
      </c>
      <c r="I440" s="5">
        <v>815.0961176382244</v>
      </c>
      <c r="J440" s="5">
        <v>356.3009354061202</v>
      </c>
      <c r="K440" s="5">
        <f t="shared" si="3"/>
        <v>356.3009354</v>
      </c>
      <c r="L440" s="5">
        <f t="shared" si="4"/>
        <v>0</v>
      </c>
      <c r="M440" s="5">
        <v>4788.984779851868</v>
      </c>
      <c r="N440" s="5">
        <f t="shared" si="5"/>
        <v>0</v>
      </c>
      <c r="O440" s="5">
        <f t="shared" si="6"/>
        <v>4788.98478</v>
      </c>
      <c r="P440" s="5">
        <f t="shared" si="9"/>
        <v>21360.85929</v>
      </c>
      <c r="Q440" s="5">
        <f t="shared" si="7"/>
        <v>20481.78323</v>
      </c>
      <c r="R440" s="5">
        <f t="shared" si="8"/>
        <v>879.0760545</v>
      </c>
    </row>
    <row r="441" ht="15.75" customHeight="1">
      <c r="A441" s="4">
        <v>2016.0</v>
      </c>
      <c r="B441" s="4">
        <v>306.0</v>
      </c>
      <c r="C441" s="4" t="s">
        <v>20</v>
      </c>
      <c r="D441" s="5" t="s">
        <v>19</v>
      </c>
      <c r="E441" s="5" t="str">
        <f t="shared" si="1"/>
        <v/>
      </c>
      <c r="F441" s="5" t="str">
        <f t="shared" si="2"/>
        <v/>
      </c>
      <c r="G441" s="5" t="s">
        <v>19</v>
      </c>
      <c r="H441" s="5" t="s">
        <v>19</v>
      </c>
      <c r="I441" s="5" t="s">
        <v>19</v>
      </c>
      <c r="J441" s="5">
        <v>0.0</v>
      </c>
      <c r="K441" s="5">
        <f t="shared" si="3"/>
        <v>0</v>
      </c>
      <c r="L441" s="5">
        <f t="shared" si="4"/>
        <v>0</v>
      </c>
      <c r="M441" s="5">
        <v>1500.0734414061644</v>
      </c>
      <c r="N441" s="5">
        <f t="shared" si="5"/>
        <v>0</v>
      </c>
      <c r="O441" s="5">
        <f t="shared" si="6"/>
        <v>1500.073441</v>
      </c>
      <c r="P441" s="5">
        <f t="shared" si="9"/>
        <v>1500.073441</v>
      </c>
      <c r="Q441" s="5">
        <f t="shared" si="7"/>
        <v>1500.073441</v>
      </c>
      <c r="R441" s="5">
        <f t="shared" si="8"/>
        <v>0</v>
      </c>
    </row>
    <row r="442" ht="15.75" customHeight="1">
      <c r="A442" s="4">
        <v>2016.0</v>
      </c>
      <c r="B442" s="4">
        <v>307.0</v>
      </c>
      <c r="C442" s="4" t="s">
        <v>20</v>
      </c>
      <c r="D442" s="5" t="s">
        <v>19</v>
      </c>
      <c r="E442" s="5" t="str">
        <f t="shared" si="1"/>
        <v/>
      </c>
      <c r="F442" s="5" t="str">
        <f t="shared" si="2"/>
        <v/>
      </c>
      <c r="G442" s="5" t="s">
        <v>19</v>
      </c>
      <c r="H442" s="5" t="s">
        <v>19</v>
      </c>
      <c r="I442" s="5" t="s">
        <v>19</v>
      </c>
      <c r="J442" s="5">
        <v>0.0</v>
      </c>
      <c r="K442" s="5">
        <f t="shared" si="3"/>
        <v>0</v>
      </c>
      <c r="L442" s="5">
        <f t="shared" si="4"/>
        <v>0</v>
      </c>
      <c r="M442" s="5">
        <v>0.0</v>
      </c>
      <c r="N442" s="5">
        <f t="shared" si="5"/>
        <v>0</v>
      </c>
      <c r="O442" s="5">
        <f t="shared" si="6"/>
        <v>0</v>
      </c>
      <c r="P442" s="5">
        <f t="shared" si="9"/>
        <v>0</v>
      </c>
      <c r="Q442" s="5">
        <f t="shared" si="7"/>
        <v>0</v>
      </c>
      <c r="R442" s="5">
        <f t="shared" si="8"/>
        <v>0</v>
      </c>
    </row>
    <row r="443" ht="15.75" customHeight="1">
      <c r="A443" s="4">
        <v>2016.0</v>
      </c>
      <c r="B443" s="4">
        <v>308.0</v>
      </c>
      <c r="C443" s="4" t="s">
        <v>20</v>
      </c>
      <c r="D443" s="5" t="s">
        <v>19</v>
      </c>
      <c r="E443" s="5" t="str">
        <f t="shared" si="1"/>
        <v/>
      </c>
      <c r="F443" s="5" t="str">
        <f t="shared" si="2"/>
        <v/>
      </c>
      <c r="G443" s="5">
        <v>9582.85378691419</v>
      </c>
      <c r="H443" s="5">
        <v>3103.1937581630636</v>
      </c>
      <c r="I443" s="5">
        <v>6479.6600287511255</v>
      </c>
      <c r="J443" s="5">
        <v>688.6760366742615</v>
      </c>
      <c r="K443" s="5">
        <f t="shared" si="3"/>
        <v>688.6760367</v>
      </c>
      <c r="L443" s="5">
        <f t="shared" si="4"/>
        <v>0</v>
      </c>
      <c r="M443" s="5">
        <v>21574.16644585858</v>
      </c>
      <c r="N443" s="5">
        <f t="shared" si="5"/>
        <v>0</v>
      </c>
      <c r="O443" s="5">
        <f t="shared" si="6"/>
        <v>21574.16645</v>
      </c>
      <c r="P443" s="5">
        <f t="shared" si="9"/>
        <v>31845.69627</v>
      </c>
      <c r="Q443" s="5">
        <f t="shared" si="7"/>
        <v>28053.82647</v>
      </c>
      <c r="R443" s="5">
        <f t="shared" si="8"/>
        <v>3791.869795</v>
      </c>
    </row>
    <row r="444" ht="15.75" customHeight="1">
      <c r="A444" s="4">
        <v>2016.0</v>
      </c>
      <c r="B444" s="4">
        <v>309.0</v>
      </c>
      <c r="C444" s="4" t="s">
        <v>20</v>
      </c>
      <c r="D444" s="5" t="s">
        <v>19</v>
      </c>
      <c r="E444" s="5" t="str">
        <f t="shared" si="1"/>
        <v/>
      </c>
      <c r="F444" s="5" t="str">
        <f t="shared" si="2"/>
        <v/>
      </c>
      <c r="G444" s="5" t="s">
        <v>19</v>
      </c>
      <c r="H444" s="5" t="s">
        <v>19</v>
      </c>
      <c r="I444" s="5" t="s">
        <v>19</v>
      </c>
      <c r="J444" s="5">
        <v>0.0</v>
      </c>
      <c r="K444" s="5">
        <f t="shared" si="3"/>
        <v>0</v>
      </c>
      <c r="L444" s="5">
        <f t="shared" si="4"/>
        <v>0</v>
      </c>
      <c r="M444" s="5">
        <v>0.0</v>
      </c>
      <c r="N444" s="5">
        <f t="shared" si="5"/>
        <v>0</v>
      </c>
      <c r="O444" s="5">
        <f t="shared" si="6"/>
        <v>0</v>
      </c>
      <c r="P444" s="5">
        <f t="shared" si="9"/>
        <v>0</v>
      </c>
      <c r="Q444" s="5">
        <f t="shared" si="7"/>
        <v>0</v>
      </c>
      <c r="R444" s="5">
        <f t="shared" si="8"/>
        <v>0</v>
      </c>
    </row>
    <row r="445" ht="15.75" customHeight="1">
      <c r="A445" s="4">
        <v>2016.0</v>
      </c>
      <c r="B445" s="4">
        <v>310.0</v>
      </c>
      <c r="C445" s="4" t="s">
        <v>20</v>
      </c>
      <c r="D445" s="5">
        <v>12291.342366797557</v>
      </c>
      <c r="E445" s="5">
        <f t="shared" si="1"/>
        <v>0</v>
      </c>
      <c r="F445" s="5">
        <f t="shared" si="2"/>
        <v>12291.34237</v>
      </c>
      <c r="G445" s="5">
        <v>2203.763317357637</v>
      </c>
      <c r="H445" s="5">
        <v>1131.8708137510166</v>
      </c>
      <c r="I445" s="5">
        <v>1071.8925036066203</v>
      </c>
      <c r="J445" s="5">
        <v>1261.27944557103</v>
      </c>
      <c r="K445" s="5">
        <f t="shared" si="3"/>
        <v>1261.279446</v>
      </c>
      <c r="L445" s="5">
        <f t="shared" si="4"/>
        <v>0</v>
      </c>
      <c r="M445" s="5">
        <v>3843.0998349204037</v>
      </c>
      <c r="N445" s="5">
        <f t="shared" si="5"/>
        <v>0</v>
      </c>
      <c r="O445" s="5">
        <f t="shared" si="6"/>
        <v>3843.099835</v>
      </c>
      <c r="P445" s="5">
        <f t="shared" si="9"/>
        <v>19599.48496</v>
      </c>
      <c r="Q445" s="5">
        <f t="shared" si="7"/>
        <v>17206.33471</v>
      </c>
      <c r="R445" s="5">
        <f t="shared" si="8"/>
        <v>2393.150259</v>
      </c>
    </row>
    <row r="446" ht="15.75" customHeight="1">
      <c r="A446" s="4">
        <v>2016.0</v>
      </c>
      <c r="B446" s="4">
        <v>311.0</v>
      </c>
      <c r="C446" s="4" t="s">
        <v>20</v>
      </c>
      <c r="D446" s="5" t="s">
        <v>19</v>
      </c>
      <c r="E446" s="5" t="str">
        <f t="shared" si="1"/>
        <v/>
      </c>
      <c r="F446" s="5" t="str">
        <f t="shared" si="2"/>
        <v/>
      </c>
      <c r="G446" s="5" t="s">
        <v>19</v>
      </c>
      <c r="H446" s="5" t="s">
        <v>19</v>
      </c>
      <c r="I446" s="5" t="s">
        <v>19</v>
      </c>
      <c r="J446" s="5">
        <v>5442.900940932168</v>
      </c>
      <c r="K446" s="5">
        <f t="shared" si="3"/>
        <v>5442.900941</v>
      </c>
      <c r="L446" s="5">
        <f t="shared" si="4"/>
        <v>0</v>
      </c>
      <c r="M446" s="5">
        <v>583.7903529666885</v>
      </c>
      <c r="N446" s="5">
        <f t="shared" si="5"/>
        <v>0</v>
      </c>
      <c r="O446" s="5">
        <f t="shared" si="6"/>
        <v>583.790353</v>
      </c>
      <c r="P446" s="5">
        <f t="shared" si="9"/>
        <v>6026.691294</v>
      </c>
      <c r="Q446" s="5">
        <f t="shared" si="7"/>
        <v>583.790353</v>
      </c>
      <c r="R446" s="5">
        <f t="shared" si="8"/>
        <v>5442.900941</v>
      </c>
    </row>
    <row r="447" ht="15.75" customHeight="1">
      <c r="A447" s="4">
        <v>2016.0</v>
      </c>
      <c r="B447" s="4">
        <v>312.0</v>
      </c>
      <c r="C447" s="4" t="s">
        <v>20</v>
      </c>
      <c r="D447" s="5" t="s">
        <v>19</v>
      </c>
      <c r="E447" s="5" t="str">
        <f t="shared" si="1"/>
        <v/>
      </c>
      <c r="F447" s="5" t="str">
        <f t="shared" si="2"/>
        <v/>
      </c>
      <c r="G447" s="5" t="s">
        <v>19</v>
      </c>
      <c r="H447" s="5" t="s">
        <v>19</v>
      </c>
      <c r="I447" s="5" t="s">
        <v>19</v>
      </c>
      <c r="J447" s="5">
        <v>16308.689185862168</v>
      </c>
      <c r="K447" s="5">
        <f t="shared" si="3"/>
        <v>16308.68919</v>
      </c>
      <c r="L447" s="5">
        <f t="shared" si="4"/>
        <v>0</v>
      </c>
      <c r="M447" s="5">
        <v>0.0</v>
      </c>
      <c r="N447" s="5">
        <f t="shared" si="5"/>
        <v>0</v>
      </c>
      <c r="O447" s="5">
        <f t="shared" si="6"/>
        <v>0</v>
      </c>
      <c r="P447" s="5">
        <f t="shared" si="9"/>
        <v>16308.68919</v>
      </c>
      <c r="Q447" s="5">
        <f t="shared" si="7"/>
        <v>0</v>
      </c>
      <c r="R447" s="5">
        <f t="shared" si="8"/>
        <v>16308.68919</v>
      </c>
    </row>
    <row r="448" ht="15.75" customHeight="1">
      <c r="A448" s="4">
        <v>2016.0</v>
      </c>
      <c r="B448" s="4">
        <v>313.0</v>
      </c>
      <c r="C448" s="4" t="s">
        <v>20</v>
      </c>
      <c r="D448" s="5">
        <v>7851.848121030189</v>
      </c>
      <c r="E448" s="5">
        <f t="shared" si="1"/>
        <v>0</v>
      </c>
      <c r="F448" s="5">
        <f t="shared" si="2"/>
        <v>7851.848121</v>
      </c>
      <c r="G448" s="5">
        <v>943.46988948637</v>
      </c>
      <c r="H448" s="5">
        <v>313.24177176389577</v>
      </c>
      <c r="I448" s="5">
        <v>630.2281177224743</v>
      </c>
      <c r="J448" s="5">
        <v>557.4072709983225</v>
      </c>
      <c r="K448" s="5">
        <f t="shared" si="3"/>
        <v>557.407271</v>
      </c>
      <c r="L448" s="5">
        <f t="shared" si="4"/>
        <v>0</v>
      </c>
      <c r="M448" s="5">
        <v>812.714770240075</v>
      </c>
      <c r="N448" s="5">
        <f t="shared" si="5"/>
        <v>0</v>
      </c>
      <c r="O448" s="5">
        <f t="shared" si="6"/>
        <v>812.7147702</v>
      </c>
      <c r="P448" s="5">
        <f t="shared" si="9"/>
        <v>10165.44005</v>
      </c>
      <c r="Q448" s="5">
        <f t="shared" si="7"/>
        <v>9294.791009</v>
      </c>
      <c r="R448" s="5">
        <f t="shared" si="8"/>
        <v>870.6490428</v>
      </c>
    </row>
    <row r="449" ht="15.75" customHeight="1">
      <c r="A449" s="4">
        <v>2016.0</v>
      </c>
      <c r="B449" s="4">
        <v>314.0</v>
      </c>
      <c r="C449" s="4" t="s">
        <v>20</v>
      </c>
      <c r="D449" s="5" t="s">
        <v>19</v>
      </c>
      <c r="E449" s="5" t="str">
        <f t="shared" si="1"/>
        <v/>
      </c>
      <c r="F449" s="5" t="str">
        <f t="shared" si="2"/>
        <v/>
      </c>
      <c r="G449" s="5" t="s">
        <v>19</v>
      </c>
      <c r="H449" s="5" t="s">
        <v>19</v>
      </c>
      <c r="I449" s="5" t="s">
        <v>19</v>
      </c>
      <c r="J449" s="5">
        <v>0.0</v>
      </c>
      <c r="K449" s="5">
        <f t="shared" si="3"/>
        <v>0</v>
      </c>
      <c r="L449" s="5">
        <f t="shared" si="4"/>
        <v>0</v>
      </c>
      <c r="M449" s="5">
        <v>0.0</v>
      </c>
      <c r="N449" s="5">
        <f t="shared" si="5"/>
        <v>0</v>
      </c>
      <c r="O449" s="5">
        <f t="shared" si="6"/>
        <v>0</v>
      </c>
      <c r="P449" s="5">
        <f t="shared" si="9"/>
        <v>0</v>
      </c>
      <c r="Q449" s="5">
        <f t="shared" si="7"/>
        <v>0</v>
      </c>
      <c r="R449" s="5">
        <f t="shared" si="8"/>
        <v>0</v>
      </c>
    </row>
    <row r="450" ht="15.75" customHeight="1">
      <c r="A450" s="4">
        <v>2016.0</v>
      </c>
      <c r="B450" s="4">
        <v>320.0</v>
      </c>
      <c r="C450" s="4" t="s">
        <v>20</v>
      </c>
      <c r="D450" s="5">
        <v>123360.22749913989</v>
      </c>
      <c r="E450" s="5">
        <f t="shared" si="1"/>
        <v>0</v>
      </c>
      <c r="F450" s="5">
        <f t="shared" si="2"/>
        <v>123360.2275</v>
      </c>
      <c r="G450" s="5">
        <v>55377.44951593419</v>
      </c>
      <c r="H450" s="5">
        <v>26564.88849797728</v>
      </c>
      <c r="I450" s="5">
        <v>28812.56101795691</v>
      </c>
      <c r="J450" s="5">
        <v>24232.990116777415</v>
      </c>
      <c r="K450" s="5">
        <f t="shared" si="3"/>
        <v>24232.99012</v>
      </c>
      <c r="L450" s="5">
        <f t="shared" si="4"/>
        <v>0</v>
      </c>
      <c r="M450" s="5">
        <v>18891.991353438483</v>
      </c>
      <c r="N450" s="5">
        <f t="shared" si="5"/>
        <v>0</v>
      </c>
      <c r="O450" s="5">
        <f t="shared" si="6"/>
        <v>18891.99135</v>
      </c>
      <c r="P450" s="5">
        <f t="shared" si="9"/>
        <v>221862.6585</v>
      </c>
      <c r="Q450" s="5">
        <f t="shared" si="7"/>
        <v>171064.7799</v>
      </c>
      <c r="R450" s="5">
        <f t="shared" si="8"/>
        <v>50797.87861</v>
      </c>
    </row>
    <row r="451" ht="15.75" customHeight="1">
      <c r="A451" s="4">
        <v>2016.0</v>
      </c>
      <c r="B451" s="4">
        <v>321.0</v>
      </c>
      <c r="C451" s="4" t="s">
        <v>20</v>
      </c>
      <c r="D451" s="5">
        <v>90602.12089774906</v>
      </c>
      <c r="E451" s="5">
        <f t="shared" si="1"/>
        <v>0</v>
      </c>
      <c r="F451" s="5">
        <f t="shared" si="2"/>
        <v>90602.1209</v>
      </c>
      <c r="G451" s="5">
        <v>19725.15509889267</v>
      </c>
      <c r="H451" s="5">
        <v>7892.878610581763</v>
      </c>
      <c r="I451" s="5">
        <v>11832.276488310905</v>
      </c>
      <c r="J451" s="5">
        <v>5657.813129466151</v>
      </c>
      <c r="K451" s="5">
        <f t="shared" si="3"/>
        <v>5657.813129</v>
      </c>
      <c r="L451" s="5">
        <f t="shared" si="4"/>
        <v>0</v>
      </c>
      <c r="M451" s="5">
        <v>3347.1987428882258</v>
      </c>
      <c r="N451" s="5">
        <f t="shared" si="5"/>
        <v>0</v>
      </c>
      <c r="O451" s="5">
        <f t="shared" si="6"/>
        <v>3347.198743</v>
      </c>
      <c r="P451" s="5">
        <f t="shared" si="9"/>
        <v>119332.2879</v>
      </c>
      <c r="Q451" s="5">
        <f t="shared" si="7"/>
        <v>105781.5961</v>
      </c>
      <c r="R451" s="5">
        <f t="shared" si="8"/>
        <v>13550.69174</v>
      </c>
    </row>
    <row r="452" ht="15.75" customHeight="1">
      <c r="A452" s="4">
        <v>2016.0</v>
      </c>
      <c r="B452" s="4">
        <v>322.0</v>
      </c>
      <c r="C452" s="4" t="s">
        <v>20</v>
      </c>
      <c r="D452" s="5">
        <v>19128.270545526335</v>
      </c>
      <c r="E452" s="5">
        <f t="shared" si="1"/>
        <v>0</v>
      </c>
      <c r="F452" s="5">
        <f t="shared" si="2"/>
        <v>19128.27055</v>
      </c>
      <c r="G452" s="5" t="s">
        <v>19</v>
      </c>
      <c r="H452" s="5" t="s">
        <v>19</v>
      </c>
      <c r="I452" s="5" t="s">
        <v>19</v>
      </c>
      <c r="J452" s="5">
        <v>0.0</v>
      </c>
      <c r="K452" s="5">
        <f t="shared" si="3"/>
        <v>0</v>
      </c>
      <c r="L452" s="5">
        <f t="shared" si="4"/>
        <v>0</v>
      </c>
      <c r="M452" s="5">
        <v>42666.252786851925</v>
      </c>
      <c r="N452" s="5">
        <f t="shared" si="5"/>
        <v>0</v>
      </c>
      <c r="O452" s="5">
        <f t="shared" si="6"/>
        <v>42666.25279</v>
      </c>
      <c r="P452" s="5">
        <f t="shared" si="9"/>
        <v>61794.52333</v>
      </c>
      <c r="Q452" s="5">
        <f t="shared" si="7"/>
        <v>61794.52333</v>
      </c>
      <c r="R452" s="5">
        <f t="shared" si="8"/>
        <v>0</v>
      </c>
    </row>
    <row r="453" ht="15.75" customHeight="1">
      <c r="A453" s="4">
        <v>2016.0</v>
      </c>
      <c r="B453" s="4">
        <v>323.0</v>
      </c>
      <c r="C453" s="4" t="s">
        <v>20</v>
      </c>
      <c r="D453" s="5">
        <v>5069.47069966996</v>
      </c>
      <c r="E453" s="5">
        <f t="shared" si="1"/>
        <v>0</v>
      </c>
      <c r="F453" s="5">
        <f t="shared" si="2"/>
        <v>5069.4707</v>
      </c>
      <c r="G453" s="5" t="s">
        <v>19</v>
      </c>
      <c r="H453" s="5" t="s">
        <v>19</v>
      </c>
      <c r="I453" s="5" t="s">
        <v>19</v>
      </c>
      <c r="J453" s="5">
        <v>0.0</v>
      </c>
      <c r="K453" s="5">
        <f t="shared" si="3"/>
        <v>0</v>
      </c>
      <c r="L453" s="5">
        <f t="shared" si="4"/>
        <v>0</v>
      </c>
      <c r="M453" s="5">
        <v>74060.06517022286</v>
      </c>
      <c r="N453" s="5">
        <f t="shared" si="5"/>
        <v>0</v>
      </c>
      <c r="O453" s="5">
        <f t="shared" si="6"/>
        <v>74060.06517</v>
      </c>
      <c r="P453" s="5">
        <f t="shared" si="9"/>
        <v>79129.53587</v>
      </c>
      <c r="Q453" s="5">
        <f t="shared" si="7"/>
        <v>79129.53587</v>
      </c>
      <c r="R453" s="5">
        <f t="shared" si="8"/>
        <v>0</v>
      </c>
    </row>
    <row r="454" ht="15.75" customHeight="1">
      <c r="A454" s="4">
        <v>2016.0</v>
      </c>
      <c r="B454" s="4">
        <v>324.0</v>
      </c>
      <c r="C454" s="4" t="s">
        <v>20</v>
      </c>
      <c r="D454" s="5" t="s">
        <v>19</v>
      </c>
      <c r="E454" s="5" t="str">
        <f t="shared" si="1"/>
        <v/>
      </c>
      <c r="F454" s="5" t="str">
        <f t="shared" si="2"/>
        <v/>
      </c>
      <c r="G454" s="5">
        <v>1501.8998672151447</v>
      </c>
      <c r="H454" s="5">
        <v>793.1984989780148</v>
      </c>
      <c r="I454" s="5">
        <v>708.7013682371299</v>
      </c>
      <c r="J454" s="5">
        <v>0.0</v>
      </c>
      <c r="K454" s="5">
        <f t="shared" si="3"/>
        <v>0</v>
      </c>
      <c r="L454" s="5">
        <f t="shared" si="4"/>
        <v>0</v>
      </c>
      <c r="M454" s="5">
        <v>116842.38370565898</v>
      </c>
      <c r="N454" s="5">
        <f t="shared" si="5"/>
        <v>0</v>
      </c>
      <c r="O454" s="5">
        <f t="shared" si="6"/>
        <v>116842.3837</v>
      </c>
      <c r="P454" s="5">
        <f t="shared" si="9"/>
        <v>118344.2836</v>
      </c>
      <c r="Q454" s="5">
        <f t="shared" si="7"/>
        <v>117551.0851</v>
      </c>
      <c r="R454" s="5">
        <f t="shared" si="8"/>
        <v>793.198499</v>
      </c>
    </row>
    <row r="455" ht="15.75" customHeight="1">
      <c r="A455" s="4">
        <v>2016.0</v>
      </c>
      <c r="B455" s="4">
        <v>325.0</v>
      </c>
      <c r="C455" s="4" t="s">
        <v>20</v>
      </c>
      <c r="D455" s="5">
        <v>5949.653731016342</v>
      </c>
      <c r="E455" s="5">
        <f t="shared" si="1"/>
        <v>0</v>
      </c>
      <c r="F455" s="5">
        <f t="shared" si="2"/>
        <v>5949.653731</v>
      </c>
      <c r="G455" s="5" t="s">
        <v>19</v>
      </c>
      <c r="H455" s="5" t="s">
        <v>19</v>
      </c>
      <c r="I455" s="5" t="s">
        <v>19</v>
      </c>
      <c r="J455" s="5">
        <v>0.0</v>
      </c>
      <c r="K455" s="5">
        <f t="shared" si="3"/>
        <v>0</v>
      </c>
      <c r="L455" s="5">
        <f t="shared" si="4"/>
        <v>0</v>
      </c>
      <c r="M455" s="5">
        <v>22328.73380323885</v>
      </c>
      <c r="N455" s="5">
        <f t="shared" si="5"/>
        <v>0</v>
      </c>
      <c r="O455" s="5">
        <f t="shared" si="6"/>
        <v>22328.7338</v>
      </c>
      <c r="P455" s="5">
        <f t="shared" si="9"/>
        <v>28278.38753</v>
      </c>
      <c r="Q455" s="5">
        <f t="shared" si="7"/>
        <v>28278.38753</v>
      </c>
      <c r="R455" s="5">
        <f t="shared" si="8"/>
        <v>0</v>
      </c>
    </row>
    <row r="456" ht="15.75" customHeight="1">
      <c r="A456" s="4">
        <v>2016.0</v>
      </c>
      <c r="B456" s="4">
        <v>326.0</v>
      </c>
      <c r="C456" s="4" t="s">
        <v>20</v>
      </c>
      <c r="D456" s="5">
        <v>2594.833988534713</v>
      </c>
      <c r="E456" s="5">
        <f t="shared" si="1"/>
        <v>0</v>
      </c>
      <c r="F456" s="5">
        <f t="shared" si="2"/>
        <v>2594.833989</v>
      </c>
      <c r="G456" s="5" t="s">
        <v>19</v>
      </c>
      <c r="H456" s="5" t="s">
        <v>19</v>
      </c>
      <c r="I456" s="5" t="s">
        <v>19</v>
      </c>
      <c r="J456" s="5">
        <v>0.0</v>
      </c>
      <c r="K456" s="5">
        <f t="shared" si="3"/>
        <v>0</v>
      </c>
      <c r="L456" s="5">
        <f t="shared" si="4"/>
        <v>0</v>
      </c>
      <c r="M456" s="5">
        <v>2540.847226408252</v>
      </c>
      <c r="N456" s="5">
        <f t="shared" si="5"/>
        <v>0</v>
      </c>
      <c r="O456" s="5">
        <f t="shared" si="6"/>
        <v>2540.847226</v>
      </c>
      <c r="P456" s="5">
        <f t="shared" si="9"/>
        <v>5135.681215</v>
      </c>
      <c r="Q456" s="5">
        <f t="shared" si="7"/>
        <v>5135.681215</v>
      </c>
      <c r="R456" s="5">
        <f t="shared" si="8"/>
        <v>0</v>
      </c>
    </row>
    <row r="457" ht="15.75" customHeight="1">
      <c r="A457" s="4">
        <v>2016.0</v>
      </c>
      <c r="B457" s="4">
        <v>327.0</v>
      </c>
      <c r="C457" s="4" t="s">
        <v>20</v>
      </c>
      <c r="D457" s="5">
        <v>96044.80525874693</v>
      </c>
      <c r="E457" s="5">
        <f t="shared" si="1"/>
        <v>0</v>
      </c>
      <c r="F457" s="5">
        <f t="shared" si="2"/>
        <v>96044.80526</v>
      </c>
      <c r="G457" s="5">
        <v>59883.47473272698</v>
      </c>
      <c r="H457" s="5">
        <v>13804.128557337417</v>
      </c>
      <c r="I457" s="5">
        <v>46079.34617538956</v>
      </c>
      <c r="J457" s="5">
        <v>151.96137898446145</v>
      </c>
      <c r="K457" s="5">
        <f t="shared" si="3"/>
        <v>151.961379</v>
      </c>
      <c r="L457" s="5">
        <f t="shared" si="4"/>
        <v>0</v>
      </c>
      <c r="M457" s="5">
        <v>32547.279392464407</v>
      </c>
      <c r="N457" s="5">
        <f t="shared" si="5"/>
        <v>0</v>
      </c>
      <c r="O457" s="5">
        <f t="shared" si="6"/>
        <v>32547.27939</v>
      </c>
      <c r="P457" s="5">
        <f t="shared" si="9"/>
        <v>188627.5208</v>
      </c>
      <c r="Q457" s="5">
        <f t="shared" si="7"/>
        <v>174671.4308</v>
      </c>
      <c r="R457" s="5">
        <f t="shared" si="8"/>
        <v>13956.08994</v>
      </c>
    </row>
    <row r="458" ht="15.75" customHeight="1">
      <c r="A458" s="4">
        <v>2016.0</v>
      </c>
      <c r="B458" s="4">
        <v>328.0</v>
      </c>
      <c r="C458" s="4" t="s">
        <v>20</v>
      </c>
      <c r="D458" s="5">
        <v>11448.846422427998</v>
      </c>
      <c r="E458" s="5">
        <f t="shared" si="1"/>
        <v>0</v>
      </c>
      <c r="F458" s="5">
        <f t="shared" si="2"/>
        <v>11448.84642</v>
      </c>
      <c r="G458" s="5">
        <v>9798.573822042654</v>
      </c>
      <c r="H458" s="5">
        <v>2461.324898922337</v>
      </c>
      <c r="I458" s="5">
        <v>7337.248923120316</v>
      </c>
      <c r="J458" s="5">
        <v>0.0</v>
      </c>
      <c r="K458" s="5">
        <f t="shared" si="3"/>
        <v>0</v>
      </c>
      <c r="L458" s="5">
        <f t="shared" si="4"/>
        <v>0</v>
      </c>
      <c r="M458" s="5">
        <v>38037.876531905</v>
      </c>
      <c r="N458" s="5">
        <f t="shared" si="5"/>
        <v>0</v>
      </c>
      <c r="O458" s="5">
        <f t="shared" si="6"/>
        <v>38037.87653</v>
      </c>
      <c r="P458" s="5">
        <f t="shared" si="9"/>
        <v>59285.29678</v>
      </c>
      <c r="Q458" s="5">
        <f t="shared" si="7"/>
        <v>56823.97188</v>
      </c>
      <c r="R458" s="5">
        <f t="shared" si="8"/>
        <v>2461.324899</v>
      </c>
    </row>
    <row r="459" ht="15.75" customHeight="1">
      <c r="A459" s="4">
        <v>2016.0</v>
      </c>
      <c r="B459" s="4">
        <v>331.0</v>
      </c>
      <c r="C459" s="4" t="s">
        <v>20</v>
      </c>
      <c r="D459" s="5">
        <v>143539.1872695184</v>
      </c>
      <c r="E459" s="5">
        <f t="shared" si="1"/>
        <v>0</v>
      </c>
      <c r="F459" s="5">
        <f t="shared" si="2"/>
        <v>143539.1873</v>
      </c>
      <c r="G459" s="5">
        <v>196237.6668238229</v>
      </c>
      <c r="H459" s="5">
        <v>51273.966025069785</v>
      </c>
      <c r="I459" s="5">
        <v>144963.7007987531</v>
      </c>
      <c r="J459" s="5">
        <v>3991.896097088624</v>
      </c>
      <c r="K459" s="5">
        <f t="shared" si="3"/>
        <v>3991.896097</v>
      </c>
      <c r="L459" s="5">
        <f t="shared" si="4"/>
        <v>0</v>
      </c>
      <c r="M459" s="5">
        <v>32076.97130705537</v>
      </c>
      <c r="N459" s="5">
        <f t="shared" si="5"/>
        <v>0</v>
      </c>
      <c r="O459" s="5">
        <f t="shared" si="6"/>
        <v>32076.97131</v>
      </c>
      <c r="P459" s="5">
        <f t="shared" si="9"/>
        <v>375845.7215</v>
      </c>
      <c r="Q459" s="5">
        <f t="shared" si="7"/>
        <v>320579.8594</v>
      </c>
      <c r="R459" s="5">
        <f t="shared" si="8"/>
        <v>55265.86212</v>
      </c>
    </row>
    <row r="460" ht="15.75" customHeight="1">
      <c r="A460" s="4">
        <v>2016.0</v>
      </c>
      <c r="B460" s="4">
        <v>332.0</v>
      </c>
      <c r="C460" s="4" t="s">
        <v>20</v>
      </c>
      <c r="D460" s="5" t="s">
        <v>19</v>
      </c>
      <c r="E460" s="5" t="str">
        <f t="shared" si="1"/>
        <v/>
      </c>
      <c r="F460" s="5" t="str">
        <f t="shared" si="2"/>
        <v/>
      </c>
      <c r="G460" s="5" t="s">
        <v>19</v>
      </c>
      <c r="H460" s="5" t="s">
        <v>19</v>
      </c>
      <c r="I460" s="5" t="s">
        <v>19</v>
      </c>
      <c r="J460" s="5">
        <v>0.0</v>
      </c>
      <c r="K460" s="5">
        <f t="shared" si="3"/>
        <v>0</v>
      </c>
      <c r="L460" s="5">
        <f t="shared" si="4"/>
        <v>0</v>
      </c>
      <c r="M460" s="5">
        <v>7917.160328317423</v>
      </c>
      <c r="N460" s="5">
        <f t="shared" si="5"/>
        <v>0</v>
      </c>
      <c r="O460" s="5">
        <f t="shared" si="6"/>
        <v>7917.160328</v>
      </c>
      <c r="P460" s="5">
        <f t="shared" si="9"/>
        <v>7917.160328</v>
      </c>
      <c r="Q460" s="5">
        <f t="shared" si="7"/>
        <v>7917.160328</v>
      </c>
      <c r="R460" s="5">
        <f t="shared" si="8"/>
        <v>0</v>
      </c>
    </row>
    <row r="461" ht="15.75" customHeight="1">
      <c r="A461" s="4">
        <v>2016.0</v>
      </c>
      <c r="B461" s="4">
        <v>333.0</v>
      </c>
      <c r="C461" s="4" t="s">
        <v>20</v>
      </c>
      <c r="D461" s="5">
        <v>2578.3319504501865</v>
      </c>
      <c r="E461" s="5">
        <f t="shared" si="1"/>
        <v>0</v>
      </c>
      <c r="F461" s="5">
        <f t="shared" si="2"/>
        <v>2578.33195</v>
      </c>
      <c r="G461" s="5" t="s">
        <v>19</v>
      </c>
      <c r="H461" s="5" t="s">
        <v>19</v>
      </c>
      <c r="I461" s="5" t="s">
        <v>19</v>
      </c>
      <c r="J461" s="5">
        <v>0.0</v>
      </c>
      <c r="K461" s="5">
        <f t="shared" si="3"/>
        <v>0</v>
      </c>
      <c r="L461" s="5">
        <f t="shared" si="4"/>
        <v>0</v>
      </c>
      <c r="M461" s="5">
        <v>7014.850945135129</v>
      </c>
      <c r="N461" s="5">
        <f t="shared" si="5"/>
        <v>0</v>
      </c>
      <c r="O461" s="5">
        <f t="shared" si="6"/>
        <v>7014.850945</v>
      </c>
      <c r="P461" s="5">
        <f t="shared" si="9"/>
        <v>9593.182896</v>
      </c>
      <c r="Q461" s="5">
        <f t="shared" si="7"/>
        <v>9593.182896</v>
      </c>
      <c r="R461" s="5">
        <f t="shared" si="8"/>
        <v>0</v>
      </c>
    </row>
    <row r="462" ht="15.75" customHeight="1">
      <c r="A462" s="4">
        <v>2016.0</v>
      </c>
      <c r="B462" s="4">
        <v>400.0</v>
      </c>
      <c r="C462" s="4" t="s">
        <v>21</v>
      </c>
      <c r="D462" s="5" t="s">
        <v>19</v>
      </c>
      <c r="E462" s="5" t="str">
        <f t="shared" si="1"/>
        <v/>
      </c>
      <c r="F462" s="5" t="str">
        <f t="shared" si="2"/>
        <v/>
      </c>
      <c r="G462" s="5">
        <v>1544.6632255474397</v>
      </c>
      <c r="H462" s="5">
        <v>1215.4782354976958</v>
      </c>
      <c r="I462" s="5">
        <v>329.1849900497439</v>
      </c>
      <c r="J462" s="5">
        <v>32160.152906739615</v>
      </c>
      <c r="K462" s="5">
        <f t="shared" si="3"/>
        <v>32160.15291</v>
      </c>
      <c r="L462" s="5">
        <f t="shared" si="4"/>
        <v>0</v>
      </c>
      <c r="M462" s="5">
        <v>390.05025751104426</v>
      </c>
      <c r="N462" s="5">
        <f t="shared" si="5"/>
        <v>0</v>
      </c>
      <c r="O462" s="5">
        <f t="shared" si="6"/>
        <v>390.0502575</v>
      </c>
      <c r="P462" s="5">
        <f t="shared" si="9"/>
        <v>34094.86639</v>
      </c>
      <c r="Q462" s="5">
        <f t="shared" si="7"/>
        <v>719.2352476</v>
      </c>
      <c r="R462" s="5">
        <f t="shared" si="8"/>
        <v>33375.63114</v>
      </c>
    </row>
    <row r="463" ht="15.75" customHeight="1">
      <c r="A463" s="4">
        <v>2016.0</v>
      </c>
      <c r="B463" s="4">
        <v>401.0</v>
      </c>
      <c r="C463" s="4" t="s">
        <v>21</v>
      </c>
      <c r="D463" s="5">
        <v>731.1378570355824</v>
      </c>
      <c r="E463" s="5">
        <f t="shared" si="1"/>
        <v>0</v>
      </c>
      <c r="F463" s="5">
        <f t="shared" si="2"/>
        <v>731.137857</v>
      </c>
      <c r="G463" s="5">
        <v>6144.983378726583</v>
      </c>
      <c r="H463" s="5">
        <v>4536.381812507344</v>
      </c>
      <c r="I463" s="5">
        <v>1608.6015662192394</v>
      </c>
      <c r="J463" s="5">
        <v>279804.5062603913</v>
      </c>
      <c r="K463" s="5">
        <f t="shared" si="3"/>
        <v>279804.5063</v>
      </c>
      <c r="L463" s="5">
        <f t="shared" si="4"/>
        <v>0</v>
      </c>
      <c r="M463" s="5">
        <v>590.2760563667134</v>
      </c>
      <c r="N463" s="5">
        <f t="shared" si="5"/>
        <v>0</v>
      </c>
      <c r="O463" s="5">
        <f t="shared" si="6"/>
        <v>590.2760564</v>
      </c>
      <c r="P463" s="5">
        <f t="shared" si="9"/>
        <v>287270.9036</v>
      </c>
      <c r="Q463" s="5">
        <f t="shared" si="7"/>
        <v>2930.01548</v>
      </c>
      <c r="R463" s="5">
        <f t="shared" si="8"/>
        <v>284340.8881</v>
      </c>
    </row>
    <row r="464" ht="15.75" customHeight="1">
      <c r="A464" s="4">
        <v>2016.0</v>
      </c>
      <c r="B464" s="4">
        <v>402.0</v>
      </c>
      <c r="C464" s="4" t="s">
        <v>21</v>
      </c>
      <c r="D464" s="5">
        <v>153.25352078403498</v>
      </c>
      <c r="E464" s="5">
        <f t="shared" si="1"/>
        <v>0</v>
      </c>
      <c r="F464" s="5">
        <f t="shared" si="2"/>
        <v>153.2535208</v>
      </c>
      <c r="G464" s="5">
        <v>2570.022572918482</v>
      </c>
      <c r="H464" s="5">
        <v>1837.2927329800216</v>
      </c>
      <c r="I464" s="5">
        <v>732.7298399384606</v>
      </c>
      <c r="J464" s="5">
        <v>95872.37025410592</v>
      </c>
      <c r="K464" s="5">
        <f t="shared" si="3"/>
        <v>95872.37025</v>
      </c>
      <c r="L464" s="5">
        <f t="shared" si="4"/>
        <v>0</v>
      </c>
      <c r="M464" s="5">
        <v>655.2844326185541</v>
      </c>
      <c r="N464" s="5">
        <f t="shared" si="5"/>
        <v>0</v>
      </c>
      <c r="O464" s="5">
        <f t="shared" si="6"/>
        <v>655.2844326</v>
      </c>
      <c r="P464" s="5">
        <f t="shared" si="9"/>
        <v>99250.93078</v>
      </c>
      <c r="Q464" s="5">
        <f t="shared" si="7"/>
        <v>1541.267793</v>
      </c>
      <c r="R464" s="5">
        <f t="shared" si="8"/>
        <v>97709.66299</v>
      </c>
    </row>
    <row r="465" ht="15.75" customHeight="1">
      <c r="A465" s="4">
        <v>2016.0</v>
      </c>
      <c r="B465" s="4">
        <v>403.0</v>
      </c>
      <c r="C465" s="4" t="s">
        <v>21</v>
      </c>
      <c r="D465" s="5">
        <v>2291.5573014655783</v>
      </c>
      <c r="E465" s="5">
        <f t="shared" si="1"/>
        <v>0</v>
      </c>
      <c r="F465" s="5">
        <f t="shared" si="2"/>
        <v>2291.557301</v>
      </c>
      <c r="G465" s="5">
        <v>19221.795929493986</v>
      </c>
      <c r="H465" s="5">
        <v>6226.541259496406</v>
      </c>
      <c r="I465" s="5">
        <v>12995.25466999758</v>
      </c>
      <c r="J465" s="5">
        <v>197278.9584974238</v>
      </c>
      <c r="K465" s="5">
        <f t="shared" si="3"/>
        <v>197278.9585</v>
      </c>
      <c r="L465" s="5">
        <f t="shared" si="4"/>
        <v>0</v>
      </c>
      <c r="M465" s="5">
        <v>8997.123157490169</v>
      </c>
      <c r="N465" s="5">
        <f t="shared" si="5"/>
        <v>0</v>
      </c>
      <c r="O465" s="5">
        <f t="shared" si="6"/>
        <v>8997.123157</v>
      </c>
      <c r="P465" s="5">
        <f t="shared" si="9"/>
        <v>227789.4349</v>
      </c>
      <c r="Q465" s="5">
        <f t="shared" si="7"/>
        <v>24283.93513</v>
      </c>
      <c r="R465" s="5">
        <f t="shared" si="8"/>
        <v>203505.4998</v>
      </c>
    </row>
    <row r="466" ht="15.75" customHeight="1">
      <c r="A466" s="4">
        <v>2016.0</v>
      </c>
      <c r="B466" s="4">
        <v>404.0</v>
      </c>
      <c r="C466" s="4" t="s">
        <v>21</v>
      </c>
      <c r="D466" s="5">
        <v>7844.911601165573</v>
      </c>
      <c r="E466" s="5">
        <f t="shared" si="1"/>
        <v>0</v>
      </c>
      <c r="F466" s="5">
        <f t="shared" si="2"/>
        <v>7844.911601</v>
      </c>
      <c r="G466" s="5">
        <v>6056.29498484238</v>
      </c>
      <c r="H466" s="5">
        <v>2465.385457393827</v>
      </c>
      <c r="I466" s="5">
        <v>3590.9095274485526</v>
      </c>
      <c r="J466" s="5">
        <v>120764.36220488317</v>
      </c>
      <c r="K466" s="5">
        <f t="shared" si="3"/>
        <v>120764.3622</v>
      </c>
      <c r="L466" s="5">
        <f t="shared" si="4"/>
        <v>0</v>
      </c>
      <c r="M466" s="5">
        <v>1064.3315823009698</v>
      </c>
      <c r="N466" s="5">
        <f t="shared" si="5"/>
        <v>0</v>
      </c>
      <c r="O466" s="5">
        <f t="shared" si="6"/>
        <v>1064.331582</v>
      </c>
      <c r="P466" s="5">
        <f t="shared" si="9"/>
        <v>135729.9004</v>
      </c>
      <c r="Q466" s="5">
        <f t="shared" si="7"/>
        <v>12500.15271</v>
      </c>
      <c r="R466" s="5">
        <f t="shared" si="8"/>
        <v>123229.7477</v>
      </c>
    </row>
    <row r="467" ht="15.75" customHeight="1">
      <c r="A467" s="4">
        <v>2016.0</v>
      </c>
      <c r="B467" s="4">
        <v>405.0</v>
      </c>
      <c r="C467" s="4" t="s">
        <v>21</v>
      </c>
      <c r="D467" s="5">
        <v>5486.827341537299</v>
      </c>
      <c r="E467" s="5">
        <f t="shared" si="1"/>
        <v>0</v>
      </c>
      <c r="F467" s="5">
        <f t="shared" si="2"/>
        <v>5486.827342</v>
      </c>
      <c r="G467" s="5">
        <v>1572.5101998402918</v>
      </c>
      <c r="H467" s="5">
        <v>938.2742641279424</v>
      </c>
      <c r="I467" s="5">
        <v>634.2359357123494</v>
      </c>
      <c r="J467" s="5">
        <v>91138.25529548789</v>
      </c>
      <c r="K467" s="5">
        <f t="shared" si="3"/>
        <v>91138.2553</v>
      </c>
      <c r="L467" s="5">
        <f t="shared" si="4"/>
        <v>0</v>
      </c>
      <c r="M467" s="5">
        <v>39.72734104279155</v>
      </c>
      <c r="N467" s="5">
        <f t="shared" si="5"/>
        <v>0</v>
      </c>
      <c r="O467" s="5">
        <f t="shared" si="6"/>
        <v>39.72734104</v>
      </c>
      <c r="P467" s="5">
        <f t="shared" si="9"/>
        <v>98237.32018</v>
      </c>
      <c r="Q467" s="5">
        <f t="shared" si="7"/>
        <v>6160.790618</v>
      </c>
      <c r="R467" s="5">
        <f t="shared" si="8"/>
        <v>92076.52956</v>
      </c>
    </row>
    <row r="468" ht="15.75" customHeight="1">
      <c r="A468" s="4">
        <v>2016.0</v>
      </c>
      <c r="B468" s="4">
        <v>406.0</v>
      </c>
      <c r="C468" s="4" t="s">
        <v>21</v>
      </c>
      <c r="D468" s="5" t="s">
        <v>19</v>
      </c>
      <c r="E468" s="5" t="str">
        <f t="shared" si="1"/>
        <v/>
      </c>
      <c r="F468" s="5" t="str">
        <f t="shared" si="2"/>
        <v/>
      </c>
      <c r="G468" s="5">
        <v>1350.8735999003657</v>
      </c>
      <c r="H468" s="5">
        <v>1051.5861340686745</v>
      </c>
      <c r="I468" s="5">
        <v>299.2874658316912</v>
      </c>
      <c r="J468" s="5">
        <v>103748.90550666087</v>
      </c>
      <c r="K468" s="5">
        <f t="shared" si="3"/>
        <v>103748.9055</v>
      </c>
      <c r="L468" s="5">
        <f t="shared" si="4"/>
        <v>0</v>
      </c>
      <c r="M468" s="5">
        <v>0.0</v>
      </c>
      <c r="N468" s="5">
        <f t="shared" si="5"/>
        <v>0</v>
      </c>
      <c r="O468" s="5">
        <f t="shared" si="6"/>
        <v>0</v>
      </c>
      <c r="P468" s="5">
        <f t="shared" si="9"/>
        <v>105099.7791</v>
      </c>
      <c r="Q468" s="5">
        <f t="shared" si="7"/>
        <v>299.2874658</v>
      </c>
      <c r="R468" s="5">
        <f t="shared" si="8"/>
        <v>104800.4916</v>
      </c>
    </row>
    <row r="469" ht="15.75" customHeight="1">
      <c r="A469" s="4">
        <v>2016.0</v>
      </c>
      <c r="B469" s="4">
        <v>407.0</v>
      </c>
      <c r="C469" s="4" t="s">
        <v>21</v>
      </c>
      <c r="D469" s="5">
        <v>3154.2121484003537</v>
      </c>
      <c r="E469" s="5">
        <f t="shared" si="1"/>
        <v>0</v>
      </c>
      <c r="F469" s="5">
        <f t="shared" si="2"/>
        <v>3154.212148</v>
      </c>
      <c r="G469" s="5">
        <v>2748.791709401534</v>
      </c>
      <c r="H469" s="5">
        <v>2066.1273538507976</v>
      </c>
      <c r="I469" s="5">
        <v>682.6643555507362</v>
      </c>
      <c r="J469" s="5">
        <v>110680.485193293</v>
      </c>
      <c r="K469" s="5">
        <f t="shared" si="3"/>
        <v>110680.4852</v>
      </c>
      <c r="L469" s="5">
        <f t="shared" si="4"/>
        <v>0</v>
      </c>
      <c r="M469" s="5">
        <v>50.92322806394188</v>
      </c>
      <c r="N469" s="5">
        <f t="shared" si="5"/>
        <v>0</v>
      </c>
      <c r="O469" s="5">
        <f t="shared" si="6"/>
        <v>50.92322806</v>
      </c>
      <c r="P469" s="5">
        <f t="shared" si="9"/>
        <v>116634.4123</v>
      </c>
      <c r="Q469" s="5">
        <f t="shared" si="7"/>
        <v>3887.799732</v>
      </c>
      <c r="R469" s="5">
        <f t="shared" si="8"/>
        <v>112746.6125</v>
      </c>
    </row>
    <row r="470" ht="15.75" customHeight="1">
      <c r="A470" s="4">
        <v>2016.0</v>
      </c>
      <c r="B470" s="4">
        <v>408.0</v>
      </c>
      <c r="C470" s="4" t="s">
        <v>21</v>
      </c>
      <c r="D470" s="5" t="s">
        <v>19</v>
      </c>
      <c r="E470" s="5" t="str">
        <f t="shared" si="1"/>
        <v/>
      </c>
      <c r="F470" s="5" t="str">
        <f t="shared" si="2"/>
        <v/>
      </c>
      <c r="G470" s="5">
        <v>204.2111448142477</v>
      </c>
      <c r="H470" s="5">
        <v>117.80113973582222</v>
      </c>
      <c r="I470" s="5">
        <v>86.41000507842547</v>
      </c>
      <c r="J470" s="5">
        <v>38239.54489758605</v>
      </c>
      <c r="K470" s="5">
        <f t="shared" si="3"/>
        <v>38239.5449</v>
      </c>
      <c r="L470" s="5">
        <f t="shared" si="4"/>
        <v>0</v>
      </c>
      <c r="M470" s="5">
        <v>192.85818288046073</v>
      </c>
      <c r="N470" s="5">
        <f t="shared" si="5"/>
        <v>0</v>
      </c>
      <c r="O470" s="5">
        <f t="shared" si="6"/>
        <v>192.8581829</v>
      </c>
      <c r="P470" s="5">
        <f t="shared" si="9"/>
        <v>38636.61423</v>
      </c>
      <c r="Q470" s="5">
        <f t="shared" si="7"/>
        <v>279.268188</v>
      </c>
      <c r="R470" s="5">
        <f t="shared" si="8"/>
        <v>38357.34604</v>
      </c>
    </row>
    <row r="471" ht="15.75" customHeight="1">
      <c r="A471" s="4">
        <v>2016.0</v>
      </c>
      <c r="B471" s="4">
        <v>409.0</v>
      </c>
      <c r="C471" s="4" t="s">
        <v>21</v>
      </c>
      <c r="D471" s="5">
        <v>2572.156154706261</v>
      </c>
      <c r="E471" s="5">
        <f t="shared" si="1"/>
        <v>0</v>
      </c>
      <c r="F471" s="5">
        <f t="shared" si="2"/>
        <v>2572.156155</v>
      </c>
      <c r="G471" s="5">
        <v>2378.3847589213105</v>
      </c>
      <c r="H471" s="5">
        <v>1534.3682835361426</v>
      </c>
      <c r="I471" s="5">
        <v>844.016475385168</v>
      </c>
      <c r="J471" s="5">
        <v>97469.36866213269</v>
      </c>
      <c r="K471" s="5">
        <f t="shared" si="3"/>
        <v>97469.36866</v>
      </c>
      <c r="L471" s="5">
        <f t="shared" si="4"/>
        <v>0</v>
      </c>
      <c r="M471" s="5">
        <v>377.7708975523633</v>
      </c>
      <c r="N471" s="5">
        <f t="shared" si="5"/>
        <v>0</v>
      </c>
      <c r="O471" s="5">
        <f t="shared" si="6"/>
        <v>377.7708976</v>
      </c>
      <c r="P471" s="5">
        <f t="shared" si="9"/>
        <v>102797.6805</v>
      </c>
      <c r="Q471" s="5">
        <f t="shared" si="7"/>
        <v>3793.943528</v>
      </c>
      <c r="R471" s="5">
        <f t="shared" si="8"/>
        <v>99003.73695</v>
      </c>
    </row>
    <row r="472" ht="15.75" customHeight="1">
      <c r="A472" s="4">
        <v>2016.0</v>
      </c>
      <c r="B472" s="4">
        <v>420.0</v>
      </c>
      <c r="C472" s="4" t="s">
        <v>21</v>
      </c>
      <c r="D472" s="5">
        <v>999.0021770306007</v>
      </c>
      <c r="E472" s="5">
        <f t="shared" si="1"/>
        <v>0</v>
      </c>
      <c r="F472" s="5">
        <f t="shared" si="2"/>
        <v>999.002177</v>
      </c>
      <c r="G472" s="5" t="s">
        <v>19</v>
      </c>
      <c r="H472" s="5" t="s">
        <v>19</v>
      </c>
      <c r="I472" s="5" t="s">
        <v>19</v>
      </c>
      <c r="J472" s="5">
        <v>1781.2955495556744</v>
      </c>
      <c r="K472" s="5">
        <f t="shared" si="3"/>
        <v>1781.29555</v>
      </c>
      <c r="L472" s="5">
        <f t="shared" si="4"/>
        <v>0</v>
      </c>
      <c r="M472" s="5">
        <v>7046.1856704078455</v>
      </c>
      <c r="N472" s="5">
        <f t="shared" si="5"/>
        <v>0</v>
      </c>
      <c r="O472" s="5">
        <f t="shared" si="6"/>
        <v>7046.18567</v>
      </c>
      <c r="P472" s="5">
        <f t="shared" si="9"/>
        <v>9826.483397</v>
      </c>
      <c r="Q472" s="5">
        <f t="shared" si="7"/>
        <v>8045.187847</v>
      </c>
      <c r="R472" s="5">
        <f t="shared" si="8"/>
        <v>1781.29555</v>
      </c>
    </row>
    <row r="473" ht="15.75" customHeight="1">
      <c r="A473" s="4">
        <v>2016.0</v>
      </c>
      <c r="B473" s="4">
        <v>421.0</v>
      </c>
      <c r="C473" s="4" t="s">
        <v>21</v>
      </c>
      <c r="D473" s="5">
        <v>5849.1028562846595</v>
      </c>
      <c r="E473" s="5">
        <f t="shared" si="1"/>
        <v>0</v>
      </c>
      <c r="F473" s="5">
        <f t="shared" si="2"/>
        <v>5849.102856</v>
      </c>
      <c r="G473" s="5">
        <v>2033.6729710840368</v>
      </c>
      <c r="H473" s="5">
        <v>1378.8471513490938</v>
      </c>
      <c r="I473" s="5">
        <v>654.825819734943</v>
      </c>
      <c r="J473" s="5">
        <v>82.57324969413696</v>
      </c>
      <c r="K473" s="5">
        <f t="shared" si="3"/>
        <v>82.57324969</v>
      </c>
      <c r="L473" s="5">
        <f t="shared" si="4"/>
        <v>0</v>
      </c>
      <c r="M473" s="5">
        <v>54164.04008315448</v>
      </c>
      <c r="N473" s="5">
        <f t="shared" si="5"/>
        <v>0</v>
      </c>
      <c r="O473" s="5">
        <f t="shared" si="6"/>
        <v>54164.04008</v>
      </c>
      <c r="P473" s="5">
        <f t="shared" si="9"/>
        <v>62129.38916</v>
      </c>
      <c r="Q473" s="5">
        <f t="shared" si="7"/>
        <v>60667.96876</v>
      </c>
      <c r="R473" s="5">
        <f t="shared" si="8"/>
        <v>1461.420401</v>
      </c>
    </row>
    <row r="474" ht="15.75" customHeight="1">
      <c r="A474" s="4">
        <v>2016.0</v>
      </c>
      <c r="B474" s="4">
        <v>422.0</v>
      </c>
      <c r="C474" s="4" t="s">
        <v>21</v>
      </c>
      <c r="D474" s="5">
        <v>491.8164563842957</v>
      </c>
      <c r="E474" s="5">
        <f t="shared" si="1"/>
        <v>0</v>
      </c>
      <c r="F474" s="5">
        <f t="shared" si="2"/>
        <v>491.8164564</v>
      </c>
      <c r="G474" s="5" t="s">
        <v>19</v>
      </c>
      <c r="H474" s="5" t="s">
        <v>19</v>
      </c>
      <c r="I474" s="5" t="s">
        <v>19</v>
      </c>
      <c r="J474" s="5">
        <v>0.0</v>
      </c>
      <c r="K474" s="5">
        <f t="shared" si="3"/>
        <v>0</v>
      </c>
      <c r="L474" s="5">
        <f t="shared" si="4"/>
        <v>0</v>
      </c>
      <c r="M474" s="5">
        <v>35912.50506127521</v>
      </c>
      <c r="N474" s="5">
        <f t="shared" si="5"/>
        <v>0</v>
      </c>
      <c r="O474" s="5">
        <f t="shared" si="6"/>
        <v>35912.50506</v>
      </c>
      <c r="P474" s="5">
        <f t="shared" si="9"/>
        <v>36404.32152</v>
      </c>
      <c r="Q474" s="5">
        <f t="shared" si="7"/>
        <v>36404.32152</v>
      </c>
      <c r="R474" s="5">
        <f t="shared" si="8"/>
        <v>0</v>
      </c>
    </row>
    <row r="475" ht="15.75" customHeight="1">
      <c r="A475" s="4">
        <v>2016.0</v>
      </c>
      <c r="B475" s="4">
        <v>423.0</v>
      </c>
      <c r="C475" s="4" t="s">
        <v>21</v>
      </c>
      <c r="D475" s="5">
        <v>9795.490796932574</v>
      </c>
      <c r="E475" s="5">
        <f t="shared" si="1"/>
        <v>0</v>
      </c>
      <c r="F475" s="5">
        <f t="shared" si="2"/>
        <v>9795.490797</v>
      </c>
      <c r="G475" s="5">
        <v>3963.763636275724</v>
      </c>
      <c r="H475" s="5">
        <v>1707.2726784635788</v>
      </c>
      <c r="I475" s="5">
        <v>2256.490957812145</v>
      </c>
      <c r="J475" s="5">
        <v>6925.196139251936</v>
      </c>
      <c r="K475" s="5">
        <f t="shared" si="3"/>
        <v>6925.196139</v>
      </c>
      <c r="L475" s="5">
        <f t="shared" si="4"/>
        <v>0</v>
      </c>
      <c r="M475" s="5">
        <v>147831.9368578525</v>
      </c>
      <c r="N475" s="5">
        <f t="shared" si="5"/>
        <v>0</v>
      </c>
      <c r="O475" s="5">
        <f t="shared" si="6"/>
        <v>147831.9369</v>
      </c>
      <c r="P475" s="5">
        <f t="shared" si="9"/>
        <v>168516.3874</v>
      </c>
      <c r="Q475" s="5">
        <f t="shared" si="7"/>
        <v>159883.9186</v>
      </c>
      <c r="R475" s="5">
        <f t="shared" si="8"/>
        <v>8632.468818</v>
      </c>
    </row>
    <row r="476" ht="15.75" customHeight="1">
      <c r="A476" s="4">
        <v>2016.0</v>
      </c>
      <c r="B476" s="4">
        <v>424.0</v>
      </c>
      <c r="C476" s="4" t="s">
        <v>21</v>
      </c>
      <c r="D476" s="5">
        <v>2022.1560550443583</v>
      </c>
      <c r="E476" s="5">
        <f t="shared" si="1"/>
        <v>0</v>
      </c>
      <c r="F476" s="5">
        <f t="shared" si="2"/>
        <v>2022.156055</v>
      </c>
      <c r="G476" s="5">
        <v>2023.124874760987</v>
      </c>
      <c r="H476" s="5">
        <v>1369.1429027318882</v>
      </c>
      <c r="I476" s="5">
        <v>653.9819720290989</v>
      </c>
      <c r="J476" s="5">
        <v>12157.831213427206</v>
      </c>
      <c r="K476" s="5">
        <f t="shared" si="3"/>
        <v>12157.83121</v>
      </c>
      <c r="L476" s="5">
        <f t="shared" si="4"/>
        <v>0</v>
      </c>
      <c r="M476" s="5">
        <v>74416.74962065293</v>
      </c>
      <c r="N476" s="5">
        <f t="shared" si="5"/>
        <v>0</v>
      </c>
      <c r="O476" s="5">
        <f t="shared" si="6"/>
        <v>74416.74962</v>
      </c>
      <c r="P476" s="5">
        <f t="shared" si="9"/>
        <v>90619.86176</v>
      </c>
      <c r="Q476" s="5">
        <f t="shared" si="7"/>
        <v>77092.88765</v>
      </c>
      <c r="R476" s="5">
        <f t="shared" si="8"/>
        <v>13526.97412</v>
      </c>
    </row>
    <row r="477" ht="15.75" customHeight="1">
      <c r="A477" s="4">
        <v>2016.0</v>
      </c>
      <c r="B477" s="4">
        <v>425.0</v>
      </c>
      <c r="C477" s="4" t="s">
        <v>21</v>
      </c>
      <c r="D477" s="5">
        <v>2582.0363960175523</v>
      </c>
      <c r="E477" s="5">
        <f t="shared" si="1"/>
        <v>0</v>
      </c>
      <c r="F477" s="5">
        <f t="shared" si="2"/>
        <v>2582.036396</v>
      </c>
      <c r="G477" s="5" t="s">
        <v>19</v>
      </c>
      <c r="H477" s="5" t="s">
        <v>19</v>
      </c>
      <c r="I477" s="5" t="s">
        <v>19</v>
      </c>
      <c r="J477" s="5">
        <v>0.0</v>
      </c>
      <c r="K477" s="5">
        <f t="shared" si="3"/>
        <v>0</v>
      </c>
      <c r="L477" s="5">
        <f t="shared" si="4"/>
        <v>0</v>
      </c>
      <c r="M477" s="5">
        <v>84113.25455931918</v>
      </c>
      <c r="N477" s="5">
        <f t="shared" si="5"/>
        <v>0</v>
      </c>
      <c r="O477" s="5">
        <f t="shared" si="6"/>
        <v>84113.25456</v>
      </c>
      <c r="P477" s="5">
        <f t="shared" si="9"/>
        <v>86695.29096</v>
      </c>
      <c r="Q477" s="5">
        <f t="shared" si="7"/>
        <v>86695.29096</v>
      </c>
      <c r="R477" s="5">
        <f t="shared" si="8"/>
        <v>0</v>
      </c>
    </row>
    <row r="478" ht="15.75" customHeight="1">
      <c r="A478" s="4">
        <v>2016.0</v>
      </c>
      <c r="B478" s="4">
        <v>426.0</v>
      </c>
      <c r="C478" s="4" t="s">
        <v>21</v>
      </c>
      <c r="D478" s="5" t="s">
        <v>19</v>
      </c>
      <c r="E478" s="5" t="str">
        <f t="shared" si="1"/>
        <v/>
      </c>
      <c r="F478" s="5" t="str">
        <f t="shared" si="2"/>
        <v/>
      </c>
      <c r="G478" s="5" t="s">
        <v>19</v>
      </c>
      <c r="H478" s="5" t="s">
        <v>19</v>
      </c>
      <c r="I478" s="5" t="s">
        <v>19</v>
      </c>
      <c r="J478" s="5">
        <v>0.0</v>
      </c>
      <c r="K478" s="5">
        <f t="shared" si="3"/>
        <v>0</v>
      </c>
      <c r="L478" s="5">
        <f t="shared" si="4"/>
        <v>0</v>
      </c>
      <c r="M478" s="5">
        <v>48013.09198526366</v>
      </c>
      <c r="N478" s="5">
        <f t="shared" si="5"/>
        <v>0</v>
      </c>
      <c r="O478" s="5">
        <f t="shared" si="6"/>
        <v>48013.09199</v>
      </c>
      <c r="P478" s="5">
        <f t="shared" si="9"/>
        <v>48013.09199</v>
      </c>
      <c r="Q478" s="5">
        <f t="shared" si="7"/>
        <v>48013.09199</v>
      </c>
      <c r="R478" s="5">
        <f t="shared" si="8"/>
        <v>0</v>
      </c>
    </row>
    <row r="479" ht="15.75" customHeight="1">
      <c r="A479" s="4">
        <v>2016.0</v>
      </c>
      <c r="B479" s="4">
        <v>427.0</v>
      </c>
      <c r="C479" s="4" t="s">
        <v>21</v>
      </c>
      <c r="D479" s="5">
        <v>13433.61520866819</v>
      </c>
      <c r="E479" s="5">
        <f t="shared" si="1"/>
        <v>0</v>
      </c>
      <c r="F479" s="5">
        <f t="shared" si="2"/>
        <v>13433.61521</v>
      </c>
      <c r="G479" s="5">
        <v>3706.1791240668426</v>
      </c>
      <c r="H479" s="5">
        <v>1370.0711352083167</v>
      </c>
      <c r="I479" s="5">
        <v>2336.107988858526</v>
      </c>
      <c r="J479" s="5">
        <v>0.0</v>
      </c>
      <c r="K479" s="5">
        <f t="shared" si="3"/>
        <v>0</v>
      </c>
      <c r="L479" s="5">
        <f t="shared" si="4"/>
        <v>0</v>
      </c>
      <c r="M479" s="5">
        <v>58225.40227372362</v>
      </c>
      <c r="N479" s="5">
        <f t="shared" si="5"/>
        <v>0</v>
      </c>
      <c r="O479" s="5">
        <f t="shared" si="6"/>
        <v>58225.40227</v>
      </c>
      <c r="P479" s="5">
        <f t="shared" si="9"/>
        <v>75365.19661</v>
      </c>
      <c r="Q479" s="5">
        <f t="shared" si="7"/>
        <v>73995.12547</v>
      </c>
      <c r="R479" s="5">
        <f t="shared" si="8"/>
        <v>1370.071135</v>
      </c>
    </row>
    <row r="480" ht="15.75" customHeight="1">
      <c r="A480" s="4">
        <v>2016.0</v>
      </c>
      <c r="B480" s="4">
        <v>428.0</v>
      </c>
      <c r="C480" s="4" t="s">
        <v>21</v>
      </c>
      <c r="D480" s="5" t="s">
        <v>19</v>
      </c>
      <c r="E480" s="5" t="str">
        <f t="shared" si="1"/>
        <v/>
      </c>
      <c r="F480" s="5" t="str">
        <f t="shared" si="2"/>
        <v/>
      </c>
      <c r="G480" s="5" t="s">
        <v>19</v>
      </c>
      <c r="H480" s="5" t="s">
        <v>19</v>
      </c>
      <c r="I480" s="5" t="s">
        <v>19</v>
      </c>
      <c r="J480" s="5">
        <v>0.0</v>
      </c>
      <c r="K480" s="5">
        <f t="shared" si="3"/>
        <v>0</v>
      </c>
      <c r="L480" s="5">
        <f t="shared" si="4"/>
        <v>0</v>
      </c>
      <c r="M480" s="5">
        <v>10163.337311683608</v>
      </c>
      <c r="N480" s="5">
        <f t="shared" si="5"/>
        <v>0</v>
      </c>
      <c r="O480" s="5">
        <f t="shared" si="6"/>
        <v>10163.33731</v>
      </c>
      <c r="P480" s="5">
        <f t="shared" si="9"/>
        <v>10163.33731</v>
      </c>
      <c r="Q480" s="5">
        <f t="shared" si="7"/>
        <v>10163.33731</v>
      </c>
      <c r="R480" s="5">
        <f t="shared" si="8"/>
        <v>0</v>
      </c>
    </row>
    <row r="481" ht="15.75" customHeight="1">
      <c r="A481" s="4">
        <v>2016.0</v>
      </c>
      <c r="B481" s="4">
        <v>429.0</v>
      </c>
      <c r="C481" s="4" t="s">
        <v>21</v>
      </c>
      <c r="D481" s="5">
        <v>9724.265235124063</v>
      </c>
      <c r="E481" s="5">
        <f t="shared" si="1"/>
        <v>0</v>
      </c>
      <c r="F481" s="5">
        <f t="shared" si="2"/>
        <v>9724.265235</v>
      </c>
      <c r="G481" s="5">
        <v>3002.83206124587</v>
      </c>
      <c r="H481" s="5">
        <v>1116.2417452904417</v>
      </c>
      <c r="I481" s="5">
        <v>1886.5903159554284</v>
      </c>
      <c r="J481" s="5">
        <v>3105.07177792145</v>
      </c>
      <c r="K481" s="5">
        <f t="shared" si="3"/>
        <v>3105.071778</v>
      </c>
      <c r="L481" s="5">
        <f t="shared" si="4"/>
        <v>0</v>
      </c>
      <c r="M481" s="5">
        <v>2685.5682544927095</v>
      </c>
      <c r="N481" s="5">
        <f t="shared" si="5"/>
        <v>0</v>
      </c>
      <c r="O481" s="5">
        <f t="shared" si="6"/>
        <v>2685.568254</v>
      </c>
      <c r="P481" s="5">
        <f t="shared" si="9"/>
        <v>18517.73733</v>
      </c>
      <c r="Q481" s="5">
        <f t="shared" si="7"/>
        <v>14296.42381</v>
      </c>
      <c r="R481" s="5">
        <f t="shared" si="8"/>
        <v>4221.313523</v>
      </c>
    </row>
    <row r="482" ht="15.75" customHeight="1">
      <c r="A482" s="4">
        <v>2016.0</v>
      </c>
      <c r="B482" s="4">
        <v>500.0</v>
      </c>
      <c r="C482" s="4" t="s">
        <v>22</v>
      </c>
      <c r="D482" s="5">
        <v>4455.715383460683</v>
      </c>
      <c r="E482" s="5">
        <f t="shared" si="1"/>
        <v>0</v>
      </c>
      <c r="F482" s="5">
        <f t="shared" si="2"/>
        <v>4455.715383</v>
      </c>
      <c r="G482" s="5">
        <v>17334.351676349277</v>
      </c>
      <c r="H482" s="5">
        <v>10083.381595022674</v>
      </c>
      <c r="I482" s="5">
        <v>7250.970081326603</v>
      </c>
      <c r="J482" s="5">
        <v>79381.49549508422</v>
      </c>
      <c r="K482" s="5">
        <f t="shared" si="3"/>
        <v>79381.4955</v>
      </c>
      <c r="L482" s="5">
        <f t="shared" si="4"/>
        <v>0</v>
      </c>
      <c r="M482" s="5">
        <v>4649.314226148175</v>
      </c>
      <c r="N482" s="5">
        <f t="shared" si="5"/>
        <v>0</v>
      </c>
      <c r="O482" s="5">
        <f t="shared" si="6"/>
        <v>4649.314226</v>
      </c>
      <c r="P482" s="5">
        <f t="shared" si="9"/>
        <v>105820.8768</v>
      </c>
      <c r="Q482" s="5">
        <f t="shared" si="7"/>
        <v>16355.99969</v>
      </c>
      <c r="R482" s="5">
        <f t="shared" si="8"/>
        <v>89464.87709</v>
      </c>
    </row>
    <row r="483" ht="15.75" customHeight="1">
      <c r="A483" s="4">
        <v>2016.0</v>
      </c>
      <c r="B483" s="4">
        <v>501.0</v>
      </c>
      <c r="C483" s="4" t="s">
        <v>22</v>
      </c>
      <c r="D483" s="5">
        <v>6620.122836211252</v>
      </c>
      <c r="E483" s="5">
        <f t="shared" si="1"/>
        <v>0</v>
      </c>
      <c r="F483" s="5">
        <f t="shared" si="2"/>
        <v>6620.122836</v>
      </c>
      <c r="G483" s="5">
        <v>5784.621884848973</v>
      </c>
      <c r="H483" s="5">
        <v>2198.716282573499</v>
      </c>
      <c r="I483" s="5">
        <v>3585.9056022754744</v>
      </c>
      <c r="J483" s="5">
        <v>55503.63799739194</v>
      </c>
      <c r="K483" s="5">
        <f t="shared" si="3"/>
        <v>55503.638</v>
      </c>
      <c r="L483" s="5">
        <f t="shared" si="4"/>
        <v>0</v>
      </c>
      <c r="M483" s="5">
        <v>5302.6644589300995</v>
      </c>
      <c r="N483" s="5">
        <f t="shared" si="5"/>
        <v>0</v>
      </c>
      <c r="O483" s="5">
        <f t="shared" si="6"/>
        <v>5302.664459</v>
      </c>
      <c r="P483" s="5">
        <f t="shared" si="9"/>
        <v>73211.04718</v>
      </c>
      <c r="Q483" s="5">
        <f t="shared" si="7"/>
        <v>15508.6929</v>
      </c>
      <c r="R483" s="5">
        <f t="shared" si="8"/>
        <v>57702.35428</v>
      </c>
    </row>
    <row r="484" ht="15.75" customHeight="1">
      <c r="A484" s="4">
        <v>2016.0</v>
      </c>
      <c r="B484" s="4">
        <v>502.0</v>
      </c>
      <c r="C484" s="4" t="s">
        <v>22</v>
      </c>
      <c r="D484" s="5">
        <v>1732.6796029091781</v>
      </c>
      <c r="E484" s="5">
        <f t="shared" si="1"/>
        <v>0</v>
      </c>
      <c r="F484" s="5">
        <f t="shared" si="2"/>
        <v>1732.679603</v>
      </c>
      <c r="G484" s="5" t="s">
        <v>19</v>
      </c>
      <c r="H484" s="5" t="s">
        <v>19</v>
      </c>
      <c r="I484" s="5" t="s">
        <v>19</v>
      </c>
      <c r="J484" s="5">
        <v>0.0</v>
      </c>
      <c r="K484" s="5">
        <f t="shared" si="3"/>
        <v>0</v>
      </c>
      <c r="L484" s="5">
        <f t="shared" si="4"/>
        <v>0</v>
      </c>
      <c r="M484" s="5">
        <v>0.0</v>
      </c>
      <c r="N484" s="5">
        <f t="shared" si="5"/>
        <v>0</v>
      </c>
      <c r="O484" s="5">
        <f t="shared" si="6"/>
        <v>0</v>
      </c>
      <c r="P484" s="5">
        <f t="shared" si="9"/>
        <v>1732.679603</v>
      </c>
      <c r="Q484" s="5">
        <f t="shared" si="7"/>
        <v>1732.679603</v>
      </c>
      <c r="R484" s="5">
        <f t="shared" si="8"/>
        <v>0</v>
      </c>
    </row>
    <row r="485" ht="15.75" customHeight="1">
      <c r="A485" s="4">
        <v>2016.0</v>
      </c>
      <c r="B485" s="4">
        <v>503.0</v>
      </c>
      <c r="C485" s="4" t="s">
        <v>22</v>
      </c>
      <c r="D485" s="5" t="s">
        <v>19</v>
      </c>
      <c r="E485" s="5" t="str">
        <f t="shared" si="1"/>
        <v/>
      </c>
      <c r="F485" s="5" t="str">
        <f t="shared" si="2"/>
        <v/>
      </c>
      <c r="G485" s="5" t="s">
        <v>19</v>
      </c>
      <c r="H485" s="5" t="s">
        <v>19</v>
      </c>
      <c r="I485" s="5" t="s">
        <v>19</v>
      </c>
      <c r="J485" s="5">
        <v>0.0</v>
      </c>
      <c r="K485" s="5">
        <f t="shared" si="3"/>
        <v>0</v>
      </c>
      <c r="L485" s="5">
        <f t="shared" si="4"/>
        <v>0</v>
      </c>
      <c r="M485" s="5">
        <v>3337.3718153246537</v>
      </c>
      <c r="N485" s="5">
        <f t="shared" si="5"/>
        <v>0</v>
      </c>
      <c r="O485" s="5">
        <f t="shared" si="6"/>
        <v>3337.371815</v>
      </c>
      <c r="P485" s="5">
        <f t="shared" si="9"/>
        <v>3337.371815</v>
      </c>
      <c r="Q485" s="5">
        <f t="shared" si="7"/>
        <v>3337.371815</v>
      </c>
      <c r="R485" s="5">
        <f t="shared" si="8"/>
        <v>0</v>
      </c>
    </row>
    <row r="486" ht="15.75" customHeight="1">
      <c r="A486" s="4">
        <v>2016.0</v>
      </c>
      <c r="B486" s="4">
        <v>504.0</v>
      </c>
      <c r="C486" s="4" t="s">
        <v>22</v>
      </c>
      <c r="D486" s="5">
        <v>3773.7362414193503</v>
      </c>
      <c r="E486" s="5">
        <f t="shared" si="1"/>
        <v>0</v>
      </c>
      <c r="F486" s="5">
        <f t="shared" si="2"/>
        <v>3773.736241</v>
      </c>
      <c r="G486" s="5">
        <v>6519.153477223275</v>
      </c>
      <c r="H486" s="5">
        <v>2920.73347588627</v>
      </c>
      <c r="I486" s="5">
        <v>3598.4200013370055</v>
      </c>
      <c r="J486" s="5">
        <v>27497.85454728386</v>
      </c>
      <c r="K486" s="5">
        <f t="shared" si="3"/>
        <v>27497.85455</v>
      </c>
      <c r="L486" s="5">
        <f t="shared" si="4"/>
        <v>0</v>
      </c>
      <c r="M486" s="5">
        <v>42320.40822519212</v>
      </c>
      <c r="N486" s="5">
        <f t="shared" si="5"/>
        <v>0</v>
      </c>
      <c r="O486" s="5">
        <f t="shared" si="6"/>
        <v>42320.40823</v>
      </c>
      <c r="P486" s="5">
        <f t="shared" si="9"/>
        <v>80111.15249</v>
      </c>
      <c r="Q486" s="5">
        <f t="shared" si="7"/>
        <v>49692.56447</v>
      </c>
      <c r="R486" s="5">
        <f t="shared" si="8"/>
        <v>30418.58802</v>
      </c>
    </row>
    <row r="487" ht="15.75" customHeight="1">
      <c r="A487" s="4">
        <v>2016.0</v>
      </c>
      <c r="B487" s="4">
        <v>505.0</v>
      </c>
      <c r="C487" s="4" t="s">
        <v>22</v>
      </c>
      <c r="D487" s="5">
        <v>5675.024870988065</v>
      </c>
      <c r="E487" s="5">
        <f t="shared" si="1"/>
        <v>0</v>
      </c>
      <c r="F487" s="5">
        <f t="shared" si="2"/>
        <v>5675.024871</v>
      </c>
      <c r="G487" s="5">
        <v>30422.292010124613</v>
      </c>
      <c r="H487" s="5">
        <v>9362.043148777648</v>
      </c>
      <c r="I487" s="5">
        <v>21060.248861346965</v>
      </c>
      <c r="J487" s="5">
        <v>7374.445867577786</v>
      </c>
      <c r="K487" s="5">
        <f t="shared" si="3"/>
        <v>7374.445868</v>
      </c>
      <c r="L487" s="5">
        <f t="shared" si="4"/>
        <v>0</v>
      </c>
      <c r="M487" s="5">
        <v>9600.040304727503</v>
      </c>
      <c r="N487" s="5">
        <f t="shared" si="5"/>
        <v>0</v>
      </c>
      <c r="O487" s="5">
        <f t="shared" si="6"/>
        <v>9600.040305</v>
      </c>
      <c r="P487" s="5">
        <f t="shared" si="9"/>
        <v>53071.80305</v>
      </c>
      <c r="Q487" s="5">
        <f t="shared" si="7"/>
        <v>36335.31404</v>
      </c>
      <c r="R487" s="5">
        <f t="shared" si="8"/>
        <v>16736.48902</v>
      </c>
    </row>
    <row r="488" ht="15.75" customHeight="1">
      <c r="A488" s="4">
        <v>2016.0</v>
      </c>
      <c r="B488" s="4">
        <v>506.0</v>
      </c>
      <c r="C488" s="4" t="s">
        <v>22</v>
      </c>
      <c r="D488" s="5">
        <v>6271.812083769843</v>
      </c>
      <c r="E488" s="5">
        <f t="shared" si="1"/>
        <v>0</v>
      </c>
      <c r="F488" s="5">
        <f t="shared" si="2"/>
        <v>6271.812084</v>
      </c>
      <c r="G488" s="5">
        <v>23103.277535256668</v>
      </c>
      <c r="H488" s="5">
        <v>8922.469579029881</v>
      </c>
      <c r="I488" s="5">
        <v>14180.807956226787</v>
      </c>
      <c r="J488" s="5">
        <v>8709.585491320453</v>
      </c>
      <c r="K488" s="5">
        <f t="shared" si="3"/>
        <v>8709.585491</v>
      </c>
      <c r="L488" s="5">
        <f t="shared" si="4"/>
        <v>0</v>
      </c>
      <c r="M488" s="5">
        <v>4147.689186715653</v>
      </c>
      <c r="N488" s="5">
        <f t="shared" si="5"/>
        <v>0</v>
      </c>
      <c r="O488" s="5">
        <f t="shared" si="6"/>
        <v>4147.689187</v>
      </c>
      <c r="P488" s="5">
        <f t="shared" si="9"/>
        <v>42232.3643</v>
      </c>
      <c r="Q488" s="5">
        <f t="shared" si="7"/>
        <v>24600.30923</v>
      </c>
      <c r="R488" s="5">
        <f t="shared" si="8"/>
        <v>17632.05507</v>
      </c>
    </row>
    <row r="489" ht="15.75" customHeight="1">
      <c r="A489" s="4">
        <v>2016.0</v>
      </c>
      <c r="B489" s="4">
        <v>507.0</v>
      </c>
      <c r="C489" s="4" t="s">
        <v>22</v>
      </c>
      <c r="D489" s="5" t="s">
        <v>19</v>
      </c>
      <c r="E489" s="5" t="str">
        <f t="shared" si="1"/>
        <v/>
      </c>
      <c r="F489" s="5" t="str">
        <f t="shared" si="2"/>
        <v/>
      </c>
      <c r="G489" s="5" t="s">
        <v>19</v>
      </c>
      <c r="H489" s="5" t="s">
        <v>19</v>
      </c>
      <c r="I489" s="5" t="s">
        <v>19</v>
      </c>
      <c r="J489" s="5">
        <v>0.0</v>
      </c>
      <c r="K489" s="5">
        <f t="shared" si="3"/>
        <v>0</v>
      </c>
      <c r="L489" s="5">
        <f t="shared" si="4"/>
        <v>0</v>
      </c>
      <c r="M489" s="5">
        <v>0.0</v>
      </c>
      <c r="N489" s="5">
        <f t="shared" si="5"/>
        <v>0</v>
      </c>
      <c r="O489" s="5">
        <f t="shared" si="6"/>
        <v>0</v>
      </c>
      <c r="P489" s="5">
        <f t="shared" si="9"/>
        <v>0</v>
      </c>
      <c r="Q489" s="5">
        <f t="shared" si="7"/>
        <v>0</v>
      </c>
      <c r="R489" s="5">
        <f t="shared" si="8"/>
        <v>0</v>
      </c>
    </row>
    <row r="490" ht="15.75" customHeight="1">
      <c r="A490" s="4">
        <v>2016.0</v>
      </c>
      <c r="B490" s="4">
        <v>508.0</v>
      </c>
      <c r="C490" s="4" t="s">
        <v>22</v>
      </c>
      <c r="D490" s="5">
        <v>10143.164077465768</v>
      </c>
      <c r="E490" s="5">
        <f t="shared" si="1"/>
        <v>0</v>
      </c>
      <c r="F490" s="5">
        <f t="shared" si="2"/>
        <v>10143.16408</v>
      </c>
      <c r="G490" s="5" t="s">
        <v>19</v>
      </c>
      <c r="H490" s="5" t="s">
        <v>19</v>
      </c>
      <c r="I490" s="5" t="s">
        <v>19</v>
      </c>
      <c r="J490" s="5">
        <v>0.0</v>
      </c>
      <c r="K490" s="5">
        <f t="shared" si="3"/>
        <v>0</v>
      </c>
      <c r="L490" s="5">
        <f t="shared" si="4"/>
        <v>0</v>
      </c>
      <c r="M490" s="5">
        <v>62915.283102491594</v>
      </c>
      <c r="N490" s="5">
        <f t="shared" si="5"/>
        <v>0</v>
      </c>
      <c r="O490" s="5">
        <f t="shared" si="6"/>
        <v>62915.2831</v>
      </c>
      <c r="P490" s="5">
        <f t="shared" si="9"/>
        <v>73058.44718</v>
      </c>
      <c r="Q490" s="5">
        <f t="shared" si="7"/>
        <v>73058.44718</v>
      </c>
      <c r="R490" s="5">
        <f t="shared" si="8"/>
        <v>0</v>
      </c>
    </row>
    <row r="491" ht="15.75" customHeight="1">
      <c r="A491" s="4">
        <v>2016.0</v>
      </c>
      <c r="B491" s="4">
        <v>520.0</v>
      </c>
      <c r="C491" s="4" t="s">
        <v>22</v>
      </c>
      <c r="D491" s="5">
        <v>556.8091251448727</v>
      </c>
      <c r="E491" s="5">
        <f t="shared" si="1"/>
        <v>0</v>
      </c>
      <c r="F491" s="5">
        <f t="shared" si="2"/>
        <v>556.8091251</v>
      </c>
      <c r="G491" s="5">
        <v>4619.722229833185</v>
      </c>
      <c r="H491" s="5">
        <v>2048.9677107524594</v>
      </c>
      <c r="I491" s="5">
        <v>2570.754519080726</v>
      </c>
      <c r="J491" s="5">
        <v>17462.935263591677</v>
      </c>
      <c r="K491" s="5">
        <f t="shared" si="3"/>
        <v>17462.93526</v>
      </c>
      <c r="L491" s="5">
        <f t="shared" si="4"/>
        <v>0</v>
      </c>
      <c r="M491" s="5">
        <v>268615.62191401393</v>
      </c>
      <c r="N491" s="5">
        <f t="shared" si="5"/>
        <v>0</v>
      </c>
      <c r="O491" s="5">
        <f t="shared" si="6"/>
        <v>268615.6219</v>
      </c>
      <c r="P491" s="5">
        <f t="shared" si="9"/>
        <v>291255.0885</v>
      </c>
      <c r="Q491" s="5">
        <f t="shared" si="7"/>
        <v>271743.1856</v>
      </c>
      <c r="R491" s="5">
        <f t="shared" si="8"/>
        <v>19511.90297</v>
      </c>
    </row>
    <row r="492" ht="15.75" customHeight="1">
      <c r="A492" s="4">
        <v>2016.0</v>
      </c>
      <c r="B492" s="4">
        <v>521.0</v>
      </c>
      <c r="C492" s="4" t="s">
        <v>22</v>
      </c>
      <c r="D492" s="5">
        <v>2622.314072520677</v>
      </c>
      <c r="E492" s="5">
        <f t="shared" si="1"/>
        <v>0</v>
      </c>
      <c r="F492" s="5">
        <f t="shared" si="2"/>
        <v>2622.314073</v>
      </c>
      <c r="G492" s="5">
        <v>3317.37629359922</v>
      </c>
      <c r="H492" s="5">
        <v>1635.7804332632475</v>
      </c>
      <c r="I492" s="5">
        <v>1681.5958603359725</v>
      </c>
      <c r="J492" s="5">
        <v>18698.535827277126</v>
      </c>
      <c r="K492" s="5">
        <f t="shared" si="3"/>
        <v>18698.53583</v>
      </c>
      <c r="L492" s="5">
        <f t="shared" si="4"/>
        <v>0</v>
      </c>
      <c r="M492" s="5">
        <v>27483.955825233148</v>
      </c>
      <c r="N492" s="5">
        <f t="shared" si="5"/>
        <v>0</v>
      </c>
      <c r="O492" s="5">
        <f t="shared" si="6"/>
        <v>27483.95583</v>
      </c>
      <c r="P492" s="5">
        <f t="shared" si="9"/>
        <v>52122.18202</v>
      </c>
      <c r="Q492" s="5">
        <f t="shared" si="7"/>
        <v>31787.86576</v>
      </c>
      <c r="R492" s="5">
        <f t="shared" si="8"/>
        <v>20334.31626</v>
      </c>
    </row>
    <row r="493" ht="15.75" customHeight="1">
      <c r="A493" s="4">
        <v>2016.0</v>
      </c>
      <c r="B493" s="4">
        <v>522.0</v>
      </c>
      <c r="C493" s="4" t="s">
        <v>22</v>
      </c>
      <c r="D493" s="5" t="s">
        <v>19</v>
      </c>
      <c r="E493" s="5" t="str">
        <f t="shared" si="1"/>
        <v/>
      </c>
      <c r="F493" s="5" t="str">
        <f t="shared" si="2"/>
        <v/>
      </c>
      <c r="G493" s="5" t="s">
        <v>19</v>
      </c>
      <c r="H493" s="5" t="s">
        <v>19</v>
      </c>
      <c r="I493" s="5" t="s">
        <v>19</v>
      </c>
      <c r="J493" s="5">
        <v>0.0</v>
      </c>
      <c r="K493" s="5">
        <f t="shared" si="3"/>
        <v>0</v>
      </c>
      <c r="L493" s="5">
        <f t="shared" si="4"/>
        <v>0</v>
      </c>
      <c r="M493" s="5">
        <v>8945.670804811756</v>
      </c>
      <c r="N493" s="5">
        <f t="shared" si="5"/>
        <v>0</v>
      </c>
      <c r="O493" s="5">
        <f t="shared" si="6"/>
        <v>8945.670805</v>
      </c>
      <c r="P493" s="5">
        <f t="shared" si="9"/>
        <v>8945.670805</v>
      </c>
      <c r="Q493" s="5">
        <f t="shared" si="7"/>
        <v>8945.670805</v>
      </c>
      <c r="R493" s="5">
        <f t="shared" si="8"/>
        <v>0</v>
      </c>
    </row>
    <row r="494" ht="15.75" customHeight="1">
      <c r="A494" s="4">
        <v>2016.0</v>
      </c>
      <c r="B494" s="4">
        <v>523.0</v>
      </c>
      <c r="C494" s="4" t="s">
        <v>22</v>
      </c>
      <c r="D494" s="5" t="s">
        <v>19</v>
      </c>
      <c r="E494" s="5" t="str">
        <f t="shared" si="1"/>
        <v/>
      </c>
      <c r="F494" s="5" t="str">
        <f t="shared" si="2"/>
        <v/>
      </c>
      <c r="G494" s="5" t="s">
        <v>19</v>
      </c>
      <c r="H494" s="5" t="s">
        <v>19</v>
      </c>
      <c r="I494" s="5" t="s">
        <v>19</v>
      </c>
      <c r="J494" s="5">
        <v>0.0</v>
      </c>
      <c r="K494" s="5">
        <f t="shared" si="3"/>
        <v>0</v>
      </c>
      <c r="L494" s="5">
        <f t="shared" si="4"/>
        <v>0</v>
      </c>
      <c r="M494" s="5">
        <v>50294.13501310631</v>
      </c>
      <c r="N494" s="5">
        <f t="shared" si="5"/>
        <v>0</v>
      </c>
      <c r="O494" s="5">
        <f t="shared" si="6"/>
        <v>50294.13501</v>
      </c>
      <c r="P494" s="5">
        <f t="shared" si="9"/>
        <v>50294.13501</v>
      </c>
      <c r="Q494" s="5">
        <f t="shared" si="7"/>
        <v>50294.13501</v>
      </c>
      <c r="R494" s="5">
        <f t="shared" si="8"/>
        <v>0</v>
      </c>
    </row>
    <row r="495" ht="15.75" customHeight="1">
      <c r="A495" s="4">
        <v>2016.0</v>
      </c>
      <c r="B495" s="4">
        <v>524.0</v>
      </c>
      <c r="C495" s="4" t="s">
        <v>22</v>
      </c>
      <c r="D495" s="5">
        <v>3934.3585247108035</v>
      </c>
      <c r="E495" s="5">
        <f t="shared" si="1"/>
        <v>0</v>
      </c>
      <c r="F495" s="5">
        <f t="shared" si="2"/>
        <v>3934.358525</v>
      </c>
      <c r="G495" s="5">
        <v>15174.239133253723</v>
      </c>
      <c r="H495" s="5">
        <v>7952.370332456648</v>
      </c>
      <c r="I495" s="5">
        <v>7221.868800797075</v>
      </c>
      <c r="J495" s="5">
        <v>6337.594369262779</v>
      </c>
      <c r="K495" s="5">
        <f t="shared" si="3"/>
        <v>6337.594369</v>
      </c>
      <c r="L495" s="5">
        <f t="shared" si="4"/>
        <v>0</v>
      </c>
      <c r="M495" s="5">
        <v>299827.53272025357</v>
      </c>
      <c r="N495" s="5">
        <f t="shared" si="5"/>
        <v>0</v>
      </c>
      <c r="O495" s="5">
        <f t="shared" si="6"/>
        <v>299827.5327</v>
      </c>
      <c r="P495" s="5">
        <f t="shared" si="9"/>
        <v>325273.7247</v>
      </c>
      <c r="Q495" s="5">
        <f t="shared" si="7"/>
        <v>310983.76</v>
      </c>
      <c r="R495" s="5">
        <f t="shared" si="8"/>
        <v>14289.9647</v>
      </c>
    </row>
    <row r="496" ht="15.75" customHeight="1">
      <c r="A496" s="4">
        <v>2016.0</v>
      </c>
      <c r="B496" s="4">
        <v>525.0</v>
      </c>
      <c r="C496" s="4" t="s">
        <v>22</v>
      </c>
      <c r="D496" s="5" t="s">
        <v>19</v>
      </c>
      <c r="E496" s="5" t="str">
        <f t="shared" si="1"/>
        <v/>
      </c>
      <c r="F496" s="5" t="str">
        <f t="shared" si="2"/>
        <v/>
      </c>
      <c r="G496" s="5" t="s">
        <v>19</v>
      </c>
      <c r="H496" s="5" t="s">
        <v>19</v>
      </c>
      <c r="I496" s="5" t="s">
        <v>19</v>
      </c>
      <c r="J496" s="5">
        <v>0.0</v>
      </c>
      <c r="K496" s="5">
        <f t="shared" si="3"/>
        <v>0</v>
      </c>
      <c r="L496" s="5">
        <f t="shared" si="4"/>
        <v>0</v>
      </c>
      <c r="M496" s="5">
        <v>12586.929835606854</v>
      </c>
      <c r="N496" s="5">
        <f t="shared" si="5"/>
        <v>0</v>
      </c>
      <c r="O496" s="5">
        <f t="shared" si="6"/>
        <v>12586.92984</v>
      </c>
      <c r="P496" s="5">
        <f t="shared" si="9"/>
        <v>12586.92984</v>
      </c>
      <c r="Q496" s="5">
        <f t="shared" si="7"/>
        <v>12586.92984</v>
      </c>
      <c r="R496" s="5">
        <f t="shared" si="8"/>
        <v>0</v>
      </c>
    </row>
    <row r="497" ht="15.75" customHeight="1">
      <c r="A497" s="4">
        <v>2016.0</v>
      </c>
      <c r="B497" s="4">
        <v>526.0</v>
      </c>
      <c r="C497" s="4" t="s">
        <v>22</v>
      </c>
      <c r="D497" s="5" t="s">
        <v>19</v>
      </c>
      <c r="E497" s="5" t="str">
        <f t="shared" si="1"/>
        <v/>
      </c>
      <c r="F497" s="5" t="str">
        <f t="shared" si="2"/>
        <v/>
      </c>
      <c r="G497" s="5" t="s">
        <v>19</v>
      </c>
      <c r="H497" s="5" t="s">
        <v>19</v>
      </c>
      <c r="I497" s="5" t="s">
        <v>19</v>
      </c>
      <c r="J497" s="5">
        <v>0.0</v>
      </c>
      <c r="K497" s="5">
        <f t="shared" si="3"/>
        <v>0</v>
      </c>
      <c r="L497" s="5">
        <f t="shared" si="4"/>
        <v>0</v>
      </c>
      <c r="M497" s="5">
        <v>637.7700065934548</v>
      </c>
      <c r="N497" s="5">
        <f t="shared" si="5"/>
        <v>0</v>
      </c>
      <c r="O497" s="5">
        <f t="shared" si="6"/>
        <v>637.7700066</v>
      </c>
      <c r="P497" s="5">
        <f t="shared" si="9"/>
        <v>637.7700066</v>
      </c>
      <c r="Q497" s="5">
        <f t="shared" si="7"/>
        <v>637.7700066</v>
      </c>
      <c r="R497" s="5">
        <f t="shared" si="8"/>
        <v>0</v>
      </c>
    </row>
    <row r="498" ht="15.75" customHeight="1">
      <c r="A498" s="4">
        <v>2016.0</v>
      </c>
      <c r="B498" s="4">
        <v>527.0</v>
      </c>
      <c r="C498" s="4" t="s">
        <v>22</v>
      </c>
      <c r="D498" s="5" t="s">
        <v>19</v>
      </c>
      <c r="E498" s="5" t="str">
        <f t="shared" si="1"/>
        <v/>
      </c>
      <c r="F498" s="5" t="str">
        <f t="shared" si="2"/>
        <v/>
      </c>
      <c r="G498" s="5" t="s">
        <v>19</v>
      </c>
      <c r="H498" s="5" t="s">
        <v>19</v>
      </c>
      <c r="I498" s="5" t="s">
        <v>19</v>
      </c>
      <c r="J498" s="5">
        <v>0.0</v>
      </c>
      <c r="K498" s="5">
        <f t="shared" si="3"/>
        <v>0</v>
      </c>
      <c r="L498" s="5">
        <f t="shared" si="4"/>
        <v>0</v>
      </c>
      <c r="M498" s="5">
        <v>1079.5495043113865</v>
      </c>
      <c r="N498" s="5">
        <f t="shared" si="5"/>
        <v>0</v>
      </c>
      <c r="O498" s="5">
        <f t="shared" si="6"/>
        <v>1079.549504</v>
      </c>
      <c r="P498" s="5">
        <f t="shared" si="9"/>
        <v>1079.549504</v>
      </c>
      <c r="Q498" s="5">
        <f t="shared" si="7"/>
        <v>1079.549504</v>
      </c>
      <c r="R498" s="5">
        <f t="shared" si="8"/>
        <v>0</v>
      </c>
    </row>
    <row r="499" ht="15.75" customHeight="1">
      <c r="A499" s="4">
        <v>2016.0</v>
      </c>
      <c r="B499" s="4">
        <v>528.0</v>
      </c>
      <c r="C499" s="4" t="s">
        <v>22</v>
      </c>
      <c r="D499" s="5">
        <v>27958.9262838702</v>
      </c>
      <c r="E499" s="5">
        <f t="shared" si="1"/>
        <v>0</v>
      </c>
      <c r="F499" s="5">
        <f t="shared" si="2"/>
        <v>27958.92628</v>
      </c>
      <c r="G499" s="5" t="s">
        <v>19</v>
      </c>
      <c r="H499" s="5" t="s">
        <v>19</v>
      </c>
      <c r="I499" s="5" t="s">
        <v>19</v>
      </c>
      <c r="J499" s="5">
        <v>0.0</v>
      </c>
      <c r="K499" s="5">
        <f t="shared" si="3"/>
        <v>0</v>
      </c>
      <c r="L499" s="5">
        <f t="shared" si="4"/>
        <v>0</v>
      </c>
      <c r="M499" s="5">
        <v>28942.527093736942</v>
      </c>
      <c r="N499" s="5">
        <f t="shared" si="5"/>
        <v>0</v>
      </c>
      <c r="O499" s="5">
        <f t="shared" si="6"/>
        <v>28942.52709</v>
      </c>
      <c r="P499" s="5">
        <f t="shared" si="9"/>
        <v>56901.45338</v>
      </c>
      <c r="Q499" s="5">
        <f t="shared" si="7"/>
        <v>56901.45338</v>
      </c>
      <c r="R499" s="5">
        <f t="shared" si="8"/>
        <v>0</v>
      </c>
    </row>
    <row r="500" ht="15.75" customHeight="1">
      <c r="A500" s="4">
        <v>2015.0</v>
      </c>
      <c r="B500" s="4">
        <v>100.0</v>
      </c>
      <c r="C500" s="4" t="s">
        <v>18</v>
      </c>
      <c r="D500" s="5">
        <v>16498.98377339216</v>
      </c>
      <c r="E500" s="5">
        <f t="shared" si="1"/>
        <v>0</v>
      </c>
      <c r="F500" s="5">
        <f t="shared" si="2"/>
        <v>16498.98377</v>
      </c>
      <c r="G500" s="5">
        <v>1380.6131770455422</v>
      </c>
      <c r="H500" s="5">
        <v>655.705185955919</v>
      </c>
      <c r="I500" s="5">
        <v>724.9079910896232</v>
      </c>
      <c r="J500" s="5">
        <v>14901.363134316238</v>
      </c>
      <c r="K500" s="5">
        <f t="shared" si="3"/>
        <v>14901.36313</v>
      </c>
      <c r="L500" s="5">
        <f t="shared" si="4"/>
        <v>0</v>
      </c>
      <c r="M500" s="5">
        <v>49176.12655235891</v>
      </c>
      <c r="N500" s="5">
        <f t="shared" si="5"/>
        <v>0</v>
      </c>
      <c r="O500" s="5">
        <f t="shared" si="6"/>
        <v>49176.12655</v>
      </c>
      <c r="P500" s="5">
        <f t="shared" si="9"/>
        <v>81957.08664</v>
      </c>
      <c r="Q500" s="5">
        <f t="shared" si="7"/>
        <v>66400.01832</v>
      </c>
      <c r="R500" s="5">
        <f t="shared" si="8"/>
        <v>15557.06832</v>
      </c>
    </row>
    <row r="501" ht="15.75" customHeight="1">
      <c r="A501" s="4">
        <v>2015.0</v>
      </c>
      <c r="B501" s="4">
        <v>101.0</v>
      </c>
      <c r="C501" s="4" t="s">
        <v>18</v>
      </c>
      <c r="D501" s="5">
        <v>16706.627156006685</v>
      </c>
      <c r="E501" s="5">
        <f t="shared" si="1"/>
        <v>0</v>
      </c>
      <c r="F501" s="5">
        <f t="shared" si="2"/>
        <v>16706.62716</v>
      </c>
      <c r="G501" s="5">
        <v>12730.432694387677</v>
      </c>
      <c r="H501" s="5">
        <v>7009.9256894236005</v>
      </c>
      <c r="I501" s="5">
        <v>5720.507004964076</v>
      </c>
      <c r="J501" s="5">
        <v>431306.40206834784</v>
      </c>
      <c r="K501" s="5">
        <f t="shared" si="3"/>
        <v>431306.4021</v>
      </c>
      <c r="L501" s="5">
        <f t="shared" si="4"/>
        <v>0</v>
      </c>
      <c r="M501" s="5">
        <v>129564.17082121514</v>
      </c>
      <c r="N501" s="5">
        <f t="shared" si="5"/>
        <v>0</v>
      </c>
      <c r="O501" s="5">
        <f t="shared" si="6"/>
        <v>129564.1708</v>
      </c>
      <c r="P501" s="5">
        <f t="shared" si="9"/>
        <v>590307.6327</v>
      </c>
      <c r="Q501" s="5">
        <f t="shared" si="7"/>
        <v>151991.305</v>
      </c>
      <c r="R501" s="5">
        <f t="shared" si="8"/>
        <v>438316.3278</v>
      </c>
    </row>
    <row r="502" ht="15.75" customHeight="1">
      <c r="A502" s="4">
        <v>2015.0</v>
      </c>
      <c r="B502" s="4">
        <v>102.0</v>
      </c>
      <c r="C502" s="4" t="s">
        <v>18</v>
      </c>
      <c r="D502" s="5">
        <v>18465.217081567604</v>
      </c>
      <c r="E502" s="5">
        <f t="shared" si="1"/>
        <v>0</v>
      </c>
      <c r="F502" s="5">
        <f t="shared" si="2"/>
        <v>18465.21708</v>
      </c>
      <c r="G502" s="5">
        <v>36845.75971095826</v>
      </c>
      <c r="H502" s="5">
        <v>10989.388240604088</v>
      </c>
      <c r="I502" s="5">
        <v>25856.37147035417</v>
      </c>
      <c r="J502" s="5">
        <v>23103.245347266326</v>
      </c>
      <c r="K502" s="5">
        <f t="shared" si="3"/>
        <v>23103.24535</v>
      </c>
      <c r="L502" s="5">
        <f t="shared" si="4"/>
        <v>0</v>
      </c>
      <c r="M502" s="5">
        <v>39397.59970133533</v>
      </c>
      <c r="N502" s="5">
        <f t="shared" si="5"/>
        <v>0</v>
      </c>
      <c r="O502" s="5">
        <f t="shared" si="6"/>
        <v>39397.5997</v>
      </c>
      <c r="P502" s="5">
        <f t="shared" si="9"/>
        <v>117811.8218</v>
      </c>
      <c r="Q502" s="5">
        <f t="shared" si="7"/>
        <v>83719.18825</v>
      </c>
      <c r="R502" s="5">
        <f t="shared" si="8"/>
        <v>34092.63359</v>
      </c>
    </row>
    <row r="503" ht="15.75" customHeight="1">
      <c r="A503" s="4">
        <v>2015.0</v>
      </c>
      <c r="B503" s="4">
        <v>103.0</v>
      </c>
      <c r="C503" s="4" t="s">
        <v>18</v>
      </c>
      <c r="D503" s="5">
        <v>19493.14556453932</v>
      </c>
      <c r="E503" s="5">
        <f t="shared" si="1"/>
        <v>0</v>
      </c>
      <c r="F503" s="5">
        <f t="shared" si="2"/>
        <v>19493.14556</v>
      </c>
      <c r="G503" s="5" t="s">
        <v>19</v>
      </c>
      <c r="H503" s="5" t="s">
        <v>19</v>
      </c>
      <c r="I503" s="5" t="s">
        <v>19</v>
      </c>
      <c r="J503" s="5">
        <v>3461.41965907571</v>
      </c>
      <c r="K503" s="5">
        <f t="shared" si="3"/>
        <v>3461.419659</v>
      </c>
      <c r="L503" s="5">
        <f t="shared" si="4"/>
        <v>0</v>
      </c>
      <c r="M503" s="5">
        <v>3751.349315054007</v>
      </c>
      <c r="N503" s="5">
        <f t="shared" si="5"/>
        <v>0</v>
      </c>
      <c r="O503" s="5">
        <f t="shared" si="6"/>
        <v>3751.349315</v>
      </c>
      <c r="P503" s="5">
        <f t="shared" si="9"/>
        <v>26705.91454</v>
      </c>
      <c r="Q503" s="5">
        <f t="shared" si="7"/>
        <v>23244.49488</v>
      </c>
      <c r="R503" s="5">
        <f t="shared" si="8"/>
        <v>3461.419659</v>
      </c>
    </row>
    <row r="504" ht="15.75" customHeight="1">
      <c r="A504" s="4">
        <v>2015.0</v>
      </c>
      <c r="B504" s="4">
        <v>104.0</v>
      </c>
      <c r="C504" s="4" t="s">
        <v>18</v>
      </c>
      <c r="D504" s="5">
        <v>1166.9366052241228</v>
      </c>
      <c r="E504" s="5">
        <f t="shared" si="1"/>
        <v>0</v>
      </c>
      <c r="F504" s="5">
        <f t="shared" si="2"/>
        <v>1166.936605</v>
      </c>
      <c r="G504" s="5" t="s">
        <v>19</v>
      </c>
      <c r="H504" s="5" t="s">
        <v>19</v>
      </c>
      <c r="I504" s="5" t="s">
        <v>19</v>
      </c>
      <c r="J504" s="5">
        <v>3288.164718173089</v>
      </c>
      <c r="K504" s="5">
        <f t="shared" si="3"/>
        <v>3288.164718</v>
      </c>
      <c r="L504" s="5">
        <f t="shared" si="4"/>
        <v>0</v>
      </c>
      <c r="M504" s="5">
        <v>2419.35108990334</v>
      </c>
      <c r="N504" s="5">
        <f t="shared" si="5"/>
        <v>0</v>
      </c>
      <c r="O504" s="5">
        <f t="shared" si="6"/>
        <v>2419.35109</v>
      </c>
      <c r="P504" s="5">
        <f t="shared" si="9"/>
        <v>6874.452413</v>
      </c>
      <c r="Q504" s="5">
        <f t="shared" si="7"/>
        <v>3586.287695</v>
      </c>
      <c r="R504" s="5">
        <f t="shared" si="8"/>
        <v>3288.164718</v>
      </c>
    </row>
    <row r="505" ht="15.75" customHeight="1">
      <c r="A505" s="4">
        <v>2015.0</v>
      </c>
      <c r="B505" s="4">
        <v>105.0</v>
      </c>
      <c r="C505" s="4" t="s">
        <v>18</v>
      </c>
      <c r="D505" s="5">
        <v>8273.269591818202</v>
      </c>
      <c r="E505" s="5">
        <f t="shared" si="1"/>
        <v>0</v>
      </c>
      <c r="F505" s="5">
        <f t="shared" si="2"/>
        <v>8273.269592</v>
      </c>
      <c r="G505" s="5">
        <v>2576.169101556925</v>
      </c>
      <c r="H505" s="5">
        <v>1464.448416100552</v>
      </c>
      <c r="I505" s="5">
        <v>1111.7206854563728</v>
      </c>
      <c r="J505" s="5">
        <v>14040.506827568814</v>
      </c>
      <c r="K505" s="5">
        <f t="shared" si="3"/>
        <v>14040.50683</v>
      </c>
      <c r="L505" s="5">
        <f t="shared" si="4"/>
        <v>0</v>
      </c>
      <c r="M505" s="5">
        <v>15366.76411457052</v>
      </c>
      <c r="N505" s="5">
        <f t="shared" si="5"/>
        <v>0</v>
      </c>
      <c r="O505" s="5">
        <f t="shared" si="6"/>
        <v>15366.76411</v>
      </c>
      <c r="P505" s="5">
        <f t="shared" si="9"/>
        <v>40256.70964</v>
      </c>
      <c r="Q505" s="5">
        <f t="shared" si="7"/>
        <v>24751.75439</v>
      </c>
      <c r="R505" s="5">
        <f t="shared" si="8"/>
        <v>15504.95524</v>
      </c>
    </row>
    <row r="506" ht="15.75" customHeight="1">
      <c r="A506" s="4">
        <v>2015.0</v>
      </c>
      <c r="B506" s="4">
        <v>106.0</v>
      </c>
      <c r="C506" s="4" t="s">
        <v>18</v>
      </c>
      <c r="D506" s="5">
        <v>12384.068996584998</v>
      </c>
      <c r="E506" s="5">
        <f t="shared" si="1"/>
        <v>0</v>
      </c>
      <c r="F506" s="5">
        <f t="shared" si="2"/>
        <v>12384.069</v>
      </c>
      <c r="G506" s="5">
        <v>2525.3859485359226</v>
      </c>
      <c r="H506" s="5">
        <v>1397.4835126254002</v>
      </c>
      <c r="I506" s="5">
        <v>1127.9024359105224</v>
      </c>
      <c r="J506" s="5">
        <v>45917.308798964295</v>
      </c>
      <c r="K506" s="5">
        <f t="shared" si="3"/>
        <v>45917.3088</v>
      </c>
      <c r="L506" s="5">
        <f t="shared" si="4"/>
        <v>0</v>
      </c>
      <c r="M506" s="5">
        <v>104040.76967034818</v>
      </c>
      <c r="N506" s="5">
        <f t="shared" si="5"/>
        <v>0</v>
      </c>
      <c r="O506" s="5">
        <f t="shared" si="6"/>
        <v>104040.7697</v>
      </c>
      <c r="P506" s="5">
        <f t="shared" si="9"/>
        <v>164867.5334</v>
      </c>
      <c r="Q506" s="5">
        <f t="shared" si="7"/>
        <v>117552.7411</v>
      </c>
      <c r="R506" s="5">
        <f t="shared" si="8"/>
        <v>47314.79231</v>
      </c>
    </row>
    <row r="507" ht="15.75" customHeight="1">
      <c r="A507" s="4">
        <v>2015.0</v>
      </c>
      <c r="B507" s="4">
        <v>107.0</v>
      </c>
      <c r="C507" s="4" t="s">
        <v>18</v>
      </c>
      <c r="D507" s="5">
        <v>24700.46298628396</v>
      </c>
      <c r="E507" s="5">
        <f t="shared" si="1"/>
        <v>0</v>
      </c>
      <c r="F507" s="5">
        <f t="shared" si="2"/>
        <v>24700.46299</v>
      </c>
      <c r="G507" s="5">
        <v>1425.8015759201623</v>
      </c>
      <c r="H507" s="5">
        <v>458.68376686257443</v>
      </c>
      <c r="I507" s="5">
        <v>967.1178090575879</v>
      </c>
      <c r="J507" s="5">
        <v>19198.420137699104</v>
      </c>
      <c r="K507" s="5">
        <f t="shared" si="3"/>
        <v>19198.42014</v>
      </c>
      <c r="L507" s="5">
        <f t="shared" si="4"/>
        <v>0</v>
      </c>
      <c r="M507" s="5">
        <v>13700.140182287592</v>
      </c>
      <c r="N507" s="5">
        <f t="shared" si="5"/>
        <v>0</v>
      </c>
      <c r="O507" s="5">
        <f t="shared" si="6"/>
        <v>13700.14018</v>
      </c>
      <c r="P507" s="5">
        <f t="shared" si="9"/>
        <v>59024.82488</v>
      </c>
      <c r="Q507" s="5">
        <f t="shared" si="7"/>
        <v>39367.72098</v>
      </c>
      <c r="R507" s="5">
        <f t="shared" si="8"/>
        <v>19657.1039</v>
      </c>
    </row>
    <row r="508" ht="15.75" customHeight="1">
      <c r="A508" s="4">
        <v>2015.0</v>
      </c>
      <c r="B508" s="4">
        <v>108.0</v>
      </c>
      <c r="C508" s="4" t="s">
        <v>18</v>
      </c>
      <c r="D508" s="5">
        <v>9423.287445320815</v>
      </c>
      <c r="E508" s="5">
        <f t="shared" si="1"/>
        <v>0</v>
      </c>
      <c r="F508" s="5">
        <f t="shared" si="2"/>
        <v>9423.287445</v>
      </c>
      <c r="G508" s="5">
        <v>3983.8953179272394</v>
      </c>
      <c r="H508" s="5">
        <v>1163.7088624473647</v>
      </c>
      <c r="I508" s="5">
        <v>2820.186455479875</v>
      </c>
      <c r="J508" s="5">
        <v>2354.327276087923</v>
      </c>
      <c r="K508" s="5">
        <f t="shared" si="3"/>
        <v>2354.327276</v>
      </c>
      <c r="L508" s="5">
        <f t="shared" si="4"/>
        <v>0</v>
      </c>
      <c r="M508" s="5">
        <v>32966.41402219747</v>
      </c>
      <c r="N508" s="5">
        <f t="shared" si="5"/>
        <v>0</v>
      </c>
      <c r="O508" s="5">
        <f t="shared" si="6"/>
        <v>32966.41402</v>
      </c>
      <c r="P508" s="5">
        <f t="shared" si="9"/>
        <v>48727.92406</v>
      </c>
      <c r="Q508" s="5">
        <f t="shared" si="7"/>
        <v>45209.88792</v>
      </c>
      <c r="R508" s="5">
        <f t="shared" si="8"/>
        <v>3518.036139</v>
      </c>
    </row>
    <row r="509" ht="15.75" customHeight="1">
      <c r="A509" s="4">
        <v>2015.0</v>
      </c>
      <c r="B509" s="4">
        <v>120.0</v>
      </c>
      <c r="C509" s="4" t="s">
        <v>18</v>
      </c>
      <c r="D509" s="5">
        <v>24077.212753948344</v>
      </c>
      <c r="E509" s="5">
        <f t="shared" si="1"/>
        <v>0</v>
      </c>
      <c r="F509" s="5">
        <f t="shared" si="2"/>
        <v>24077.21275</v>
      </c>
      <c r="G509" s="5" t="s">
        <v>19</v>
      </c>
      <c r="H509" s="5" t="s">
        <v>19</v>
      </c>
      <c r="I509" s="5" t="s">
        <v>19</v>
      </c>
      <c r="J509" s="5">
        <v>3467.272866538636</v>
      </c>
      <c r="K509" s="5">
        <f t="shared" si="3"/>
        <v>3467.272867</v>
      </c>
      <c r="L509" s="5">
        <f t="shared" si="4"/>
        <v>0</v>
      </c>
      <c r="M509" s="5">
        <v>58644.540414537245</v>
      </c>
      <c r="N509" s="5">
        <f t="shared" si="5"/>
        <v>0</v>
      </c>
      <c r="O509" s="5">
        <f t="shared" si="6"/>
        <v>58644.54041</v>
      </c>
      <c r="P509" s="5">
        <f t="shared" si="9"/>
        <v>86189.02604</v>
      </c>
      <c r="Q509" s="5">
        <f t="shared" si="7"/>
        <v>82721.75317</v>
      </c>
      <c r="R509" s="5">
        <f t="shared" si="8"/>
        <v>3467.272867</v>
      </c>
    </row>
    <row r="510" ht="15.75" customHeight="1">
      <c r="A510" s="4">
        <v>2015.0</v>
      </c>
      <c r="B510" s="4">
        <v>121.0</v>
      </c>
      <c r="C510" s="4" t="s">
        <v>18</v>
      </c>
      <c r="D510" s="5">
        <v>22582.41817617497</v>
      </c>
      <c r="E510" s="5">
        <f t="shared" si="1"/>
        <v>0</v>
      </c>
      <c r="F510" s="5">
        <f t="shared" si="2"/>
        <v>22582.41818</v>
      </c>
      <c r="G510" s="5">
        <v>12587.206988240305</v>
      </c>
      <c r="H510" s="5">
        <v>4465.629471872904</v>
      </c>
      <c r="I510" s="5">
        <v>8121.577516367401</v>
      </c>
      <c r="J510" s="5">
        <v>130184.03016942723</v>
      </c>
      <c r="K510" s="5">
        <f t="shared" si="3"/>
        <v>130184.0302</v>
      </c>
      <c r="L510" s="5">
        <f t="shared" si="4"/>
        <v>0</v>
      </c>
      <c r="M510" s="5">
        <v>970075.058569455</v>
      </c>
      <c r="N510" s="5">
        <f t="shared" si="5"/>
        <v>0</v>
      </c>
      <c r="O510" s="5">
        <f t="shared" si="6"/>
        <v>970075.0586</v>
      </c>
      <c r="P510" s="5">
        <f t="shared" si="9"/>
        <v>1135428.714</v>
      </c>
      <c r="Q510" s="5">
        <f t="shared" si="7"/>
        <v>1000779.054</v>
      </c>
      <c r="R510" s="5">
        <f t="shared" si="8"/>
        <v>134649.6596</v>
      </c>
    </row>
    <row r="511" ht="15.75" customHeight="1">
      <c r="A511" s="4">
        <v>2015.0</v>
      </c>
      <c r="B511" s="4">
        <v>122.0</v>
      </c>
      <c r="C511" s="4" t="s">
        <v>18</v>
      </c>
      <c r="D511" s="5">
        <v>64172.916732397985</v>
      </c>
      <c r="E511" s="5">
        <f t="shared" si="1"/>
        <v>0</v>
      </c>
      <c r="F511" s="5">
        <f t="shared" si="2"/>
        <v>64172.91673</v>
      </c>
      <c r="G511" s="5">
        <v>21023.96713127263</v>
      </c>
      <c r="H511" s="5">
        <v>6483.579826646095</v>
      </c>
      <c r="I511" s="5">
        <v>14540.387304626536</v>
      </c>
      <c r="J511" s="5">
        <v>5560.379855281103</v>
      </c>
      <c r="K511" s="5">
        <f t="shared" si="3"/>
        <v>5560.379855</v>
      </c>
      <c r="L511" s="5">
        <f t="shared" si="4"/>
        <v>0</v>
      </c>
      <c r="M511" s="5">
        <v>178209.69037576352</v>
      </c>
      <c r="N511" s="5">
        <f t="shared" si="5"/>
        <v>0</v>
      </c>
      <c r="O511" s="5">
        <f t="shared" si="6"/>
        <v>178209.6904</v>
      </c>
      <c r="P511" s="5">
        <f t="shared" si="9"/>
        <v>268966.9541</v>
      </c>
      <c r="Q511" s="5">
        <f t="shared" si="7"/>
        <v>256922.9944</v>
      </c>
      <c r="R511" s="5">
        <f t="shared" si="8"/>
        <v>12043.95968</v>
      </c>
    </row>
    <row r="512" ht="15.75" customHeight="1">
      <c r="A512" s="4">
        <v>2015.0</v>
      </c>
      <c r="B512" s="4">
        <v>123.0</v>
      </c>
      <c r="C512" s="4" t="s">
        <v>18</v>
      </c>
      <c r="D512" s="5" t="s">
        <v>19</v>
      </c>
      <c r="E512" s="5" t="str">
        <f t="shared" si="1"/>
        <v/>
      </c>
      <c r="F512" s="5" t="str">
        <f t="shared" si="2"/>
        <v/>
      </c>
      <c r="G512" s="5" t="s">
        <v>19</v>
      </c>
      <c r="H512" s="5" t="s">
        <v>19</v>
      </c>
      <c r="I512" s="5" t="s">
        <v>19</v>
      </c>
      <c r="J512" s="5">
        <v>0.0</v>
      </c>
      <c r="K512" s="5">
        <f t="shared" si="3"/>
        <v>0</v>
      </c>
      <c r="L512" s="5">
        <f t="shared" si="4"/>
        <v>0</v>
      </c>
      <c r="M512" s="5">
        <v>1911.6306595352753</v>
      </c>
      <c r="N512" s="5">
        <f t="shared" si="5"/>
        <v>0</v>
      </c>
      <c r="O512" s="5">
        <f t="shared" si="6"/>
        <v>1911.63066</v>
      </c>
      <c r="P512" s="5">
        <f t="shared" si="9"/>
        <v>1911.63066</v>
      </c>
      <c r="Q512" s="5">
        <f t="shared" si="7"/>
        <v>1911.63066</v>
      </c>
      <c r="R512" s="5">
        <f t="shared" si="8"/>
        <v>0</v>
      </c>
    </row>
    <row r="513" ht="15.75" customHeight="1">
      <c r="A513" s="4">
        <v>2015.0</v>
      </c>
      <c r="B513" s="4">
        <v>124.0</v>
      </c>
      <c r="C513" s="4" t="s">
        <v>18</v>
      </c>
      <c r="D513" s="5" t="s">
        <v>19</v>
      </c>
      <c r="E513" s="5" t="str">
        <f t="shared" si="1"/>
        <v/>
      </c>
      <c r="F513" s="5" t="str">
        <f t="shared" si="2"/>
        <v/>
      </c>
      <c r="G513" s="5" t="s">
        <v>19</v>
      </c>
      <c r="H513" s="5" t="s">
        <v>19</v>
      </c>
      <c r="I513" s="5" t="s">
        <v>19</v>
      </c>
      <c r="J513" s="5">
        <v>0.0</v>
      </c>
      <c r="K513" s="5">
        <f t="shared" si="3"/>
        <v>0</v>
      </c>
      <c r="L513" s="5">
        <f t="shared" si="4"/>
        <v>0</v>
      </c>
      <c r="M513" s="5">
        <v>74261.37039232109</v>
      </c>
      <c r="N513" s="5">
        <f t="shared" si="5"/>
        <v>0</v>
      </c>
      <c r="O513" s="5">
        <f t="shared" si="6"/>
        <v>74261.37039</v>
      </c>
      <c r="P513" s="5">
        <f t="shared" si="9"/>
        <v>74261.37039</v>
      </c>
      <c r="Q513" s="5">
        <f t="shared" si="7"/>
        <v>74261.37039</v>
      </c>
      <c r="R513" s="5">
        <f t="shared" si="8"/>
        <v>0</v>
      </c>
    </row>
    <row r="514" ht="15.75" customHeight="1">
      <c r="A514" s="4">
        <v>2015.0</v>
      </c>
      <c r="B514" s="4">
        <v>125.0</v>
      </c>
      <c r="C514" s="4" t="s">
        <v>18</v>
      </c>
      <c r="D514" s="5">
        <v>9846.622049206588</v>
      </c>
      <c r="E514" s="5">
        <f t="shared" si="1"/>
        <v>0</v>
      </c>
      <c r="F514" s="5">
        <f t="shared" si="2"/>
        <v>9846.622049</v>
      </c>
      <c r="G514" s="5" t="s">
        <v>19</v>
      </c>
      <c r="H514" s="5" t="s">
        <v>19</v>
      </c>
      <c r="I514" s="5" t="s">
        <v>19</v>
      </c>
      <c r="J514" s="5">
        <v>1718.5017111151797</v>
      </c>
      <c r="K514" s="5">
        <f t="shared" si="3"/>
        <v>1718.501711</v>
      </c>
      <c r="L514" s="5">
        <f t="shared" si="4"/>
        <v>0</v>
      </c>
      <c r="M514" s="5">
        <v>259763.3836611493</v>
      </c>
      <c r="N514" s="5">
        <f t="shared" si="5"/>
        <v>0</v>
      </c>
      <c r="O514" s="5">
        <f t="shared" si="6"/>
        <v>259763.3837</v>
      </c>
      <c r="P514" s="5">
        <f t="shared" si="9"/>
        <v>271328.5074</v>
      </c>
      <c r="Q514" s="5">
        <f t="shared" si="7"/>
        <v>269610.0057</v>
      </c>
      <c r="R514" s="5">
        <f t="shared" si="8"/>
        <v>1718.501711</v>
      </c>
    </row>
    <row r="515" ht="15.75" customHeight="1">
      <c r="A515" s="4">
        <v>2015.0</v>
      </c>
      <c r="B515" s="4">
        <v>126.0</v>
      </c>
      <c r="C515" s="4" t="s">
        <v>18</v>
      </c>
      <c r="D515" s="5">
        <v>13719.735855464176</v>
      </c>
      <c r="E515" s="5">
        <f t="shared" si="1"/>
        <v>0</v>
      </c>
      <c r="F515" s="5">
        <f t="shared" si="2"/>
        <v>13719.73586</v>
      </c>
      <c r="G515" s="5">
        <v>826.7325165537677</v>
      </c>
      <c r="H515" s="5">
        <v>406.265224168015</v>
      </c>
      <c r="I515" s="5">
        <v>420.4672923857527</v>
      </c>
      <c r="J515" s="5">
        <v>10518.381045377613</v>
      </c>
      <c r="K515" s="5">
        <f t="shared" si="3"/>
        <v>10518.38105</v>
      </c>
      <c r="L515" s="5">
        <f t="shared" si="4"/>
        <v>0</v>
      </c>
      <c r="M515" s="5">
        <v>446065.58360113646</v>
      </c>
      <c r="N515" s="5">
        <f t="shared" si="5"/>
        <v>0</v>
      </c>
      <c r="O515" s="5">
        <f t="shared" si="6"/>
        <v>446065.5836</v>
      </c>
      <c r="P515" s="5">
        <f t="shared" si="9"/>
        <v>471130.433</v>
      </c>
      <c r="Q515" s="5">
        <f t="shared" si="7"/>
        <v>460205.7867</v>
      </c>
      <c r="R515" s="5">
        <f t="shared" si="8"/>
        <v>10924.64627</v>
      </c>
    </row>
    <row r="516" ht="15.75" customHeight="1">
      <c r="A516" s="4">
        <v>2015.0</v>
      </c>
      <c r="B516" s="4">
        <v>127.0</v>
      </c>
      <c r="C516" s="4" t="s">
        <v>18</v>
      </c>
      <c r="D516" s="5">
        <v>16709.32501101093</v>
      </c>
      <c r="E516" s="5">
        <f t="shared" si="1"/>
        <v>0</v>
      </c>
      <c r="F516" s="5">
        <f t="shared" si="2"/>
        <v>16709.32501</v>
      </c>
      <c r="G516" s="5" t="s">
        <v>19</v>
      </c>
      <c r="H516" s="5" t="s">
        <v>19</v>
      </c>
      <c r="I516" s="5" t="s">
        <v>19</v>
      </c>
      <c r="J516" s="5">
        <v>136.53024493523094</v>
      </c>
      <c r="K516" s="5">
        <f t="shared" si="3"/>
        <v>136.5302449</v>
      </c>
      <c r="L516" s="5">
        <f t="shared" si="4"/>
        <v>0</v>
      </c>
      <c r="M516" s="5">
        <v>93270.83285440304</v>
      </c>
      <c r="N516" s="5">
        <f t="shared" si="5"/>
        <v>0</v>
      </c>
      <c r="O516" s="5">
        <f t="shared" si="6"/>
        <v>93270.83285</v>
      </c>
      <c r="P516" s="5">
        <f t="shared" si="9"/>
        <v>110116.6881</v>
      </c>
      <c r="Q516" s="5">
        <f t="shared" si="7"/>
        <v>109980.1579</v>
      </c>
      <c r="R516" s="5">
        <f t="shared" si="8"/>
        <v>136.5302449</v>
      </c>
    </row>
    <row r="517" ht="15.75" customHeight="1">
      <c r="A517" s="4">
        <v>2015.0</v>
      </c>
      <c r="B517" s="4">
        <v>128.0</v>
      </c>
      <c r="C517" s="4" t="s">
        <v>18</v>
      </c>
      <c r="D517" s="5">
        <v>3557.9677606774685</v>
      </c>
      <c r="E517" s="5">
        <f t="shared" si="1"/>
        <v>0</v>
      </c>
      <c r="F517" s="5">
        <f t="shared" si="2"/>
        <v>3557.967761</v>
      </c>
      <c r="G517" s="5">
        <v>434.2389948999228</v>
      </c>
      <c r="H517" s="5">
        <v>176.7081578849438</v>
      </c>
      <c r="I517" s="5">
        <v>257.53083701497894</v>
      </c>
      <c r="J517" s="5">
        <v>0.0</v>
      </c>
      <c r="K517" s="5">
        <f t="shared" si="3"/>
        <v>0</v>
      </c>
      <c r="L517" s="5">
        <f t="shared" si="4"/>
        <v>0</v>
      </c>
      <c r="M517" s="5">
        <v>45482.71638961973</v>
      </c>
      <c r="N517" s="5">
        <f t="shared" si="5"/>
        <v>0</v>
      </c>
      <c r="O517" s="5">
        <f t="shared" si="6"/>
        <v>45482.71639</v>
      </c>
      <c r="P517" s="5">
        <f t="shared" si="9"/>
        <v>49474.92315</v>
      </c>
      <c r="Q517" s="5">
        <f t="shared" si="7"/>
        <v>49298.21499</v>
      </c>
      <c r="R517" s="5">
        <f t="shared" si="8"/>
        <v>176.7081579</v>
      </c>
    </row>
    <row r="518" ht="15.75" customHeight="1">
      <c r="A518" s="4">
        <v>2015.0</v>
      </c>
      <c r="B518" s="4">
        <v>300.0</v>
      </c>
      <c r="C518" s="4" t="s">
        <v>20</v>
      </c>
      <c r="D518" s="5">
        <v>2118.5839367104677</v>
      </c>
      <c r="E518" s="5">
        <f t="shared" si="1"/>
        <v>0</v>
      </c>
      <c r="F518" s="5">
        <f t="shared" si="2"/>
        <v>2118.583937</v>
      </c>
      <c r="G518" s="5">
        <v>12126.898590846766</v>
      </c>
      <c r="H518" s="5">
        <v>6113.019705959059</v>
      </c>
      <c r="I518" s="5">
        <v>6013.878884887707</v>
      </c>
      <c r="J518" s="5">
        <v>142804.9591172749</v>
      </c>
      <c r="K518" s="5">
        <f t="shared" si="3"/>
        <v>142804.9591</v>
      </c>
      <c r="L518" s="5">
        <f t="shared" si="4"/>
        <v>0</v>
      </c>
      <c r="M518" s="5">
        <v>7049.537577915358</v>
      </c>
      <c r="N518" s="5">
        <f t="shared" si="5"/>
        <v>0</v>
      </c>
      <c r="O518" s="5">
        <f t="shared" si="6"/>
        <v>7049.537578</v>
      </c>
      <c r="P518" s="5">
        <f t="shared" si="9"/>
        <v>164099.9792</v>
      </c>
      <c r="Q518" s="5">
        <f t="shared" si="7"/>
        <v>15182.0004</v>
      </c>
      <c r="R518" s="5">
        <f t="shared" si="8"/>
        <v>148917.9788</v>
      </c>
    </row>
    <row r="519" ht="15.75" customHeight="1">
      <c r="A519" s="4">
        <v>2015.0</v>
      </c>
      <c r="B519" s="4">
        <v>301.0</v>
      </c>
      <c r="C519" s="4" t="s">
        <v>20</v>
      </c>
      <c r="D519" s="5" t="s">
        <v>19</v>
      </c>
      <c r="E519" s="5" t="str">
        <f t="shared" si="1"/>
        <v/>
      </c>
      <c r="F519" s="5" t="str">
        <f t="shared" si="2"/>
        <v/>
      </c>
      <c r="G519" s="5">
        <v>647.6536049887351</v>
      </c>
      <c r="H519" s="5">
        <v>378.6282613780298</v>
      </c>
      <c r="I519" s="5">
        <v>269.0253436107053</v>
      </c>
      <c r="J519" s="5">
        <v>11038.108444980817</v>
      </c>
      <c r="K519" s="5">
        <f t="shared" si="3"/>
        <v>11038.10844</v>
      </c>
      <c r="L519" s="5">
        <f t="shared" si="4"/>
        <v>0</v>
      </c>
      <c r="M519" s="5">
        <v>0.0</v>
      </c>
      <c r="N519" s="5">
        <f t="shared" si="5"/>
        <v>0</v>
      </c>
      <c r="O519" s="5">
        <f t="shared" si="6"/>
        <v>0</v>
      </c>
      <c r="P519" s="5">
        <f t="shared" si="9"/>
        <v>11685.76205</v>
      </c>
      <c r="Q519" s="5">
        <f t="shared" si="7"/>
        <v>269.0253436</v>
      </c>
      <c r="R519" s="5">
        <f t="shared" si="8"/>
        <v>11416.73671</v>
      </c>
    </row>
    <row r="520" ht="15.75" customHeight="1">
      <c r="A520" s="4">
        <v>2015.0</v>
      </c>
      <c r="B520" s="4">
        <v>302.0</v>
      </c>
      <c r="C520" s="4" t="s">
        <v>20</v>
      </c>
      <c r="D520" s="5">
        <v>3817.727377469239</v>
      </c>
      <c r="E520" s="5">
        <f t="shared" si="1"/>
        <v>0</v>
      </c>
      <c r="F520" s="5">
        <f t="shared" si="2"/>
        <v>3817.727377</v>
      </c>
      <c r="G520" s="5" t="s">
        <v>19</v>
      </c>
      <c r="H520" s="5" t="s">
        <v>19</v>
      </c>
      <c r="I520" s="5" t="s">
        <v>19</v>
      </c>
      <c r="J520" s="5">
        <v>40902.34239285168</v>
      </c>
      <c r="K520" s="5">
        <f t="shared" si="3"/>
        <v>40902.34239</v>
      </c>
      <c r="L520" s="5">
        <f t="shared" si="4"/>
        <v>0</v>
      </c>
      <c r="M520" s="5">
        <v>288.83035227896846</v>
      </c>
      <c r="N520" s="5">
        <f t="shared" si="5"/>
        <v>0</v>
      </c>
      <c r="O520" s="5">
        <f t="shared" si="6"/>
        <v>288.8303523</v>
      </c>
      <c r="P520" s="5">
        <f t="shared" si="9"/>
        <v>45008.90012</v>
      </c>
      <c r="Q520" s="5">
        <f t="shared" si="7"/>
        <v>4106.55773</v>
      </c>
      <c r="R520" s="5">
        <f t="shared" si="8"/>
        <v>40902.34239</v>
      </c>
    </row>
    <row r="521" ht="15.75" customHeight="1">
      <c r="A521" s="4">
        <v>2015.0</v>
      </c>
      <c r="B521" s="4">
        <v>303.0</v>
      </c>
      <c r="C521" s="4" t="s">
        <v>20</v>
      </c>
      <c r="D521" s="5">
        <v>1686.6330138187805</v>
      </c>
      <c r="E521" s="5">
        <f t="shared" si="1"/>
        <v>0</v>
      </c>
      <c r="F521" s="5">
        <f t="shared" si="2"/>
        <v>1686.633014</v>
      </c>
      <c r="G521" s="5" t="s">
        <v>19</v>
      </c>
      <c r="H521" s="5" t="s">
        <v>19</v>
      </c>
      <c r="I521" s="5" t="s">
        <v>19</v>
      </c>
      <c r="J521" s="5">
        <v>3747.2514850939506</v>
      </c>
      <c r="K521" s="5">
        <f t="shared" si="3"/>
        <v>3747.251485</v>
      </c>
      <c r="L521" s="5">
        <f t="shared" si="4"/>
        <v>0</v>
      </c>
      <c r="M521" s="5">
        <v>1163.3697155614004</v>
      </c>
      <c r="N521" s="5">
        <f t="shared" si="5"/>
        <v>0</v>
      </c>
      <c r="O521" s="5">
        <f t="shared" si="6"/>
        <v>1163.369716</v>
      </c>
      <c r="P521" s="5">
        <f t="shared" si="9"/>
        <v>6597.254214</v>
      </c>
      <c r="Q521" s="5">
        <f t="shared" si="7"/>
        <v>2850.002729</v>
      </c>
      <c r="R521" s="5">
        <f t="shared" si="8"/>
        <v>3747.251485</v>
      </c>
    </row>
    <row r="522" ht="15.75" customHeight="1">
      <c r="A522" s="4">
        <v>2015.0</v>
      </c>
      <c r="B522" s="4">
        <v>304.0</v>
      </c>
      <c r="C522" s="4" t="s">
        <v>20</v>
      </c>
      <c r="D522" s="5">
        <v>14169.537014541753</v>
      </c>
      <c r="E522" s="5">
        <f t="shared" si="1"/>
        <v>0</v>
      </c>
      <c r="F522" s="5">
        <f t="shared" si="2"/>
        <v>14169.53701</v>
      </c>
      <c r="G522" s="5">
        <v>4959.116866404129</v>
      </c>
      <c r="H522" s="5">
        <v>2110.5204271286757</v>
      </c>
      <c r="I522" s="5">
        <v>2848.596439275453</v>
      </c>
      <c r="J522" s="5">
        <v>362.7702207791723</v>
      </c>
      <c r="K522" s="5">
        <f t="shared" si="3"/>
        <v>362.7702208</v>
      </c>
      <c r="L522" s="5">
        <f t="shared" si="4"/>
        <v>0</v>
      </c>
      <c r="M522" s="5">
        <v>1958.0750713599828</v>
      </c>
      <c r="N522" s="5">
        <f t="shared" si="5"/>
        <v>0</v>
      </c>
      <c r="O522" s="5">
        <f t="shared" si="6"/>
        <v>1958.075071</v>
      </c>
      <c r="P522" s="5">
        <f t="shared" si="9"/>
        <v>21449.49917</v>
      </c>
      <c r="Q522" s="5">
        <f t="shared" si="7"/>
        <v>18976.20853</v>
      </c>
      <c r="R522" s="5">
        <f t="shared" si="8"/>
        <v>2473.290648</v>
      </c>
    </row>
    <row r="523" ht="15.75" customHeight="1">
      <c r="A523" s="4">
        <v>2015.0</v>
      </c>
      <c r="B523" s="4">
        <v>305.0</v>
      </c>
      <c r="C523" s="4" t="s">
        <v>20</v>
      </c>
      <c r="D523" s="5">
        <v>31866.15006939056</v>
      </c>
      <c r="E523" s="5">
        <f t="shared" si="1"/>
        <v>0</v>
      </c>
      <c r="F523" s="5">
        <f t="shared" si="2"/>
        <v>31866.15007</v>
      </c>
      <c r="G523" s="5">
        <v>6403.882600609768</v>
      </c>
      <c r="H523" s="5">
        <v>1856.6900334811673</v>
      </c>
      <c r="I523" s="5">
        <v>4547.192567128601</v>
      </c>
      <c r="J523" s="5">
        <v>2175.4670557907366</v>
      </c>
      <c r="K523" s="5">
        <f t="shared" si="3"/>
        <v>2175.467056</v>
      </c>
      <c r="L523" s="5">
        <f t="shared" si="4"/>
        <v>0</v>
      </c>
      <c r="M523" s="5">
        <v>6212.124273397771</v>
      </c>
      <c r="N523" s="5">
        <f t="shared" si="5"/>
        <v>0</v>
      </c>
      <c r="O523" s="5">
        <f t="shared" si="6"/>
        <v>6212.124273</v>
      </c>
      <c r="P523" s="5">
        <f t="shared" si="9"/>
        <v>46657.624</v>
      </c>
      <c r="Q523" s="5">
        <f t="shared" si="7"/>
        <v>42625.46691</v>
      </c>
      <c r="R523" s="5">
        <f t="shared" si="8"/>
        <v>4032.157089</v>
      </c>
    </row>
    <row r="524" ht="15.75" customHeight="1">
      <c r="A524" s="4">
        <v>2015.0</v>
      </c>
      <c r="B524" s="4">
        <v>306.0</v>
      </c>
      <c r="C524" s="4" t="s">
        <v>20</v>
      </c>
      <c r="D524" s="5" t="s">
        <v>19</v>
      </c>
      <c r="E524" s="5" t="str">
        <f t="shared" si="1"/>
        <v/>
      </c>
      <c r="F524" s="5" t="str">
        <f t="shared" si="2"/>
        <v/>
      </c>
      <c r="G524" s="5" t="s">
        <v>19</v>
      </c>
      <c r="H524" s="5" t="s">
        <v>19</v>
      </c>
      <c r="I524" s="5" t="s">
        <v>19</v>
      </c>
      <c r="J524" s="5">
        <v>0.0</v>
      </c>
      <c r="K524" s="5">
        <f t="shared" si="3"/>
        <v>0</v>
      </c>
      <c r="L524" s="5">
        <f t="shared" si="4"/>
        <v>0</v>
      </c>
      <c r="M524" s="5">
        <v>1090.4157119745332</v>
      </c>
      <c r="N524" s="5">
        <f t="shared" si="5"/>
        <v>0</v>
      </c>
      <c r="O524" s="5">
        <f t="shared" si="6"/>
        <v>1090.415712</v>
      </c>
      <c r="P524" s="5">
        <f t="shared" si="9"/>
        <v>1090.415712</v>
      </c>
      <c r="Q524" s="5">
        <f t="shared" si="7"/>
        <v>1090.415712</v>
      </c>
      <c r="R524" s="5">
        <f t="shared" si="8"/>
        <v>0</v>
      </c>
    </row>
    <row r="525" ht="15.75" customHeight="1">
      <c r="A525" s="4">
        <v>2015.0</v>
      </c>
      <c r="B525" s="4">
        <v>307.0</v>
      </c>
      <c r="C525" s="4" t="s">
        <v>20</v>
      </c>
      <c r="D525" s="5" t="s">
        <v>19</v>
      </c>
      <c r="E525" s="5" t="str">
        <f t="shared" si="1"/>
        <v/>
      </c>
      <c r="F525" s="5" t="str">
        <f t="shared" si="2"/>
        <v/>
      </c>
      <c r="G525" s="5" t="s">
        <v>19</v>
      </c>
      <c r="H525" s="5" t="s">
        <v>19</v>
      </c>
      <c r="I525" s="5" t="s">
        <v>19</v>
      </c>
      <c r="J525" s="5">
        <v>0.0</v>
      </c>
      <c r="K525" s="5">
        <f t="shared" si="3"/>
        <v>0</v>
      </c>
      <c r="L525" s="5">
        <f t="shared" si="4"/>
        <v>0</v>
      </c>
      <c r="M525" s="5">
        <v>0.0</v>
      </c>
      <c r="N525" s="5">
        <f t="shared" si="5"/>
        <v>0</v>
      </c>
      <c r="O525" s="5">
        <f t="shared" si="6"/>
        <v>0</v>
      </c>
      <c r="P525" s="5">
        <f t="shared" si="9"/>
        <v>0</v>
      </c>
      <c r="Q525" s="5">
        <f t="shared" si="7"/>
        <v>0</v>
      </c>
      <c r="R525" s="5">
        <f t="shared" si="8"/>
        <v>0</v>
      </c>
    </row>
    <row r="526" ht="15.75" customHeight="1">
      <c r="A526" s="4">
        <v>2015.0</v>
      </c>
      <c r="B526" s="4">
        <v>308.0</v>
      </c>
      <c r="C526" s="4" t="s">
        <v>20</v>
      </c>
      <c r="D526" s="5">
        <v>7647.828704493669</v>
      </c>
      <c r="E526" s="5">
        <f t="shared" si="1"/>
        <v>0</v>
      </c>
      <c r="F526" s="5">
        <f t="shared" si="2"/>
        <v>7647.828704</v>
      </c>
      <c r="G526" s="5">
        <v>8284.070835400142</v>
      </c>
      <c r="H526" s="5">
        <v>3757.902100679637</v>
      </c>
      <c r="I526" s="5">
        <v>4526.168734720504</v>
      </c>
      <c r="J526" s="5">
        <v>2308.5377685947333</v>
      </c>
      <c r="K526" s="5">
        <f t="shared" si="3"/>
        <v>2308.537769</v>
      </c>
      <c r="L526" s="5">
        <f t="shared" si="4"/>
        <v>0</v>
      </c>
      <c r="M526" s="5">
        <v>43130.97809069093</v>
      </c>
      <c r="N526" s="5">
        <f t="shared" si="5"/>
        <v>0</v>
      </c>
      <c r="O526" s="5">
        <f t="shared" si="6"/>
        <v>43130.97809</v>
      </c>
      <c r="P526" s="5">
        <f t="shared" si="9"/>
        <v>61371.4154</v>
      </c>
      <c r="Q526" s="5">
        <f t="shared" si="7"/>
        <v>55304.97553</v>
      </c>
      <c r="R526" s="5">
        <f t="shared" si="8"/>
        <v>6066.439869</v>
      </c>
    </row>
    <row r="527" ht="15.75" customHeight="1">
      <c r="A527" s="4">
        <v>2015.0</v>
      </c>
      <c r="B527" s="4">
        <v>309.0</v>
      </c>
      <c r="C527" s="4" t="s">
        <v>20</v>
      </c>
      <c r="D527" s="5" t="s">
        <v>19</v>
      </c>
      <c r="E527" s="5" t="str">
        <f t="shared" si="1"/>
        <v/>
      </c>
      <c r="F527" s="5" t="str">
        <f t="shared" si="2"/>
        <v/>
      </c>
      <c r="G527" s="5" t="s">
        <v>19</v>
      </c>
      <c r="H527" s="5" t="s">
        <v>19</v>
      </c>
      <c r="I527" s="5" t="s">
        <v>19</v>
      </c>
      <c r="J527" s="5">
        <v>286.9182655253454</v>
      </c>
      <c r="K527" s="5">
        <f t="shared" si="3"/>
        <v>286.9182655</v>
      </c>
      <c r="L527" s="5">
        <f t="shared" si="4"/>
        <v>0</v>
      </c>
      <c r="M527" s="5">
        <v>855.0676541400296</v>
      </c>
      <c r="N527" s="5">
        <f t="shared" si="5"/>
        <v>0</v>
      </c>
      <c r="O527" s="5">
        <f t="shared" si="6"/>
        <v>855.0676541</v>
      </c>
      <c r="P527" s="5">
        <f t="shared" si="9"/>
        <v>1141.98592</v>
      </c>
      <c r="Q527" s="5">
        <f t="shared" si="7"/>
        <v>855.0676541</v>
      </c>
      <c r="R527" s="5">
        <f t="shared" si="8"/>
        <v>286.9182655</v>
      </c>
    </row>
    <row r="528" ht="15.75" customHeight="1">
      <c r="A528" s="4">
        <v>2015.0</v>
      </c>
      <c r="B528" s="4">
        <v>310.0</v>
      </c>
      <c r="C528" s="4" t="s">
        <v>20</v>
      </c>
      <c r="D528" s="5" t="s">
        <v>19</v>
      </c>
      <c r="E528" s="5" t="str">
        <f t="shared" si="1"/>
        <v/>
      </c>
      <c r="F528" s="5" t="str">
        <f t="shared" si="2"/>
        <v/>
      </c>
      <c r="G528" s="5" t="s">
        <v>19</v>
      </c>
      <c r="H528" s="5" t="s">
        <v>19</v>
      </c>
      <c r="I528" s="5" t="s">
        <v>19</v>
      </c>
      <c r="J528" s="5">
        <v>4098.14922592035</v>
      </c>
      <c r="K528" s="5">
        <f t="shared" si="3"/>
        <v>4098.149226</v>
      </c>
      <c r="L528" s="5">
        <f t="shared" si="4"/>
        <v>0</v>
      </c>
      <c r="M528" s="5">
        <v>1238.2449277836517</v>
      </c>
      <c r="N528" s="5">
        <f t="shared" si="5"/>
        <v>0</v>
      </c>
      <c r="O528" s="5">
        <f t="shared" si="6"/>
        <v>1238.244928</v>
      </c>
      <c r="P528" s="5">
        <f t="shared" si="9"/>
        <v>5336.394154</v>
      </c>
      <c r="Q528" s="5">
        <f t="shared" si="7"/>
        <v>1238.244928</v>
      </c>
      <c r="R528" s="5">
        <f t="shared" si="8"/>
        <v>4098.149226</v>
      </c>
    </row>
    <row r="529" ht="15.75" customHeight="1">
      <c r="A529" s="4">
        <v>2015.0</v>
      </c>
      <c r="B529" s="4">
        <v>311.0</v>
      </c>
      <c r="C529" s="4" t="s">
        <v>20</v>
      </c>
      <c r="D529" s="5" t="s">
        <v>19</v>
      </c>
      <c r="E529" s="5" t="str">
        <f t="shared" si="1"/>
        <v/>
      </c>
      <c r="F529" s="5" t="str">
        <f t="shared" si="2"/>
        <v/>
      </c>
      <c r="G529" s="5">
        <v>640.5128088311669</v>
      </c>
      <c r="H529" s="5">
        <v>443.7589649361277</v>
      </c>
      <c r="I529" s="5">
        <v>196.7538438950392</v>
      </c>
      <c r="J529" s="5">
        <v>540.857420070766</v>
      </c>
      <c r="K529" s="5">
        <f t="shared" si="3"/>
        <v>540.8574201</v>
      </c>
      <c r="L529" s="5">
        <f t="shared" si="4"/>
        <v>0</v>
      </c>
      <c r="M529" s="5">
        <v>654.0806723721521</v>
      </c>
      <c r="N529" s="5">
        <f t="shared" si="5"/>
        <v>0</v>
      </c>
      <c r="O529" s="5">
        <f t="shared" si="6"/>
        <v>654.0806724</v>
      </c>
      <c r="P529" s="5">
        <f t="shared" si="9"/>
        <v>1835.450901</v>
      </c>
      <c r="Q529" s="5">
        <f t="shared" si="7"/>
        <v>850.8345163</v>
      </c>
      <c r="R529" s="5">
        <f t="shared" si="8"/>
        <v>984.616385</v>
      </c>
    </row>
    <row r="530" ht="15.75" customHeight="1">
      <c r="A530" s="4">
        <v>2015.0</v>
      </c>
      <c r="B530" s="4">
        <v>312.0</v>
      </c>
      <c r="C530" s="4" t="s">
        <v>20</v>
      </c>
      <c r="D530" s="5">
        <v>3357.3436660775724</v>
      </c>
      <c r="E530" s="5">
        <f t="shared" si="1"/>
        <v>0</v>
      </c>
      <c r="F530" s="5">
        <f t="shared" si="2"/>
        <v>3357.343666</v>
      </c>
      <c r="G530" s="5" t="s">
        <v>19</v>
      </c>
      <c r="H530" s="5" t="s">
        <v>19</v>
      </c>
      <c r="I530" s="5" t="s">
        <v>19</v>
      </c>
      <c r="J530" s="5">
        <v>9098.079262475761</v>
      </c>
      <c r="K530" s="5">
        <f t="shared" si="3"/>
        <v>9098.079262</v>
      </c>
      <c r="L530" s="5">
        <f t="shared" si="4"/>
        <v>0</v>
      </c>
      <c r="M530" s="5">
        <v>642.5664016992785</v>
      </c>
      <c r="N530" s="5">
        <f t="shared" si="5"/>
        <v>0</v>
      </c>
      <c r="O530" s="5">
        <f t="shared" si="6"/>
        <v>642.5664017</v>
      </c>
      <c r="P530" s="5">
        <f t="shared" si="9"/>
        <v>13097.98933</v>
      </c>
      <c r="Q530" s="5">
        <f t="shared" si="7"/>
        <v>3999.910068</v>
      </c>
      <c r="R530" s="5">
        <f t="shared" si="8"/>
        <v>9098.079262</v>
      </c>
    </row>
    <row r="531" ht="15.75" customHeight="1">
      <c r="A531" s="4">
        <v>2015.0</v>
      </c>
      <c r="B531" s="4">
        <v>313.0</v>
      </c>
      <c r="C531" s="4" t="s">
        <v>20</v>
      </c>
      <c r="D531" s="5">
        <v>11750.520861425102</v>
      </c>
      <c r="E531" s="5">
        <f t="shared" si="1"/>
        <v>0</v>
      </c>
      <c r="F531" s="5">
        <f t="shared" si="2"/>
        <v>11750.52086</v>
      </c>
      <c r="G531" s="5" t="s">
        <v>19</v>
      </c>
      <c r="H531" s="5" t="s">
        <v>19</v>
      </c>
      <c r="I531" s="5" t="s">
        <v>19</v>
      </c>
      <c r="J531" s="5">
        <v>0.0</v>
      </c>
      <c r="K531" s="5">
        <f t="shared" si="3"/>
        <v>0</v>
      </c>
      <c r="L531" s="5">
        <f t="shared" si="4"/>
        <v>0</v>
      </c>
      <c r="M531" s="5">
        <v>1128.0610163165106</v>
      </c>
      <c r="N531" s="5">
        <f t="shared" si="5"/>
        <v>0</v>
      </c>
      <c r="O531" s="5">
        <f t="shared" si="6"/>
        <v>1128.061016</v>
      </c>
      <c r="P531" s="5">
        <f t="shared" si="9"/>
        <v>12878.58188</v>
      </c>
      <c r="Q531" s="5">
        <f t="shared" si="7"/>
        <v>12878.58188</v>
      </c>
      <c r="R531" s="5">
        <f t="shared" si="8"/>
        <v>0</v>
      </c>
    </row>
    <row r="532" ht="15.75" customHeight="1">
      <c r="A532" s="4">
        <v>2015.0</v>
      </c>
      <c r="B532" s="4">
        <v>314.0</v>
      </c>
      <c r="C532" s="4" t="s">
        <v>20</v>
      </c>
      <c r="D532" s="5" t="s">
        <v>19</v>
      </c>
      <c r="E532" s="5" t="str">
        <f t="shared" si="1"/>
        <v/>
      </c>
      <c r="F532" s="5" t="str">
        <f t="shared" si="2"/>
        <v/>
      </c>
      <c r="G532" s="5">
        <v>876.4081795712948</v>
      </c>
      <c r="H532" s="5">
        <v>395.9820566911895</v>
      </c>
      <c r="I532" s="5">
        <v>480.4261228801053</v>
      </c>
      <c r="J532" s="5">
        <v>0.0</v>
      </c>
      <c r="K532" s="5">
        <f t="shared" si="3"/>
        <v>0</v>
      </c>
      <c r="L532" s="5">
        <f t="shared" si="4"/>
        <v>0</v>
      </c>
      <c r="M532" s="5">
        <v>340.54721176118926</v>
      </c>
      <c r="N532" s="5">
        <f t="shared" si="5"/>
        <v>0</v>
      </c>
      <c r="O532" s="5">
        <f t="shared" si="6"/>
        <v>340.5472118</v>
      </c>
      <c r="P532" s="5">
        <f t="shared" si="9"/>
        <v>1216.955391</v>
      </c>
      <c r="Q532" s="5">
        <f t="shared" si="7"/>
        <v>820.9733346</v>
      </c>
      <c r="R532" s="5">
        <f t="shared" si="8"/>
        <v>395.9820567</v>
      </c>
    </row>
    <row r="533" ht="15.75" customHeight="1">
      <c r="A533" s="4">
        <v>2015.0</v>
      </c>
      <c r="B533" s="4">
        <v>320.0</v>
      </c>
      <c r="C533" s="4" t="s">
        <v>20</v>
      </c>
      <c r="D533" s="5">
        <v>159306.8668046128</v>
      </c>
      <c r="E533" s="5">
        <f t="shared" si="1"/>
        <v>0</v>
      </c>
      <c r="F533" s="5">
        <f t="shared" si="2"/>
        <v>159306.8668</v>
      </c>
      <c r="G533" s="5">
        <v>42778.35093464055</v>
      </c>
      <c r="H533" s="5">
        <v>23258.652507874296</v>
      </c>
      <c r="I533" s="5">
        <v>19519.698426766252</v>
      </c>
      <c r="J533" s="5">
        <v>26656.355822853584</v>
      </c>
      <c r="K533" s="5">
        <f t="shared" si="3"/>
        <v>26656.35582</v>
      </c>
      <c r="L533" s="5">
        <f t="shared" si="4"/>
        <v>0</v>
      </c>
      <c r="M533" s="5">
        <v>13684.65227958325</v>
      </c>
      <c r="N533" s="5">
        <f t="shared" si="5"/>
        <v>0</v>
      </c>
      <c r="O533" s="5">
        <f t="shared" si="6"/>
        <v>13684.65228</v>
      </c>
      <c r="P533" s="5">
        <f t="shared" si="9"/>
        <v>242426.2258</v>
      </c>
      <c r="Q533" s="5">
        <f t="shared" si="7"/>
        <v>192511.2175</v>
      </c>
      <c r="R533" s="5">
        <f t="shared" si="8"/>
        <v>49915.00833</v>
      </c>
    </row>
    <row r="534" ht="15.75" customHeight="1">
      <c r="A534" s="4">
        <v>2015.0</v>
      </c>
      <c r="B534" s="4">
        <v>321.0</v>
      </c>
      <c r="C534" s="4" t="s">
        <v>20</v>
      </c>
      <c r="D534" s="5">
        <v>94948.90884144732</v>
      </c>
      <c r="E534" s="5">
        <f t="shared" si="1"/>
        <v>0</v>
      </c>
      <c r="F534" s="5">
        <f t="shared" si="2"/>
        <v>94948.90884</v>
      </c>
      <c r="G534" s="5">
        <v>17238.089505653057</v>
      </c>
      <c r="H534" s="5">
        <v>8672.687908147422</v>
      </c>
      <c r="I534" s="5">
        <v>8565.401597505635</v>
      </c>
      <c r="J534" s="5">
        <v>10085.17703321589</v>
      </c>
      <c r="K534" s="5">
        <f t="shared" si="3"/>
        <v>10085.17703</v>
      </c>
      <c r="L534" s="5">
        <f t="shared" si="4"/>
        <v>0</v>
      </c>
      <c r="M534" s="5">
        <v>7096.152849602267</v>
      </c>
      <c r="N534" s="5">
        <f t="shared" si="5"/>
        <v>0</v>
      </c>
      <c r="O534" s="5">
        <f t="shared" si="6"/>
        <v>7096.15285</v>
      </c>
      <c r="P534" s="5">
        <f t="shared" si="9"/>
        <v>129368.3282</v>
      </c>
      <c r="Q534" s="5">
        <f t="shared" si="7"/>
        <v>110610.4633</v>
      </c>
      <c r="R534" s="5">
        <f t="shared" si="8"/>
        <v>18757.86494</v>
      </c>
    </row>
    <row r="535" ht="15.75" customHeight="1">
      <c r="A535" s="4">
        <v>2015.0</v>
      </c>
      <c r="B535" s="4">
        <v>322.0</v>
      </c>
      <c r="C535" s="4" t="s">
        <v>20</v>
      </c>
      <c r="D535" s="5">
        <v>9122.148400025402</v>
      </c>
      <c r="E535" s="5">
        <f t="shared" si="1"/>
        <v>0</v>
      </c>
      <c r="F535" s="5">
        <f t="shared" si="2"/>
        <v>9122.1484</v>
      </c>
      <c r="G535" s="5">
        <v>1042.0580439241826</v>
      </c>
      <c r="H535" s="5">
        <v>431.10480988480924</v>
      </c>
      <c r="I535" s="5">
        <v>610.9532340393733</v>
      </c>
      <c r="J535" s="5">
        <v>0.0</v>
      </c>
      <c r="K535" s="5">
        <f t="shared" si="3"/>
        <v>0</v>
      </c>
      <c r="L535" s="5">
        <f t="shared" si="4"/>
        <v>0</v>
      </c>
      <c r="M535" s="5">
        <v>27192.37162875919</v>
      </c>
      <c r="N535" s="5">
        <f t="shared" si="5"/>
        <v>0</v>
      </c>
      <c r="O535" s="5">
        <f t="shared" si="6"/>
        <v>27192.37163</v>
      </c>
      <c r="P535" s="5">
        <f t="shared" si="9"/>
        <v>37356.57807</v>
      </c>
      <c r="Q535" s="5">
        <f t="shared" si="7"/>
        <v>36925.47326</v>
      </c>
      <c r="R535" s="5">
        <f t="shared" si="8"/>
        <v>431.1048099</v>
      </c>
    </row>
    <row r="536" ht="15.75" customHeight="1">
      <c r="A536" s="4">
        <v>2015.0</v>
      </c>
      <c r="B536" s="4">
        <v>323.0</v>
      </c>
      <c r="C536" s="4" t="s">
        <v>20</v>
      </c>
      <c r="D536" s="5" t="s">
        <v>19</v>
      </c>
      <c r="E536" s="5" t="str">
        <f t="shared" si="1"/>
        <v/>
      </c>
      <c r="F536" s="5" t="str">
        <f t="shared" si="2"/>
        <v/>
      </c>
      <c r="G536" s="5">
        <v>5054.189094315937</v>
      </c>
      <c r="H536" s="5">
        <v>1937.9788641585994</v>
      </c>
      <c r="I536" s="5">
        <v>3116.2102301573377</v>
      </c>
      <c r="J536" s="5">
        <v>0.0</v>
      </c>
      <c r="K536" s="5">
        <f t="shared" si="3"/>
        <v>0</v>
      </c>
      <c r="L536" s="5">
        <f t="shared" si="4"/>
        <v>0</v>
      </c>
      <c r="M536" s="5">
        <v>278169.72133489756</v>
      </c>
      <c r="N536" s="5">
        <f t="shared" si="5"/>
        <v>0</v>
      </c>
      <c r="O536" s="5">
        <f t="shared" si="6"/>
        <v>278169.7213</v>
      </c>
      <c r="P536" s="5">
        <f t="shared" si="9"/>
        <v>283223.9104</v>
      </c>
      <c r="Q536" s="5">
        <f t="shared" si="7"/>
        <v>281285.9316</v>
      </c>
      <c r="R536" s="5">
        <f t="shared" si="8"/>
        <v>1937.978864</v>
      </c>
    </row>
    <row r="537" ht="15.75" customHeight="1">
      <c r="A537" s="4">
        <v>2015.0</v>
      </c>
      <c r="B537" s="4">
        <v>324.0</v>
      </c>
      <c r="C537" s="4" t="s">
        <v>20</v>
      </c>
      <c r="D537" s="5">
        <v>24399.881779142353</v>
      </c>
      <c r="E537" s="5">
        <f t="shared" si="1"/>
        <v>0</v>
      </c>
      <c r="F537" s="5">
        <f t="shared" si="2"/>
        <v>24399.88178</v>
      </c>
      <c r="G537" s="5">
        <v>4142.492096524102</v>
      </c>
      <c r="H537" s="5">
        <v>1712.794687654824</v>
      </c>
      <c r="I537" s="5">
        <v>2429.6974088692778</v>
      </c>
      <c r="J537" s="5">
        <v>224.25795466348836</v>
      </c>
      <c r="K537" s="5">
        <f t="shared" si="3"/>
        <v>224.2579547</v>
      </c>
      <c r="L537" s="5">
        <f t="shared" si="4"/>
        <v>0</v>
      </c>
      <c r="M537" s="5">
        <v>128381.91120884154</v>
      </c>
      <c r="N537" s="5">
        <f t="shared" si="5"/>
        <v>0</v>
      </c>
      <c r="O537" s="5">
        <f t="shared" si="6"/>
        <v>128381.9112</v>
      </c>
      <c r="P537" s="5">
        <f t="shared" si="9"/>
        <v>157148.543</v>
      </c>
      <c r="Q537" s="5">
        <f t="shared" si="7"/>
        <v>155211.4904</v>
      </c>
      <c r="R537" s="5">
        <f t="shared" si="8"/>
        <v>1937.052642</v>
      </c>
    </row>
    <row r="538" ht="15.75" customHeight="1">
      <c r="A538" s="4">
        <v>2015.0</v>
      </c>
      <c r="B538" s="4">
        <v>325.0</v>
      </c>
      <c r="C538" s="4" t="s">
        <v>20</v>
      </c>
      <c r="D538" s="5">
        <v>14663.130222901396</v>
      </c>
      <c r="E538" s="5">
        <f t="shared" si="1"/>
        <v>0</v>
      </c>
      <c r="F538" s="5">
        <f t="shared" si="2"/>
        <v>14663.13022</v>
      </c>
      <c r="G538" s="5" t="s">
        <v>19</v>
      </c>
      <c r="H538" s="5" t="s">
        <v>19</v>
      </c>
      <c r="I538" s="5" t="s">
        <v>19</v>
      </c>
      <c r="J538" s="5">
        <v>0.0</v>
      </c>
      <c r="K538" s="5">
        <f t="shared" si="3"/>
        <v>0</v>
      </c>
      <c r="L538" s="5">
        <f t="shared" si="4"/>
        <v>0</v>
      </c>
      <c r="M538" s="5">
        <v>6197.715208632391</v>
      </c>
      <c r="N538" s="5">
        <f t="shared" si="5"/>
        <v>0</v>
      </c>
      <c r="O538" s="5">
        <f t="shared" si="6"/>
        <v>6197.715209</v>
      </c>
      <c r="P538" s="5">
        <f t="shared" si="9"/>
        <v>20860.84543</v>
      </c>
      <c r="Q538" s="5">
        <f t="shared" si="7"/>
        <v>20860.84543</v>
      </c>
      <c r="R538" s="5">
        <f t="shared" si="8"/>
        <v>0</v>
      </c>
    </row>
    <row r="539" ht="15.75" customHeight="1">
      <c r="A539" s="4">
        <v>2015.0</v>
      </c>
      <c r="B539" s="4">
        <v>326.0</v>
      </c>
      <c r="C539" s="4" t="s">
        <v>20</v>
      </c>
      <c r="D539" s="5">
        <v>5031.921177572361</v>
      </c>
      <c r="E539" s="5">
        <f t="shared" si="1"/>
        <v>0</v>
      </c>
      <c r="F539" s="5">
        <f t="shared" si="2"/>
        <v>5031.921178</v>
      </c>
      <c r="G539" s="5" t="s">
        <v>19</v>
      </c>
      <c r="H539" s="5" t="s">
        <v>19</v>
      </c>
      <c r="I539" s="5" t="s">
        <v>19</v>
      </c>
      <c r="J539" s="5">
        <v>0.0</v>
      </c>
      <c r="K539" s="5">
        <f t="shared" si="3"/>
        <v>0</v>
      </c>
      <c r="L539" s="5">
        <f t="shared" si="4"/>
        <v>0</v>
      </c>
      <c r="M539" s="5">
        <v>2118.5219546933777</v>
      </c>
      <c r="N539" s="5">
        <f t="shared" si="5"/>
        <v>0</v>
      </c>
      <c r="O539" s="5">
        <f t="shared" si="6"/>
        <v>2118.521955</v>
      </c>
      <c r="P539" s="5">
        <f t="shared" si="9"/>
        <v>7150.443132</v>
      </c>
      <c r="Q539" s="5">
        <f t="shared" si="7"/>
        <v>7150.443132</v>
      </c>
      <c r="R539" s="5">
        <f t="shared" si="8"/>
        <v>0</v>
      </c>
    </row>
    <row r="540" ht="15.75" customHeight="1">
      <c r="A540" s="4">
        <v>2015.0</v>
      </c>
      <c r="B540" s="4">
        <v>327.0</v>
      </c>
      <c r="C540" s="4" t="s">
        <v>20</v>
      </c>
      <c r="D540" s="5">
        <v>131134.0677226772</v>
      </c>
      <c r="E540" s="5">
        <f t="shared" si="1"/>
        <v>0</v>
      </c>
      <c r="F540" s="5">
        <f t="shared" si="2"/>
        <v>131134.0677</v>
      </c>
      <c r="G540" s="5">
        <v>36484.07125179811</v>
      </c>
      <c r="H540" s="5">
        <v>10328.829511868425</v>
      </c>
      <c r="I540" s="5">
        <v>26155.241739929683</v>
      </c>
      <c r="J540" s="5">
        <v>292.52471439193255</v>
      </c>
      <c r="K540" s="5">
        <f t="shared" si="3"/>
        <v>292.5247144</v>
      </c>
      <c r="L540" s="5">
        <f t="shared" si="4"/>
        <v>0</v>
      </c>
      <c r="M540" s="5">
        <v>32140.781978815052</v>
      </c>
      <c r="N540" s="5">
        <f t="shared" si="5"/>
        <v>0</v>
      </c>
      <c r="O540" s="5">
        <f t="shared" si="6"/>
        <v>32140.78198</v>
      </c>
      <c r="P540" s="5">
        <f t="shared" si="9"/>
        <v>200051.4457</v>
      </c>
      <c r="Q540" s="5">
        <f t="shared" si="7"/>
        <v>189430.0914</v>
      </c>
      <c r="R540" s="5">
        <f t="shared" si="8"/>
        <v>10621.35423</v>
      </c>
    </row>
    <row r="541" ht="15.75" customHeight="1">
      <c r="A541" s="4">
        <v>2015.0</v>
      </c>
      <c r="B541" s="4">
        <v>328.0</v>
      </c>
      <c r="C541" s="4" t="s">
        <v>20</v>
      </c>
      <c r="D541" s="5">
        <v>5050.118162212349</v>
      </c>
      <c r="E541" s="5">
        <f t="shared" si="1"/>
        <v>0</v>
      </c>
      <c r="F541" s="5">
        <f t="shared" si="2"/>
        <v>5050.118162</v>
      </c>
      <c r="G541" s="5" t="s">
        <v>19</v>
      </c>
      <c r="H541" s="5" t="s">
        <v>19</v>
      </c>
      <c r="I541" s="5" t="s">
        <v>19</v>
      </c>
      <c r="J541" s="5">
        <v>2364.602257260605</v>
      </c>
      <c r="K541" s="5">
        <f t="shared" si="3"/>
        <v>2364.602257</v>
      </c>
      <c r="L541" s="5">
        <f t="shared" si="4"/>
        <v>0</v>
      </c>
      <c r="M541" s="5">
        <v>25460.479930797366</v>
      </c>
      <c r="N541" s="5">
        <f t="shared" si="5"/>
        <v>0</v>
      </c>
      <c r="O541" s="5">
        <f t="shared" si="6"/>
        <v>25460.47993</v>
      </c>
      <c r="P541" s="5">
        <f t="shared" si="9"/>
        <v>32875.20035</v>
      </c>
      <c r="Q541" s="5">
        <f t="shared" si="7"/>
        <v>30510.59809</v>
      </c>
      <c r="R541" s="5">
        <f t="shared" si="8"/>
        <v>2364.602257</v>
      </c>
    </row>
    <row r="542" ht="15.75" customHeight="1">
      <c r="A542" s="4">
        <v>2015.0</v>
      </c>
      <c r="B542" s="4">
        <v>331.0</v>
      </c>
      <c r="C542" s="4" t="s">
        <v>20</v>
      </c>
      <c r="D542" s="5">
        <v>135555.70752788597</v>
      </c>
      <c r="E542" s="5">
        <f t="shared" si="1"/>
        <v>0</v>
      </c>
      <c r="F542" s="5">
        <f t="shared" si="2"/>
        <v>135555.7075</v>
      </c>
      <c r="G542" s="5">
        <v>160127.57946394078</v>
      </c>
      <c r="H542" s="5">
        <v>42051.193698013776</v>
      </c>
      <c r="I542" s="5">
        <v>118076.385765927</v>
      </c>
      <c r="J542" s="5">
        <v>3772.4475258826124</v>
      </c>
      <c r="K542" s="5">
        <f t="shared" si="3"/>
        <v>3772.447526</v>
      </c>
      <c r="L542" s="5">
        <f t="shared" si="4"/>
        <v>0</v>
      </c>
      <c r="M542" s="5">
        <v>56460.2976407042</v>
      </c>
      <c r="N542" s="5">
        <f t="shared" si="5"/>
        <v>0</v>
      </c>
      <c r="O542" s="5">
        <f t="shared" si="6"/>
        <v>56460.29764</v>
      </c>
      <c r="P542" s="5">
        <f t="shared" si="9"/>
        <v>355916.0322</v>
      </c>
      <c r="Q542" s="5">
        <f t="shared" si="7"/>
        <v>310092.3909</v>
      </c>
      <c r="R542" s="5">
        <f t="shared" si="8"/>
        <v>45823.64122</v>
      </c>
    </row>
    <row r="543" ht="15.75" customHeight="1">
      <c r="A543" s="4">
        <v>2015.0</v>
      </c>
      <c r="B543" s="4">
        <v>332.0</v>
      </c>
      <c r="C543" s="4" t="s">
        <v>20</v>
      </c>
      <c r="D543" s="5" t="s">
        <v>19</v>
      </c>
      <c r="E543" s="5" t="str">
        <f t="shared" si="1"/>
        <v/>
      </c>
      <c r="F543" s="5" t="str">
        <f t="shared" si="2"/>
        <v/>
      </c>
      <c r="G543" s="5" t="s">
        <v>19</v>
      </c>
      <c r="H543" s="5" t="s">
        <v>19</v>
      </c>
      <c r="I543" s="5" t="s">
        <v>19</v>
      </c>
      <c r="J543" s="5">
        <v>0.0</v>
      </c>
      <c r="K543" s="5">
        <f t="shared" si="3"/>
        <v>0</v>
      </c>
      <c r="L543" s="5">
        <f t="shared" si="4"/>
        <v>0</v>
      </c>
      <c r="M543" s="5">
        <v>10918.436373116423</v>
      </c>
      <c r="N543" s="5">
        <f t="shared" si="5"/>
        <v>0</v>
      </c>
      <c r="O543" s="5">
        <f t="shared" si="6"/>
        <v>10918.43637</v>
      </c>
      <c r="P543" s="5">
        <f t="shared" si="9"/>
        <v>10918.43637</v>
      </c>
      <c r="Q543" s="5">
        <f t="shared" si="7"/>
        <v>10918.43637</v>
      </c>
      <c r="R543" s="5">
        <f t="shared" si="8"/>
        <v>0</v>
      </c>
    </row>
    <row r="544" ht="15.75" customHeight="1">
      <c r="A544" s="4">
        <v>2015.0</v>
      </c>
      <c r="B544" s="4">
        <v>333.0</v>
      </c>
      <c r="C544" s="4" t="s">
        <v>20</v>
      </c>
      <c r="D544" s="5">
        <v>9573.433619097075</v>
      </c>
      <c r="E544" s="5">
        <f t="shared" si="1"/>
        <v>0</v>
      </c>
      <c r="F544" s="5">
        <f t="shared" si="2"/>
        <v>9573.433619</v>
      </c>
      <c r="G544" s="5" t="s">
        <v>19</v>
      </c>
      <c r="H544" s="5" t="s">
        <v>19</v>
      </c>
      <c r="I544" s="5" t="s">
        <v>19</v>
      </c>
      <c r="J544" s="5">
        <v>0.0</v>
      </c>
      <c r="K544" s="5">
        <f t="shared" si="3"/>
        <v>0</v>
      </c>
      <c r="L544" s="5">
        <f t="shared" si="4"/>
        <v>0</v>
      </c>
      <c r="M544" s="5">
        <v>5527.044640070915</v>
      </c>
      <c r="N544" s="5">
        <f t="shared" si="5"/>
        <v>0</v>
      </c>
      <c r="O544" s="5">
        <f t="shared" si="6"/>
        <v>5527.04464</v>
      </c>
      <c r="P544" s="5">
        <f t="shared" si="9"/>
        <v>15100.47826</v>
      </c>
      <c r="Q544" s="5">
        <f t="shared" si="7"/>
        <v>15100.47826</v>
      </c>
      <c r="R544" s="5">
        <f t="shared" si="8"/>
        <v>0</v>
      </c>
    </row>
    <row r="545" ht="15.75" customHeight="1">
      <c r="A545" s="4">
        <v>2015.0</v>
      </c>
      <c r="B545" s="4">
        <v>400.0</v>
      </c>
      <c r="C545" s="4" t="s">
        <v>21</v>
      </c>
      <c r="D545" s="5" t="s">
        <v>19</v>
      </c>
      <c r="E545" s="5" t="str">
        <f t="shared" si="1"/>
        <v/>
      </c>
      <c r="F545" s="5" t="str">
        <f t="shared" si="2"/>
        <v/>
      </c>
      <c r="G545" s="5" t="s">
        <v>19</v>
      </c>
      <c r="H545" s="5" t="s">
        <v>19</v>
      </c>
      <c r="I545" s="5" t="s">
        <v>19</v>
      </c>
      <c r="J545" s="5">
        <v>60378.417759042844</v>
      </c>
      <c r="K545" s="5">
        <f t="shared" si="3"/>
        <v>60378.41776</v>
      </c>
      <c r="L545" s="5">
        <f t="shared" si="4"/>
        <v>0</v>
      </c>
      <c r="M545" s="5">
        <v>648.3921265697213</v>
      </c>
      <c r="N545" s="5">
        <f t="shared" si="5"/>
        <v>0</v>
      </c>
      <c r="O545" s="5">
        <f t="shared" si="6"/>
        <v>648.3921266</v>
      </c>
      <c r="P545" s="5">
        <f t="shared" si="9"/>
        <v>61026.80989</v>
      </c>
      <c r="Q545" s="5">
        <f t="shared" si="7"/>
        <v>648.3921266</v>
      </c>
      <c r="R545" s="5">
        <f t="shared" si="8"/>
        <v>60378.41776</v>
      </c>
    </row>
    <row r="546" ht="15.75" customHeight="1">
      <c r="A546" s="4">
        <v>2015.0</v>
      </c>
      <c r="B546" s="4">
        <v>401.0</v>
      </c>
      <c r="C546" s="4" t="s">
        <v>21</v>
      </c>
      <c r="D546" s="5">
        <v>855.0559594198238</v>
      </c>
      <c r="E546" s="5">
        <f t="shared" si="1"/>
        <v>0</v>
      </c>
      <c r="F546" s="5">
        <f t="shared" si="2"/>
        <v>855.0559594</v>
      </c>
      <c r="G546" s="5">
        <v>9265.816634385359</v>
      </c>
      <c r="H546" s="5">
        <v>6922.423734574193</v>
      </c>
      <c r="I546" s="5">
        <v>2343.392899811166</v>
      </c>
      <c r="J546" s="5">
        <v>389003.1546385802</v>
      </c>
      <c r="K546" s="5">
        <f t="shared" si="3"/>
        <v>389003.1546</v>
      </c>
      <c r="L546" s="5">
        <f t="shared" si="4"/>
        <v>0</v>
      </c>
      <c r="M546" s="5">
        <v>1101.761929518052</v>
      </c>
      <c r="N546" s="5">
        <f t="shared" si="5"/>
        <v>0</v>
      </c>
      <c r="O546" s="5">
        <f t="shared" si="6"/>
        <v>1101.76193</v>
      </c>
      <c r="P546" s="5">
        <f t="shared" si="9"/>
        <v>400225.7892</v>
      </c>
      <c r="Q546" s="5">
        <f t="shared" si="7"/>
        <v>4300.210789</v>
      </c>
      <c r="R546" s="5">
        <f t="shared" si="8"/>
        <v>395925.5784</v>
      </c>
    </row>
    <row r="547" ht="15.75" customHeight="1">
      <c r="A547" s="4">
        <v>2015.0</v>
      </c>
      <c r="B547" s="4">
        <v>402.0</v>
      </c>
      <c r="C547" s="4" t="s">
        <v>21</v>
      </c>
      <c r="D547" s="5">
        <v>326.9726822296864</v>
      </c>
      <c r="E547" s="5">
        <f t="shared" si="1"/>
        <v>0</v>
      </c>
      <c r="F547" s="5">
        <f t="shared" si="2"/>
        <v>326.9726822</v>
      </c>
      <c r="G547" s="5">
        <v>4923.211502534346</v>
      </c>
      <c r="H547" s="5">
        <v>3793.5789964954806</v>
      </c>
      <c r="I547" s="5">
        <v>1129.6325060388658</v>
      </c>
      <c r="J547" s="5">
        <v>255746.30165095863</v>
      </c>
      <c r="K547" s="5">
        <f t="shared" si="3"/>
        <v>255746.3017</v>
      </c>
      <c r="L547" s="5">
        <f t="shared" si="4"/>
        <v>0</v>
      </c>
      <c r="M547" s="5">
        <v>500.26504623696474</v>
      </c>
      <c r="N547" s="5">
        <f t="shared" si="5"/>
        <v>0</v>
      </c>
      <c r="O547" s="5">
        <f t="shared" si="6"/>
        <v>500.2650462</v>
      </c>
      <c r="P547" s="5">
        <f t="shared" si="9"/>
        <v>261496.7509</v>
      </c>
      <c r="Q547" s="5">
        <f t="shared" si="7"/>
        <v>1956.870235</v>
      </c>
      <c r="R547" s="5">
        <f t="shared" si="8"/>
        <v>259539.8806</v>
      </c>
    </row>
    <row r="548" ht="15.75" customHeight="1">
      <c r="A548" s="4">
        <v>2015.0</v>
      </c>
      <c r="B548" s="4">
        <v>403.0</v>
      </c>
      <c r="C548" s="4" t="s">
        <v>21</v>
      </c>
      <c r="D548" s="5">
        <v>3004.3414603501665</v>
      </c>
      <c r="E548" s="5">
        <f t="shared" si="1"/>
        <v>0</v>
      </c>
      <c r="F548" s="5">
        <f t="shared" si="2"/>
        <v>3004.34146</v>
      </c>
      <c r="G548" s="5">
        <v>21938.10692222102</v>
      </c>
      <c r="H548" s="5">
        <v>10854.855921668792</v>
      </c>
      <c r="I548" s="5">
        <v>11083.251000552229</v>
      </c>
      <c r="J548" s="5">
        <v>366003.18080450903</v>
      </c>
      <c r="K548" s="5">
        <f t="shared" si="3"/>
        <v>366003.1808</v>
      </c>
      <c r="L548" s="5">
        <f t="shared" si="4"/>
        <v>0</v>
      </c>
      <c r="M548" s="5">
        <v>13560.203499250878</v>
      </c>
      <c r="N548" s="5">
        <f t="shared" si="5"/>
        <v>0</v>
      </c>
      <c r="O548" s="5">
        <f t="shared" si="6"/>
        <v>13560.2035</v>
      </c>
      <c r="P548" s="5">
        <f t="shared" si="9"/>
        <v>404505.8327</v>
      </c>
      <c r="Q548" s="5">
        <f t="shared" si="7"/>
        <v>27647.79596</v>
      </c>
      <c r="R548" s="5">
        <f t="shared" si="8"/>
        <v>376858.0367</v>
      </c>
    </row>
    <row r="549" ht="15.75" customHeight="1">
      <c r="A549" s="4">
        <v>2015.0</v>
      </c>
      <c r="B549" s="4">
        <v>404.0</v>
      </c>
      <c r="C549" s="4" t="s">
        <v>21</v>
      </c>
      <c r="D549" s="5">
        <v>3144.3126428115047</v>
      </c>
      <c r="E549" s="5">
        <f t="shared" si="1"/>
        <v>0</v>
      </c>
      <c r="F549" s="5">
        <f t="shared" si="2"/>
        <v>3144.312643</v>
      </c>
      <c r="G549" s="5">
        <v>9614.36981770493</v>
      </c>
      <c r="H549" s="5">
        <v>4531.277456295141</v>
      </c>
      <c r="I549" s="5">
        <v>5083.092361409789</v>
      </c>
      <c r="J549" s="5">
        <v>141732.8411984285</v>
      </c>
      <c r="K549" s="5">
        <f t="shared" si="3"/>
        <v>141732.8412</v>
      </c>
      <c r="L549" s="5">
        <f t="shared" si="4"/>
        <v>0</v>
      </c>
      <c r="M549" s="5">
        <v>3102.527407516727</v>
      </c>
      <c r="N549" s="5">
        <f t="shared" si="5"/>
        <v>0</v>
      </c>
      <c r="O549" s="5">
        <f t="shared" si="6"/>
        <v>3102.527408</v>
      </c>
      <c r="P549" s="5">
        <f t="shared" si="9"/>
        <v>157594.0511</v>
      </c>
      <c r="Q549" s="5">
        <f t="shared" si="7"/>
        <v>11329.93241</v>
      </c>
      <c r="R549" s="5">
        <f t="shared" si="8"/>
        <v>146264.1187</v>
      </c>
    </row>
    <row r="550" ht="15.75" customHeight="1">
      <c r="A550" s="4">
        <v>2015.0</v>
      </c>
      <c r="B550" s="4">
        <v>405.0</v>
      </c>
      <c r="C550" s="4" t="s">
        <v>21</v>
      </c>
      <c r="D550" s="5">
        <v>16207.543159563287</v>
      </c>
      <c r="E550" s="5">
        <f t="shared" si="1"/>
        <v>0</v>
      </c>
      <c r="F550" s="5">
        <f t="shared" si="2"/>
        <v>16207.54316</v>
      </c>
      <c r="G550" s="5">
        <v>6004.03193047455</v>
      </c>
      <c r="H550" s="5">
        <v>3669.900500604163</v>
      </c>
      <c r="I550" s="5">
        <v>2334.131429870387</v>
      </c>
      <c r="J550" s="5">
        <v>86529.00371391146</v>
      </c>
      <c r="K550" s="5">
        <f t="shared" si="3"/>
        <v>86529.00371</v>
      </c>
      <c r="L550" s="5">
        <f t="shared" si="4"/>
        <v>0</v>
      </c>
      <c r="M550" s="5">
        <v>497.50216858838075</v>
      </c>
      <c r="N550" s="5">
        <f t="shared" si="5"/>
        <v>0</v>
      </c>
      <c r="O550" s="5">
        <f t="shared" si="6"/>
        <v>497.5021686</v>
      </c>
      <c r="P550" s="5">
        <f t="shared" si="9"/>
        <v>109238.081</v>
      </c>
      <c r="Q550" s="5">
        <f t="shared" si="7"/>
        <v>19039.17676</v>
      </c>
      <c r="R550" s="5">
        <f t="shared" si="8"/>
        <v>90198.90421</v>
      </c>
    </row>
    <row r="551" ht="15.75" customHeight="1">
      <c r="A551" s="4">
        <v>2015.0</v>
      </c>
      <c r="B551" s="4">
        <v>406.0</v>
      </c>
      <c r="C551" s="4" t="s">
        <v>21</v>
      </c>
      <c r="D551" s="5">
        <v>335.93083790721204</v>
      </c>
      <c r="E551" s="5">
        <f t="shared" si="1"/>
        <v>0</v>
      </c>
      <c r="F551" s="5">
        <f t="shared" si="2"/>
        <v>335.9308379</v>
      </c>
      <c r="G551" s="5">
        <v>3525.2115510646645</v>
      </c>
      <c r="H551" s="5">
        <v>2284.4414057364475</v>
      </c>
      <c r="I551" s="5">
        <v>1240.770145328217</v>
      </c>
      <c r="J551" s="5">
        <v>93318.2492144241</v>
      </c>
      <c r="K551" s="5">
        <f t="shared" si="3"/>
        <v>93318.24921</v>
      </c>
      <c r="L551" s="5">
        <f t="shared" si="4"/>
        <v>0</v>
      </c>
      <c r="M551" s="5">
        <v>111.25187331632071</v>
      </c>
      <c r="N551" s="5">
        <f t="shared" si="5"/>
        <v>0</v>
      </c>
      <c r="O551" s="5">
        <f t="shared" si="6"/>
        <v>111.2518733</v>
      </c>
      <c r="P551" s="5">
        <f t="shared" si="9"/>
        <v>97290.64348</v>
      </c>
      <c r="Q551" s="5">
        <f t="shared" si="7"/>
        <v>1687.952857</v>
      </c>
      <c r="R551" s="5">
        <f t="shared" si="8"/>
        <v>95602.69062</v>
      </c>
    </row>
    <row r="552" ht="15.75" customHeight="1">
      <c r="A552" s="4">
        <v>2015.0</v>
      </c>
      <c r="B552" s="4">
        <v>407.0</v>
      </c>
      <c r="C552" s="4" t="s">
        <v>21</v>
      </c>
      <c r="D552" s="5">
        <v>3451.1294747667584</v>
      </c>
      <c r="E552" s="5">
        <f t="shared" si="1"/>
        <v>0</v>
      </c>
      <c r="F552" s="5">
        <f t="shared" si="2"/>
        <v>3451.129475</v>
      </c>
      <c r="G552" s="5">
        <v>3391.109597832935</v>
      </c>
      <c r="H552" s="5">
        <v>2524.3875001036463</v>
      </c>
      <c r="I552" s="5">
        <v>866.7220977292886</v>
      </c>
      <c r="J552" s="5">
        <v>202290.3026679286</v>
      </c>
      <c r="K552" s="5">
        <f t="shared" si="3"/>
        <v>202290.3027</v>
      </c>
      <c r="L552" s="5">
        <f t="shared" si="4"/>
        <v>0</v>
      </c>
      <c r="M552" s="5">
        <v>300.60108816595243</v>
      </c>
      <c r="N552" s="5">
        <f t="shared" si="5"/>
        <v>0</v>
      </c>
      <c r="O552" s="5">
        <f t="shared" si="6"/>
        <v>300.6010882</v>
      </c>
      <c r="P552" s="5">
        <f t="shared" si="9"/>
        <v>209433.1428</v>
      </c>
      <c r="Q552" s="5">
        <f t="shared" si="7"/>
        <v>4618.452661</v>
      </c>
      <c r="R552" s="5">
        <f t="shared" si="8"/>
        <v>204814.6902</v>
      </c>
    </row>
    <row r="553" ht="15.75" customHeight="1">
      <c r="A553" s="4">
        <v>2015.0</v>
      </c>
      <c r="B553" s="4">
        <v>408.0</v>
      </c>
      <c r="C553" s="4" t="s">
        <v>21</v>
      </c>
      <c r="D553" s="5" t="s">
        <v>19</v>
      </c>
      <c r="E553" s="5" t="str">
        <f t="shared" si="1"/>
        <v/>
      </c>
      <c r="F553" s="5" t="str">
        <f t="shared" si="2"/>
        <v/>
      </c>
      <c r="G553" s="5">
        <v>1464.964854944833</v>
      </c>
      <c r="H553" s="5">
        <v>569.2877526795021</v>
      </c>
      <c r="I553" s="5">
        <v>895.6771022653309</v>
      </c>
      <c r="J553" s="5">
        <v>8661.316430008259</v>
      </c>
      <c r="K553" s="5">
        <f t="shared" si="3"/>
        <v>8661.31643</v>
      </c>
      <c r="L553" s="5">
        <f t="shared" si="4"/>
        <v>0</v>
      </c>
      <c r="M553" s="5">
        <v>424.378006822521</v>
      </c>
      <c r="N553" s="5">
        <f t="shared" si="5"/>
        <v>0</v>
      </c>
      <c r="O553" s="5">
        <f t="shared" si="6"/>
        <v>424.3780068</v>
      </c>
      <c r="P553" s="5">
        <f t="shared" si="9"/>
        <v>10550.65929</v>
      </c>
      <c r="Q553" s="5">
        <f t="shared" si="7"/>
        <v>1320.055109</v>
      </c>
      <c r="R553" s="5">
        <f t="shared" si="8"/>
        <v>9230.604183</v>
      </c>
    </row>
    <row r="554" ht="15.75" customHeight="1">
      <c r="A554" s="4">
        <v>2015.0</v>
      </c>
      <c r="B554" s="4">
        <v>409.0</v>
      </c>
      <c r="C554" s="4" t="s">
        <v>21</v>
      </c>
      <c r="D554" s="5">
        <v>2147.7178236867762</v>
      </c>
      <c r="E554" s="5">
        <f t="shared" si="1"/>
        <v>0</v>
      </c>
      <c r="F554" s="5">
        <f t="shared" si="2"/>
        <v>2147.717824</v>
      </c>
      <c r="G554" s="5">
        <v>3219.7810112425886</v>
      </c>
      <c r="H554" s="5">
        <v>1947.9384621167756</v>
      </c>
      <c r="I554" s="5">
        <v>1271.842549125813</v>
      </c>
      <c r="J554" s="5">
        <v>139417.74479684804</v>
      </c>
      <c r="K554" s="5">
        <f t="shared" si="3"/>
        <v>139417.7448</v>
      </c>
      <c r="L554" s="5">
        <f t="shared" si="4"/>
        <v>0</v>
      </c>
      <c r="M554" s="5">
        <v>1037.3684611217177</v>
      </c>
      <c r="N554" s="5">
        <f t="shared" si="5"/>
        <v>0</v>
      </c>
      <c r="O554" s="5">
        <f t="shared" si="6"/>
        <v>1037.368461</v>
      </c>
      <c r="P554" s="5">
        <f t="shared" si="9"/>
        <v>145822.6121</v>
      </c>
      <c r="Q554" s="5">
        <f t="shared" si="7"/>
        <v>4456.928834</v>
      </c>
      <c r="R554" s="5">
        <f t="shared" si="8"/>
        <v>141365.6833</v>
      </c>
    </row>
    <row r="555" ht="15.75" customHeight="1">
      <c r="A555" s="4">
        <v>2015.0</v>
      </c>
      <c r="B555" s="4">
        <v>420.0</v>
      </c>
      <c r="C555" s="4" t="s">
        <v>21</v>
      </c>
      <c r="D555" s="5">
        <v>1332.5256570319414</v>
      </c>
      <c r="E555" s="5">
        <f t="shared" si="1"/>
        <v>0</v>
      </c>
      <c r="F555" s="5">
        <f t="shared" si="2"/>
        <v>1332.525657</v>
      </c>
      <c r="G555" s="5" t="s">
        <v>19</v>
      </c>
      <c r="H555" s="5" t="s">
        <v>19</v>
      </c>
      <c r="I555" s="5" t="s">
        <v>19</v>
      </c>
      <c r="J555" s="5">
        <v>0.0</v>
      </c>
      <c r="K555" s="5">
        <f t="shared" si="3"/>
        <v>0</v>
      </c>
      <c r="L555" s="5">
        <f t="shared" si="4"/>
        <v>0</v>
      </c>
      <c r="M555" s="5">
        <v>13308.229057700002</v>
      </c>
      <c r="N555" s="5">
        <f t="shared" si="5"/>
        <v>0</v>
      </c>
      <c r="O555" s="5">
        <f t="shared" si="6"/>
        <v>13308.22906</v>
      </c>
      <c r="P555" s="5">
        <f t="shared" si="9"/>
        <v>14640.75471</v>
      </c>
      <c r="Q555" s="5">
        <f t="shared" si="7"/>
        <v>14640.75471</v>
      </c>
      <c r="R555" s="5">
        <f t="shared" si="8"/>
        <v>0</v>
      </c>
    </row>
    <row r="556" ht="15.75" customHeight="1">
      <c r="A556" s="4">
        <v>2015.0</v>
      </c>
      <c r="B556" s="4">
        <v>421.0</v>
      </c>
      <c r="C556" s="4" t="s">
        <v>21</v>
      </c>
      <c r="D556" s="5">
        <v>1151.1230045620464</v>
      </c>
      <c r="E556" s="5">
        <f t="shared" si="1"/>
        <v>0</v>
      </c>
      <c r="F556" s="5">
        <f t="shared" si="2"/>
        <v>1151.123005</v>
      </c>
      <c r="G556" s="5">
        <v>2351.9485699980946</v>
      </c>
      <c r="H556" s="5">
        <v>1758.9046304816493</v>
      </c>
      <c r="I556" s="5">
        <v>593.0439395164453</v>
      </c>
      <c r="J556" s="5">
        <v>174.92962483606897</v>
      </c>
      <c r="K556" s="5">
        <f t="shared" si="3"/>
        <v>174.9296248</v>
      </c>
      <c r="L556" s="5">
        <f t="shared" si="4"/>
        <v>0</v>
      </c>
      <c r="M556" s="5">
        <v>103617.60031285888</v>
      </c>
      <c r="N556" s="5">
        <f t="shared" si="5"/>
        <v>0</v>
      </c>
      <c r="O556" s="5">
        <f t="shared" si="6"/>
        <v>103617.6003</v>
      </c>
      <c r="P556" s="5">
        <f t="shared" si="9"/>
        <v>107295.6015</v>
      </c>
      <c r="Q556" s="5">
        <f t="shared" si="7"/>
        <v>105361.7673</v>
      </c>
      <c r="R556" s="5">
        <f t="shared" si="8"/>
        <v>1933.834255</v>
      </c>
    </row>
    <row r="557" ht="15.75" customHeight="1">
      <c r="A557" s="4">
        <v>2015.0</v>
      </c>
      <c r="B557" s="4">
        <v>422.0</v>
      </c>
      <c r="C557" s="4" t="s">
        <v>21</v>
      </c>
      <c r="D557" s="5" t="s">
        <v>19</v>
      </c>
      <c r="E557" s="5" t="str">
        <f t="shared" si="1"/>
        <v/>
      </c>
      <c r="F557" s="5" t="str">
        <f t="shared" si="2"/>
        <v/>
      </c>
      <c r="G557" s="5" t="s">
        <v>19</v>
      </c>
      <c r="H557" s="5" t="s">
        <v>19</v>
      </c>
      <c r="I557" s="5" t="s">
        <v>19</v>
      </c>
      <c r="J557" s="5">
        <v>1329.7890925038207</v>
      </c>
      <c r="K557" s="5">
        <f t="shared" si="3"/>
        <v>1329.789093</v>
      </c>
      <c r="L557" s="5">
        <f t="shared" si="4"/>
        <v>0</v>
      </c>
      <c r="M557" s="5">
        <v>45113.003013454494</v>
      </c>
      <c r="N557" s="5">
        <f t="shared" si="5"/>
        <v>0</v>
      </c>
      <c r="O557" s="5">
        <f t="shared" si="6"/>
        <v>45113.00301</v>
      </c>
      <c r="P557" s="5">
        <f t="shared" si="9"/>
        <v>46442.79211</v>
      </c>
      <c r="Q557" s="5">
        <f t="shared" si="7"/>
        <v>45113.00301</v>
      </c>
      <c r="R557" s="5">
        <f t="shared" si="8"/>
        <v>1329.789093</v>
      </c>
    </row>
    <row r="558" ht="15.75" customHeight="1">
      <c r="A558" s="4">
        <v>2015.0</v>
      </c>
      <c r="B558" s="4">
        <v>423.0</v>
      </c>
      <c r="C558" s="4" t="s">
        <v>21</v>
      </c>
      <c r="D558" s="5">
        <v>14323.195112795773</v>
      </c>
      <c r="E558" s="5">
        <f t="shared" si="1"/>
        <v>0</v>
      </c>
      <c r="F558" s="5">
        <f t="shared" si="2"/>
        <v>14323.19511</v>
      </c>
      <c r="G558" s="5">
        <v>9107.829384605615</v>
      </c>
      <c r="H558" s="5">
        <v>2985.8772513534827</v>
      </c>
      <c r="I558" s="5">
        <v>6121.952133252133</v>
      </c>
      <c r="J558" s="5">
        <v>9234.437711971172</v>
      </c>
      <c r="K558" s="5">
        <f t="shared" si="3"/>
        <v>9234.437712</v>
      </c>
      <c r="L558" s="5">
        <f t="shared" si="4"/>
        <v>0</v>
      </c>
      <c r="M558" s="5">
        <v>161844.10476734117</v>
      </c>
      <c r="N558" s="5">
        <f t="shared" si="5"/>
        <v>0</v>
      </c>
      <c r="O558" s="5">
        <f t="shared" si="6"/>
        <v>161844.1048</v>
      </c>
      <c r="P558" s="5">
        <f t="shared" si="9"/>
        <v>194509.567</v>
      </c>
      <c r="Q558" s="5">
        <f t="shared" si="7"/>
        <v>182289.252</v>
      </c>
      <c r="R558" s="5">
        <f t="shared" si="8"/>
        <v>12220.31496</v>
      </c>
    </row>
    <row r="559" ht="15.75" customHeight="1">
      <c r="A559" s="4">
        <v>2015.0</v>
      </c>
      <c r="B559" s="4">
        <v>424.0</v>
      </c>
      <c r="C559" s="4" t="s">
        <v>21</v>
      </c>
      <c r="D559" s="5">
        <v>889.0969509944211</v>
      </c>
      <c r="E559" s="5">
        <f t="shared" si="1"/>
        <v>0</v>
      </c>
      <c r="F559" s="5">
        <f t="shared" si="2"/>
        <v>889.096951</v>
      </c>
      <c r="G559" s="5">
        <v>4359.604577141939</v>
      </c>
      <c r="H559" s="5">
        <v>1238.592494868164</v>
      </c>
      <c r="I559" s="5">
        <v>3121.0120822737754</v>
      </c>
      <c r="J559" s="5">
        <v>25024.071565299302</v>
      </c>
      <c r="K559" s="5">
        <f t="shared" si="3"/>
        <v>25024.07157</v>
      </c>
      <c r="L559" s="5">
        <f t="shared" si="4"/>
        <v>0</v>
      </c>
      <c r="M559" s="5">
        <v>23906.996101355166</v>
      </c>
      <c r="N559" s="5">
        <f t="shared" si="5"/>
        <v>0</v>
      </c>
      <c r="O559" s="5">
        <f t="shared" si="6"/>
        <v>23906.9961</v>
      </c>
      <c r="P559" s="5">
        <f t="shared" si="9"/>
        <v>54179.76919</v>
      </c>
      <c r="Q559" s="5">
        <f t="shared" si="7"/>
        <v>27917.10513</v>
      </c>
      <c r="R559" s="5">
        <f t="shared" si="8"/>
        <v>26262.66406</v>
      </c>
    </row>
    <row r="560" ht="15.75" customHeight="1">
      <c r="A560" s="4">
        <v>2015.0</v>
      </c>
      <c r="B560" s="4">
        <v>425.0</v>
      </c>
      <c r="C560" s="4" t="s">
        <v>21</v>
      </c>
      <c r="D560" s="5">
        <v>2275.371542091516</v>
      </c>
      <c r="E560" s="5">
        <f t="shared" si="1"/>
        <v>0</v>
      </c>
      <c r="F560" s="5">
        <f t="shared" si="2"/>
        <v>2275.371542</v>
      </c>
      <c r="G560" s="5" t="s">
        <v>19</v>
      </c>
      <c r="H560" s="5" t="s">
        <v>19</v>
      </c>
      <c r="I560" s="5" t="s">
        <v>19</v>
      </c>
      <c r="J560" s="5">
        <v>414.64799961142273</v>
      </c>
      <c r="K560" s="5">
        <f t="shared" si="3"/>
        <v>414.6479996</v>
      </c>
      <c r="L560" s="5">
        <f t="shared" si="4"/>
        <v>0</v>
      </c>
      <c r="M560" s="5">
        <v>71063.38658533385</v>
      </c>
      <c r="N560" s="5">
        <f t="shared" si="5"/>
        <v>0</v>
      </c>
      <c r="O560" s="5">
        <f t="shared" si="6"/>
        <v>71063.38659</v>
      </c>
      <c r="P560" s="5">
        <f t="shared" si="9"/>
        <v>73753.40613</v>
      </c>
      <c r="Q560" s="5">
        <f t="shared" si="7"/>
        <v>73338.75813</v>
      </c>
      <c r="R560" s="5">
        <f t="shared" si="8"/>
        <v>414.6479996</v>
      </c>
    </row>
    <row r="561" ht="15.75" customHeight="1">
      <c r="A561" s="4">
        <v>2015.0</v>
      </c>
      <c r="B561" s="4">
        <v>426.0</v>
      </c>
      <c r="C561" s="4" t="s">
        <v>21</v>
      </c>
      <c r="D561" s="5" t="s">
        <v>19</v>
      </c>
      <c r="E561" s="5" t="str">
        <f t="shared" si="1"/>
        <v/>
      </c>
      <c r="F561" s="5" t="str">
        <f t="shared" si="2"/>
        <v/>
      </c>
      <c r="G561" s="5" t="s">
        <v>19</v>
      </c>
      <c r="H561" s="5" t="s">
        <v>19</v>
      </c>
      <c r="I561" s="5" t="s">
        <v>19</v>
      </c>
      <c r="J561" s="5">
        <v>0.0</v>
      </c>
      <c r="K561" s="5">
        <f t="shared" si="3"/>
        <v>0</v>
      </c>
      <c r="L561" s="5">
        <f t="shared" si="4"/>
        <v>0</v>
      </c>
      <c r="M561" s="5">
        <v>55783.23649228638</v>
      </c>
      <c r="N561" s="5">
        <f t="shared" si="5"/>
        <v>0</v>
      </c>
      <c r="O561" s="5">
        <f t="shared" si="6"/>
        <v>55783.23649</v>
      </c>
      <c r="P561" s="5">
        <f t="shared" si="9"/>
        <v>55783.23649</v>
      </c>
      <c r="Q561" s="5">
        <f t="shared" si="7"/>
        <v>55783.23649</v>
      </c>
      <c r="R561" s="5">
        <f t="shared" si="8"/>
        <v>0</v>
      </c>
    </row>
    <row r="562" ht="15.75" customHeight="1">
      <c r="A562" s="4">
        <v>2015.0</v>
      </c>
      <c r="B562" s="4">
        <v>427.0</v>
      </c>
      <c r="C562" s="4" t="s">
        <v>21</v>
      </c>
      <c r="D562" s="5">
        <v>10484.625404976028</v>
      </c>
      <c r="E562" s="5">
        <f t="shared" si="1"/>
        <v>0</v>
      </c>
      <c r="F562" s="5">
        <f t="shared" si="2"/>
        <v>10484.6254</v>
      </c>
      <c r="G562" s="5">
        <v>3664.5639658799228</v>
      </c>
      <c r="H562" s="5">
        <v>2328.7088220054334</v>
      </c>
      <c r="I562" s="5">
        <v>1335.8551438744894</v>
      </c>
      <c r="J562" s="5">
        <v>0.0</v>
      </c>
      <c r="K562" s="5">
        <f t="shared" si="3"/>
        <v>0</v>
      </c>
      <c r="L562" s="5">
        <f t="shared" si="4"/>
        <v>0</v>
      </c>
      <c r="M562" s="5">
        <v>72649.90460788814</v>
      </c>
      <c r="N562" s="5">
        <f t="shared" si="5"/>
        <v>0</v>
      </c>
      <c r="O562" s="5">
        <f t="shared" si="6"/>
        <v>72649.90461</v>
      </c>
      <c r="P562" s="5">
        <f t="shared" si="9"/>
        <v>86799.09398</v>
      </c>
      <c r="Q562" s="5">
        <f t="shared" si="7"/>
        <v>84470.38516</v>
      </c>
      <c r="R562" s="5">
        <f t="shared" si="8"/>
        <v>2328.708822</v>
      </c>
    </row>
    <row r="563" ht="15.75" customHeight="1">
      <c r="A563" s="4">
        <v>2015.0</v>
      </c>
      <c r="B563" s="4">
        <v>428.0</v>
      </c>
      <c r="C563" s="4" t="s">
        <v>21</v>
      </c>
      <c r="D563" s="5" t="s">
        <v>19</v>
      </c>
      <c r="E563" s="5" t="str">
        <f t="shared" si="1"/>
        <v/>
      </c>
      <c r="F563" s="5" t="str">
        <f t="shared" si="2"/>
        <v/>
      </c>
      <c r="G563" s="5" t="s">
        <v>19</v>
      </c>
      <c r="H563" s="5" t="s">
        <v>19</v>
      </c>
      <c r="I563" s="5" t="s">
        <v>19</v>
      </c>
      <c r="J563" s="5">
        <v>0.0</v>
      </c>
      <c r="K563" s="5">
        <f t="shared" si="3"/>
        <v>0</v>
      </c>
      <c r="L563" s="5">
        <f t="shared" si="4"/>
        <v>0</v>
      </c>
      <c r="M563" s="5">
        <v>8888.36158733836</v>
      </c>
      <c r="N563" s="5">
        <f t="shared" si="5"/>
        <v>0</v>
      </c>
      <c r="O563" s="5">
        <f t="shared" si="6"/>
        <v>8888.361587</v>
      </c>
      <c r="P563" s="5">
        <f t="shared" si="9"/>
        <v>8888.361587</v>
      </c>
      <c r="Q563" s="5">
        <f t="shared" si="7"/>
        <v>8888.361587</v>
      </c>
      <c r="R563" s="5">
        <f t="shared" si="8"/>
        <v>0</v>
      </c>
    </row>
    <row r="564" ht="15.75" customHeight="1">
      <c r="A564" s="4">
        <v>2015.0</v>
      </c>
      <c r="B564" s="4">
        <v>429.0</v>
      </c>
      <c r="C564" s="4" t="s">
        <v>21</v>
      </c>
      <c r="D564" s="5">
        <v>6611.118890013933</v>
      </c>
      <c r="E564" s="5">
        <f t="shared" si="1"/>
        <v>0</v>
      </c>
      <c r="F564" s="5">
        <f t="shared" si="2"/>
        <v>6611.11889</v>
      </c>
      <c r="G564" s="5">
        <v>4241.254008660791</v>
      </c>
      <c r="H564" s="5">
        <v>2456.957801668641</v>
      </c>
      <c r="I564" s="5">
        <v>1784.2962069921505</v>
      </c>
      <c r="J564" s="5">
        <v>827.6762804743635</v>
      </c>
      <c r="K564" s="5">
        <f t="shared" si="3"/>
        <v>827.6762805</v>
      </c>
      <c r="L564" s="5">
        <f t="shared" si="4"/>
        <v>0</v>
      </c>
      <c r="M564" s="5">
        <v>3738.357650377555</v>
      </c>
      <c r="N564" s="5">
        <f t="shared" si="5"/>
        <v>0</v>
      </c>
      <c r="O564" s="5">
        <f t="shared" si="6"/>
        <v>3738.35765</v>
      </c>
      <c r="P564" s="5">
        <f t="shared" si="9"/>
        <v>15418.40683</v>
      </c>
      <c r="Q564" s="5">
        <f t="shared" si="7"/>
        <v>12133.77275</v>
      </c>
      <c r="R564" s="5">
        <f t="shared" si="8"/>
        <v>3284.634082</v>
      </c>
    </row>
    <row r="565" ht="15.75" customHeight="1">
      <c r="A565" s="4">
        <v>2015.0</v>
      </c>
      <c r="B565" s="4">
        <v>500.0</v>
      </c>
      <c r="C565" s="4" t="s">
        <v>22</v>
      </c>
      <c r="D565" s="5">
        <v>6318.095980541242</v>
      </c>
      <c r="E565" s="5">
        <f t="shared" si="1"/>
        <v>0</v>
      </c>
      <c r="F565" s="5">
        <f t="shared" si="2"/>
        <v>6318.095981</v>
      </c>
      <c r="G565" s="5">
        <v>27288.085896810302</v>
      </c>
      <c r="H565" s="5">
        <v>14747.881158548515</v>
      </c>
      <c r="I565" s="5">
        <v>12540.204738261787</v>
      </c>
      <c r="J565" s="5">
        <v>94100.33982637845</v>
      </c>
      <c r="K565" s="5">
        <f t="shared" si="3"/>
        <v>94100.33983</v>
      </c>
      <c r="L565" s="5">
        <f t="shared" si="4"/>
        <v>0</v>
      </c>
      <c r="M565" s="5">
        <v>8243.914674630008</v>
      </c>
      <c r="N565" s="5">
        <f t="shared" si="5"/>
        <v>0</v>
      </c>
      <c r="O565" s="5">
        <f t="shared" si="6"/>
        <v>8243.914675</v>
      </c>
      <c r="P565" s="5">
        <f t="shared" si="9"/>
        <v>135950.4364</v>
      </c>
      <c r="Q565" s="5">
        <f t="shared" si="7"/>
        <v>27102.21539</v>
      </c>
      <c r="R565" s="5">
        <f t="shared" si="8"/>
        <v>108848.221</v>
      </c>
    </row>
    <row r="566" ht="15.75" customHeight="1">
      <c r="A566" s="4">
        <v>2015.0</v>
      </c>
      <c r="B566" s="4">
        <v>501.0</v>
      </c>
      <c r="C566" s="4" t="s">
        <v>22</v>
      </c>
      <c r="D566" s="5">
        <v>9171.648642239845</v>
      </c>
      <c r="E566" s="5">
        <f t="shared" si="1"/>
        <v>0</v>
      </c>
      <c r="F566" s="5">
        <f t="shared" si="2"/>
        <v>9171.648642</v>
      </c>
      <c r="G566" s="5">
        <v>9374.113485800117</v>
      </c>
      <c r="H566" s="5">
        <v>5304.699356897063</v>
      </c>
      <c r="I566" s="5">
        <v>4069.414128903054</v>
      </c>
      <c r="J566" s="5">
        <v>53401.08747682921</v>
      </c>
      <c r="K566" s="5">
        <f t="shared" si="3"/>
        <v>53401.08748</v>
      </c>
      <c r="L566" s="5">
        <f t="shared" si="4"/>
        <v>0</v>
      </c>
      <c r="M566" s="5">
        <v>9753.056335151672</v>
      </c>
      <c r="N566" s="5">
        <f t="shared" si="5"/>
        <v>0</v>
      </c>
      <c r="O566" s="5">
        <f t="shared" si="6"/>
        <v>9753.056335</v>
      </c>
      <c r="P566" s="5">
        <f t="shared" si="9"/>
        <v>81699.90594</v>
      </c>
      <c r="Q566" s="5">
        <f t="shared" si="7"/>
        <v>22994.11911</v>
      </c>
      <c r="R566" s="5">
        <f t="shared" si="8"/>
        <v>58705.78683</v>
      </c>
    </row>
    <row r="567" ht="15.75" customHeight="1">
      <c r="A567" s="4">
        <v>2015.0</v>
      </c>
      <c r="B567" s="4">
        <v>502.0</v>
      </c>
      <c r="C567" s="4" t="s">
        <v>22</v>
      </c>
      <c r="D567" s="5">
        <v>2710.988175031665</v>
      </c>
      <c r="E567" s="5">
        <f t="shared" si="1"/>
        <v>0</v>
      </c>
      <c r="F567" s="5">
        <f t="shared" si="2"/>
        <v>2710.988175</v>
      </c>
      <c r="G567" s="5" t="s">
        <v>19</v>
      </c>
      <c r="H567" s="5" t="s">
        <v>19</v>
      </c>
      <c r="I567" s="5" t="s">
        <v>19</v>
      </c>
      <c r="J567" s="5">
        <v>0.0</v>
      </c>
      <c r="K567" s="5">
        <f t="shared" si="3"/>
        <v>0</v>
      </c>
      <c r="L567" s="5">
        <f t="shared" si="4"/>
        <v>0</v>
      </c>
      <c r="M567" s="5">
        <v>0.0</v>
      </c>
      <c r="N567" s="5">
        <f t="shared" si="5"/>
        <v>0</v>
      </c>
      <c r="O567" s="5">
        <f t="shared" si="6"/>
        <v>0</v>
      </c>
      <c r="P567" s="5">
        <f t="shared" si="9"/>
        <v>2710.988175</v>
      </c>
      <c r="Q567" s="5">
        <f t="shared" si="7"/>
        <v>2710.988175</v>
      </c>
      <c r="R567" s="5">
        <f t="shared" si="8"/>
        <v>0</v>
      </c>
    </row>
    <row r="568" ht="15.75" customHeight="1">
      <c r="A568" s="4">
        <v>2015.0</v>
      </c>
      <c r="B568" s="4">
        <v>503.0</v>
      </c>
      <c r="C568" s="4" t="s">
        <v>22</v>
      </c>
      <c r="D568" s="5">
        <v>12113.455509970368</v>
      </c>
      <c r="E568" s="5">
        <f t="shared" si="1"/>
        <v>0</v>
      </c>
      <c r="F568" s="5">
        <f t="shared" si="2"/>
        <v>12113.45551</v>
      </c>
      <c r="G568" s="5" t="s">
        <v>19</v>
      </c>
      <c r="H568" s="5" t="s">
        <v>19</v>
      </c>
      <c r="I568" s="5" t="s">
        <v>19</v>
      </c>
      <c r="J568" s="5">
        <v>398.73850224366043</v>
      </c>
      <c r="K568" s="5">
        <f t="shared" si="3"/>
        <v>398.7385022</v>
      </c>
      <c r="L568" s="5">
        <f t="shared" si="4"/>
        <v>0</v>
      </c>
      <c r="M568" s="5">
        <v>1757.0264584166212</v>
      </c>
      <c r="N568" s="5">
        <f t="shared" si="5"/>
        <v>0</v>
      </c>
      <c r="O568" s="5">
        <f t="shared" si="6"/>
        <v>1757.026458</v>
      </c>
      <c r="P568" s="5">
        <f t="shared" si="9"/>
        <v>14269.22047</v>
      </c>
      <c r="Q568" s="5">
        <f t="shared" si="7"/>
        <v>13870.48197</v>
      </c>
      <c r="R568" s="5">
        <f t="shared" si="8"/>
        <v>398.7385022</v>
      </c>
    </row>
    <row r="569" ht="15.75" customHeight="1">
      <c r="A569" s="4">
        <v>2015.0</v>
      </c>
      <c r="B569" s="4">
        <v>504.0</v>
      </c>
      <c r="C569" s="4" t="s">
        <v>22</v>
      </c>
      <c r="D569" s="5">
        <v>6032.061835863442</v>
      </c>
      <c r="E569" s="5">
        <f t="shared" si="1"/>
        <v>0</v>
      </c>
      <c r="F569" s="5">
        <f t="shared" si="2"/>
        <v>6032.061836</v>
      </c>
      <c r="G569" s="5">
        <v>3484.7868795186127</v>
      </c>
      <c r="H569" s="5">
        <v>1806.4553628378103</v>
      </c>
      <c r="I569" s="5">
        <v>1678.3315166808025</v>
      </c>
      <c r="J569" s="5">
        <v>57843.094806748166</v>
      </c>
      <c r="K569" s="5">
        <f t="shared" si="3"/>
        <v>57843.09481</v>
      </c>
      <c r="L569" s="5">
        <f t="shared" si="4"/>
        <v>0</v>
      </c>
      <c r="M569" s="5">
        <v>161280.8449412444</v>
      </c>
      <c r="N569" s="5">
        <f t="shared" si="5"/>
        <v>0</v>
      </c>
      <c r="O569" s="5">
        <f t="shared" si="6"/>
        <v>161280.8449</v>
      </c>
      <c r="P569" s="5">
        <f t="shared" si="9"/>
        <v>228640.7885</v>
      </c>
      <c r="Q569" s="5">
        <f t="shared" si="7"/>
        <v>168991.2383</v>
      </c>
      <c r="R569" s="5">
        <f t="shared" si="8"/>
        <v>59649.55017</v>
      </c>
    </row>
    <row r="570" ht="15.75" customHeight="1">
      <c r="A570" s="4">
        <v>2015.0</v>
      </c>
      <c r="B570" s="4">
        <v>505.0</v>
      </c>
      <c r="C570" s="4" t="s">
        <v>22</v>
      </c>
      <c r="D570" s="5">
        <v>3688.5732264621142</v>
      </c>
      <c r="E570" s="5">
        <f t="shared" si="1"/>
        <v>0</v>
      </c>
      <c r="F570" s="5">
        <f t="shared" si="2"/>
        <v>3688.573226</v>
      </c>
      <c r="G570" s="5">
        <v>47335.29222053259</v>
      </c>
      <c r="H570" s="5">
        <v>13590.387572101645</v>
      </c>
      <c r="I570" s="5">
        <v>33744.904648430944</v>
      </c>
      <c r="J570" s="5">
        <v>1911.4610860922949</v>
      </c>
      <c r="K570" s="5">
        <f t="shared" si="3"/>
        <v>1911.461086</v>
      </c>
      <c r="L570" s="5">
        <f t="shared" si="4"/>
        <v>0</v>
      </c>
      <c r="M570" s="5">
        <v>14967.399944795856</v>
      </c>
      <c r="N570" s="5">
        <f t="shared" si="5"/>
        <v>0</v>
      </c>
      <c r="O570" s="5">
        <f t="shared" si="6"/>
        <v>14967.39994</v>
      </c>
      <c r="P570" s="5">
        <f t="shared" si="9"/>
        <v>67902.72648</v>
      </c>
      <c r="Q570" s="5">
        <f t="shared" si="7"/>
        <v>52400.87782</v>
      </c>
      <c r="R570" s="5">
        <f t="shared" si="8"/>
        <v>15501.84866</v>
      </c>
    </row>
    <row r="571" ht="15.75" customHeight="1">
      <c r="A571" s="4">
        <v>2015.0</v>
      </c>
      <c r="B571" s="4">
        <v>506.0</v>
      </c>
      <c r="C571" s="4" t="s">
        <v>22</v>
      </c>
      <c r="D571" s="5">
        <v>15451.274840664611</v>
      </c>
      <c r="E571" s="5">
        <f t="shared" si="1"/>
        <v>0</v>
      </c>
      <c r="F571" s="5">
        <f t="shared" si="2"/>
        <v>15451.27484</v>
      </c>
      <c r="G571" s="5">
        <v>26061.368220838955</v>
      </c>
      <c r="H571" s="5">
        <v>11679.736930119601</v>
      </c>
      <c r="I571" s="5">
        <v>14381.631290719353</v>
      </c>
      <c r="J571" s="5">
        <v>14540.529793097525</v>
      </c>
      <c r="K571" s="5">
        <f t="shared" si="3"/>
        <v>14540.52979</v>
      </c>
      <c r="L571" s="5">
        <f t="shared" si="4"/>
        <v>0</v>
      </c>
      <c r="M571" s="5">
        <v>4483.165143474702</v>
      </c>
      <c r="N571" s="5">
        <f t="shared" si="5"/>
        <v>0</v>
      </c>
      <c r="O571" s="5">
        <f t="shared" si="6"/>
        <v>4483.165143</v>
      </c>
      <c r="P571" s="5">
        <f t="shared" si="9"/>
        <v>60536.338</v>
      </c>
      <c r="Q571" s="5">
        <f t="shared" si="7"/>
        <v>34316.07127</v>
      </c>
      <c r="R571" s="5">
        <f t="shared" si="8"/>
        <v>26220.26672</v>
      </c>
    </row>
    <row r="572" ht="15.75" customHeight="1">
      <c r="A572" s="4">
        <v>2015.0</v>
      </c>
      <c r="B572" s="4">
        <v>507.0</v>
      </c>
      <c r="C572" s="4" t="s">
        <v>22</v>
      </c>
      <c r="D572" s="5" t="s">
        <v>19</v>
      </c>
      <c r="E572" s="5" t="str">
        <f t="shared" si="1"/>
        <v/>
      </c>
      <c r="F572" s="5" t="str">
        <f t="shared" si="2"/>
        <v/>
      </c>
      <c r="G572" s="5" t="s">
        <v>19</v>
      </c>
      <c r="H572" s="5" t="s">
        <v>19</v>
      </c>
      <c r="I572" s="5" t="s">
        <v>19</v>
      </c>
      <c r="J572" s="5">
        <v>0.0</v>
      </c>
      <c r="K572" s="5">
        <f t="shared" si="3"/>
        <v>0</v>
      </c>
      <c r="L572" s="5">
        <f t="shared" si="4"/>
        <v>0</v>
      </c>
      <c r="M572" s="5">
        <v>0.0</v>
      </c>
      <c r="N572" s="5">
        <f t="shared" si="5"/>
        <v>0</v>
      </c>
      <c r="O572" s="5">
        <f t="shared" si="6"/>
        <v>0</v>
      </c>
      <c r="P572" s="5">
        <f t="shared" si="9"/>
        <v>0</v>
      </c>
      <c r="Q572" s="5">
        <f t="shared" si="7"/>
        <v>0</v>
      </c>
      <c r="R572" s="5">
        <f t="shared" si="8"/>
        <v>0</v>
      </c>
    </row>
    <row r="573" ht="15.75" customHeight="1">
      <c r="A573" s="4">
        <v>2015.0</v>
      </c>
      <c r="B573" s="4">
        <v>508.0</v>
      </c>
      <c r="C573" s="4" t="s">
        <v>22</v>
      </c>
      <c r="D573" s="5" t="s">
        <v>19</v>
      </c>
      <c r="E573" s="5" t="str">
        <f t="shared" si="1"/>
        <v/>
      </c>
      <c r="F573" s="5" t="str">
        <f t="shared" si="2"/>
        <v/>
      </c>
      <c r="G573" s="5" t="s">
        <v>19</v>
      </c>
      <c r="H573" s="5" t="s">
        <v>19</v>
      </c>
      <c r="I573" s="5" t="s">
        <v>19</v>
      </c>
      <c r="J573" s="5">
        <v>0.0</v>
      </c>
      <c r="K573" s="5">
        <f t="shared" si="3"/>
        <v>0</v>
      </c>
      <c r="L573" s="5">
        <f t="shared" si="4"/>
        <v>0</v>
      </c>
      <c r="M573" s="5">
        <v>43727.38332668888</v>
      </c>
      <c r="N573" s="5">
        <f t="shared" si="5"/>
        <v>0</v>
      </c>
      <c r="O573" s="5">
        <f t="shared" si="6"/>
        <v>43727.38333</v>
      </c>
      <c r="P573" s="5">
        <f t="shared" si="9"/>
        <v>43727.38333</v>
      </c>
      <c r="Q573" s="5">
        <f t="shared" si="7"/>
        <v>43727.38333</v>
      </c>
      <c r="R573" s="5">
        <f t="shared" si="8"/>
        <v>0</v>
      </c>
    </row>
    <row r="574" ht="15.75" customHeight="1">
      <c r="A574" s="4">
        <v>2015.0</v>
      </c>
      <c r="B574" s="4">
        <v>520.0</v>
      </c>
      <c r="C574" s="4" t="s">
        <v>22</v>
      </c>
      <c r="D574" s="5">
        <v>1194.8261739705497</v>
      </c>
      <c r="E574" s="5">
        <f t="shared" si="1"/>
        <v>0</v>
      </c>
      <c r="F574" s="5">
        <f t="shared" si="2"/>
        <v>1194.826174</v>
      </c>
      <c r="G574" s="5">
        <v>9461.95252926473</v>
      </c>
      <c r="H574" s="5">
        <v>3912.255800891487</v>
      </c>
      <c r="I574" s="5">
        <v>5549.696728373243</v>
      </c>
      <c r="J574" s="5">
        <v>18059.027873080933</v>
      </c>
      <c r="K574" s="5">
        <f t="shared" si="3"/>
        <v>18059.02787</v>
      </c>
      <c r="L574" s="5">
        <f t="shared" si="4"/>
        <v>0</v>
      </c>
      <c r="M574" s="5">
        <v>364024.7666266088</v>
      </c>
      <c r="N574" s="5">
        <f t="shared" si="5"/>
        <v>0</v>
      </c>
      <c r="O574" s="5">
        <f t="shared" si="6"/>
        <v>364024.7666</v>
      </c>
      <c r="P574" s="5">
        <f t="shared" si="9"/>
        <v>392740.5732</v>
      </c>
      <c r="Q574" s="5">
        <f t="shared" si="7"/>
        <v>370769.2895</v>
      </c>
      <c r="R574" s="5">
        <f t="shared" si="8"/>
        <v>21971.28367</v>
      </c>
    </row>
    <row r="575" ht="15.75" customHeight="1">
      <c r="A575" s="4">
        <v>2015.0</v>
      </c>
      <c r="B575" s="4">
        <v>521.0</v>
      </c>
      <c r="C575" s="4" t="s">
        <v>22</v>
      </c>
      <c r="D575" s="5">
        <v>4209.544593453592</v>
      </c>
      <c r="E575" s="5">
        <f t="shared" si="1"/>
        <v>0</v>
      </c>
      <c r="F575" s="5">
        <f t="shared" si="2"/>
        <v>4209.544593</v>
      </c>
      <c r="G575" s="5">
        <v>2105.540815265111</v>
      </c>
      <c r="H575" s="5">
        <v>896.2178661276405</v>
      </c>
      <c r="I575" s="5">
        <v>1209.3229491374707</v>
      </c>
      <c r="J575" s="5">
        <v>8854.142836016636</v>
      </c>
      <c r="K575" s="5">
        <f t="shared" si="3"/>
        <v>8854.142836</v>
      </c>
      <c r="L575" s="5">
        <f t="shared" si="4"/>
        <v>0</v>
      </c>
      <c r="M575" s="5">
        <v>29398.18648348358</v>
      </c>
      <c r="N575" s="5">
        <f t="shared" si="5"/>
        <v>0</v>
      </c>
      <c r="O575" s="5">
        <f t="shared" si="6"/>
        <v>29398.18648</v>
      </c>
      <c r="P575" s="5">
        <f t="shared" si="9"/>
        <v>44567.41473</v>
      </c>
      <c r="Q575" s="5">
        <f t="shared" si="7"/>
        <v>34817.05403</v>
      </c>
      <c r="R575" s="5">
        <f t="shared" si="8"/>
        <v>9750.360702</v>
      </c>
    </row>
    <row r="576" ht="15.75" customHeight="1">
      <c r="A576" s="4">
        <v>2015.0</v>
      </c>
      <c r="B576" s="4">
        <v>522.0</v>
      </c>
      <c r="C576" s="4" t="s">
        <v>22</v>
      </c>
      <c r="D576" s="5" t="s">
        <v>19</v>
      </c>
      <c r="E576" s="5" t="str">
        <f t="shared" si="1"/>
        <v/>
      </c>
      <c r="F576" s="5" t="str">
        <f t="shared" si="2"/>
        <v/>
      </c>
      <c r="G576" s="5" t="s">
        <v>19</v>
      </c>
      <c r="H576" s="5" t="s">
        <v>19</v>
      </c>
      <c r="I576" s="5" t="s">
        <v>19</v>
      </c>
      <c r="J576" s="5">
        <v>0.0</v>
      </c>
      <c r="K576" s="5">
        <f t="shared" si="3"/>
        <v>0</v>
      </c>
      <c r="L576" s="5">
        <f t="shared" si="4"/>
        <v>0</v>
      </c>
      <c r="M576" s="5">
        <v>15843.10609031321</v>
      </c>
      <c r="N576" s="5">
        <f t="shared" si="5"/>
        <v>0</v>
      </c>
      <c r="O576" s="5">
        <f t="shared" si="6"/>
        <v>15843.10609</v>
      </c>
      <c r="P576" s="5">
        <f t="shared" si="9"/>
        <v>15843.10609</v>
      </c>
      <c r="Q576" s="5">
        <f t="shared" si="7"/>
        <v>15843.10609</v>
      </c>
      <c r="R576" s="5">
        <f t="shared" si="8"/>
        <v>0</v>
      </c>
    </row>
    <row r="577" ht="15.75" customHeight="1">
      <c r="A577" s="4">
        <v>2015.0</v>
      </c>
      <c r="B577" s="4">
        <v>523.0</v>
      </c>
      <c r="C577" s="4" t="s">
        <v>22</v>
      </c>
      <c r="D577" s="5" t="s">
        <v>19</v>
      </c>
      <c r="E577" s="5" t="str">
        <f t="shared" si="1"/>
        <v/>
      </c>
      <c r="F577" s="5" t="str">
        <f t="shared" si="2"/>
        <v/>
      </c>
      <c r="G577" s="5" t="s">
        <v>19</v>
      </c>
      <c r="H577" s="5" t="s">
        <v>19</v>
      </c>
      <c r="I577" s="5" t="s">
        <v>19</v>
      </c>
      <c r="J577" s="5">
        <v>0.0</v>
      </c>
      <c r="K577" s="5">
        <f t="shared" si="3"/>
        <v>0</v>
      </c>
      <c r="L577" s="5">
        <f t="shared" si="4"/>
        <v>0</v>
      </c>
      <c r="M577" s="5">
        <v>33260.2583688174</v>
      </c>
      <c r="N577" s="5">
        <f t="shared" si="5"/>
        <v>0</v>
      </c>
      <c r="O577" s="5">
        <f t="shared" si="6"/>
        <v>33260.25837</v>
      </c>
      <c r="P577" s="5">
        <f t="shared" si="9"/>
        <v>33260.25837</v>
      </c>
      <c r="Q577" s="5">
        <f t="shared" si="7"/>
        <v>33260.25837</v>
      </c>
      <c r="R577" s="5">
        <f t="shared" si="8"/>
        <v>0</v>
      </c>
    </row>
    <row r="578" ht="15.75" customHeight="1">
      <c r="A578" s="4">
        <v>2015.0</v>
      </c>
      <c r="B578" s="4">
        <v>524.0</v>
      </c>
      <c r="C578" s="4" t="s">
        <v>22</v>
      </c>
      <c r="D578" s="5">
        <v>9392.057864483655</v>
      </c>
      <c r="E578" s="5">
        <f t="shared" si="1"/>
        <v>0</v>
      </c>
      <c r="F578" s="5">
        <f t="shared" si="2"/>
        <v>9392.057864</v>
      </c>
      <c r="G578" s="5">
        <v>13223.454030929264</v>
      </c>
      <c r="H578" s="5">
        <v>8078.595770858946</v>
      </c>
      <c r="I578" s="5">
        <v>5144.8582600703185</v>
      </c>
      <c r="J578" s="5">
        <v>9086.404657188868</v>
      </c>
      <c r="K578" s="5">
        <f t="shared" si="3"/>
        <v>9086.404657</v>
      </c>
      <c r="L578" s="5">
        <f t="shared" si="4"/>
        <v>0</v>
      </c>
      <c r="M578" s="5">
        <v>192751.14931438136</v>
      </c>
      <c r="N578" s="5">
        <f t="shared" si="5"/>
        <v>0</v>
      </c>
      <c r="O578" s="5">
        <f t="shared" si="6"/>
        <v>192751.1493</v>
      </c>
      <c r="P578" s="5">
        <f t="shared" si="9"/>
        <v>224453.0659</v>
      </c>
      <c r="Q578" s="5">
        <f t="shared" si="7"/>
        <v>207288.0654</v>
      </c>
      <c r="R578" s="5">
        <f t="shared" si="8"/>
        <v>17165.00043</v>
      </c>
    </row>
    <row r="579" ht="15.75" customHeight="1">
      <c r="A579" s="4">
        <v>2015.0</v>
      </c>
      <c r="B579" s="4">
        <v>525.0</v>
      </c>
      <c r="C579" s="4" t="s">
        <v>22</v>
      </c>
      <c r="D579" s="5">
        <v>3466.8062472024294</v>
      </c>
      <c r="E579" s="5">
        <f t="shared" si="1"/>
        <v>0</v>
      </c>
      <c r="F579" s="5">
        <f t="shared" si="2"/>
        <v>3466.806247</v>
      </c>
      <c r="G579" s="5" t="s">
        <v>19</v>
      </c>
      <c r="H579" s="5" t="s">
        <v>19</v>
      </c>
      <c r="I579" s="5" t="s">
        <v>19</v>
      </c>
      <c r="J579" s="5">
        <v>0.0</v>
      </c>
      <c r="K579" s="5">
        <f t="shared" si="3"/>
        <v>0</v>
      </c>
      <c r="L579" s="5">
        <f t="shared" si="4"/>
        <v>0</v>
      </c>
      <c r="M579" s="5">
        <v>9432.692339310197</v>
      </c>
      <c r="N579" s="5">
        <f t="shared" si="5"/>
        <v>0</v>
      </c>
      <c r="O579" s="5">
        <f t="shared" si="6"/>
        <v>9432.692339</v>
      </c>
      <c r="P579" s="5">
        <f t="shared" si="9"/>
        <v>12899.49859</v>
      </c>
      <c r="Q579" s="5">
        <f t="shared" si="7"/>
        <v>12899.49859</v>
      </c>
      <c r="R579" s="5">
        <f t="shared" si="8"/>
        <v>0</v>
      </c>
    </row>
    <row r="580" ht="15.75" customHeight="1">
      <c r="A580" s="4">
        <v>2015.0</v>
      </c>
      <c r="B580" s="4">
        <v>526.0</v>
      </c>
      <c r="C580" s="4" t="s">
        <v>22</v>
      </c>
      <c r="D580" s="5" t="s">
        <v>19</v>
      </c>
      <c r="E580" s="5" t="str">
        <f t="shared" si="1"/>
        <v/>
      </c>
      <c r="F580" s="5" t="str">
        <f t="shared" si="2"/>
        <v/>
      </c>
      <c r="G580" s="5" t="s">
        <v>19</v>
      </c>
      <c r="H580" s="5" t="s">
        <v>19</v>
      </c>
      <c r="I580" s="5" t="s">
        <v>19</v>
      </c>
      <c r="J580" s="5">
        <v>0.0</v>
      </c>
      <c r="K580" s="5">
        <f t="shared" si="3"/>
        <v>0</v>
      </c>
      <c r="L580" s="5">
        <f t="shared" si="4"/>
        <v>0</v>
      </c>
      <c r="M580" s="5">
        <v>0.0</v>
      </c>
      <c r="N580" s="5">
        <f t="shared" si="5"/>
        <v>0</v>
      </c>
      <c r="O580" s="5">
        <f t="shared" si="6"/>
        <v>0</v>
      </c>
      <c r="P580" s="5">
        <f t="shared" si="9"/>
        <v>0</v>
      </c>
      <c r="Q580" s="5">
        <f t="shared" si="7"/>
        <v>0</v>
      </c>
      <c r="R580" s="5">
        <f t="shared" si="8"/>
        <v>0</v>
      </c>
    </row>
    <row r="581" ht="15.75" customHeight="1">
      <c r="A581" s="4">
        <v>2015.0</v>
      </c>
      <c r="B581" s="4">
        <v>527.0</v>
      </c>
      <c r="C581" s="4" t="s">
        <v>22</v>
      </c>
      <c r="D581" s="5" t="s">
        <v>19</v>
      </c>
      <c r="E581" s="5" t="str">
        <f t="shared" si="1"/>
        <v/>
      </c>
      <c r="F581" s="5" t="str">
        <f t="shared" si="2"/>
        <v/>
      </c>
      <c r="G581" s="5" t="s">
        <v>19</v>
      </c>
      <c r="H581" s="5" t="s">
        <v>19</v>
      </c>
      <c r="I581" s="5" t="s">
        <v>19</v>
      </c>
      <c r="J581" s="5">
        <v>0.0</v>
      </c>
      <c r="K581" s="5">
        <f t="shared" si="3"/>
        <v>0</v>
      </c>
      <c r="L581" s="5">
        <f t="shared" si="4"/>
        <v>0</v>
      </c>
      <c r="M581" s="5">
        <v>6301.828624735184</v>
      </c>
      <c r="N581" s="5">
        <f t="shared" si="5"/>
        <v>0</v>
      </c>
      <c r="O581" s="5">
        <f t="shared" si="6"/>
        <v>6301.828625</v>
      </c>
      <c r="P581" s="5">
        <f t="shared" si="9"/>
        <v>6301.828625</v>
      </c>
      <c r="Q581" s="5">
        <f t="shared" si="7"/>
        <v>6301.828625</v>
      </c>
      <c r="R581" s="5">
        <f t="shared" si="8"/>
        <v>0</v>
      </c>
    </row>
    <row r="582" ht="15.75" customHeight="1">
      <c r="A582" s="4">
        <v>2015.0</v>
      </c>
      <c r="B582" s="4">
        <v>528.0</v>
      </c>
      <c r="C582" s="4" t="s">
        <v>22</v>
      </c>
      <c r="D582" s="5" t="s">
        <v>19</v>
      </c>
      <c r="E582" s="5" t="str">
        <f t="shared" si="1"/>
        <v/>
      </c>
      <c r="F582" s="5" t="str">
        <f t="shared" si="2"/>
        <v/>
      </c>
      <c r="G582" s="5" t="s">
        <v>19</v>
      </c>
      <c r="H582" s="5" t="s">
        <v>19</v>
      </c>
      <c r="I582" s="5" t="s">
        <v>19</v>
      </c>
      <c r="J582" s="5">
        <v>0.0</v>
      </c>
      <c r="K582" s="5">
        <f t="shared" si="3"/>
        <v>0</v>
      </c>
      <c r="L582" s="5">
        <f t="shared" si="4"/>
        <v>0</v>
      </c>
      <c r="M582" s="5">
        <v>26374.70485930884</v>
      </c>
      <c r="N582" s="5">
        <f t="shared" si="5"/>
        <v>0</v>
      </c>
      <c r="O582" s="5">
        <f t="shared" si="6"/>
        <v>26374.70486</v>
      </c>
      <c r="P582" s="5">
        <f t="shared" si="9"/>
        <v>26374.70486</v>
      </c>
      <c r="Q582" s="5">
        <f t="shared" si="7"/>
        <v>26374.70486</v>
      </c>
      <c r="R582" s="5">
        <f t="shared" si="8"/>
        <v>0</v>
      </c>
    </row>
    <row r="583" ht="15.75" customHeight="1">
      <c r="A583" s="4">
        <v>2014.0</v>
      </c>
      <c r="B583" s="4">
        <v>100.0</v>
      </c>
      <c r="C583" s="4" t="s">
        <v>18</v>
      </c>
      <c r="D583" s="5">
        <v>31233.07216333467</v>
      </c>
      <c r="E583" s="5">
        <f t="shared" si="1"/>
        <v>0</v>
      </c>
      <c r="F583" s="5">
        <f t="shared" si="2"/>
        <v>31233.07216</v>
      </c>
      <c r="G583" s="5">
        <v>5623.3551191394345</v>
      </c>
      <c r="H583" s="5">
        <v>2366.053191637913</v>
      </c>
      <c r="I583" s="5">
        <v>3257.3019275015213</v>
      </c>
      <c r="J583" s="5">
        <v>16300.913567150395</v>
      </c>
      <c r="K583" s="5">
        <f t="shared" si="3"/>
        <v>16300.91357</v>
      </c>
      <c r="L583" s="5">
        <f t="shared" si="4"/>
        <v>0</v>
      </c>
      <c r="M583" s="5">
        <v>71575.35377405115</v>
      </c>
      <c r="N583" s="5">
        <f t="shared" si="5"/>
        <v>0</v>
      </c>
      <c r="O583" s="5">
        <f t="shared" si="6"/>
        <v>71575.35377</v>
      </c>
      <c r="P583" s="5">
        <f t="shared" si="9"/>
        <v>124732.6946</v>
      </c>
      <c r="Q583" s="5">
        <f t="shared" si="7"/>
        <v>106065.7279</v>
      </c>
      <c r="R583" s="5">
        <f t="shared" si="8"/>
        <v>18666.96676</v>
      </c>
    </row>
    <row r="584" ht="15.75" customHeight="1">
      <c r="A584" s="4">
        <v>2014.0</v>
      </c>
      <c r="B584" s="4">
        <v>101.0</v>
      </c>
      <c r="C584" s="4" t="s">
        <v>18</v>
      </c>
      <c r="D584" s="5">
        <v>14659.027583519373</v>
      </c>
      <c r="E584" s="5">
        <f t="shared" si="1"/>
        <v>0</v>
      </c>
      <c r="F584" s="5">
        <f t="shared" si="2"/>
        <v>14659.02758</v>
      </c>
      <c r="G584" s="5">
        <v>14602.380418104323</v>
      </c>
      <c r="H584" s="5">
        <v>7046.277964684393</v>
      </c>
      <c r="I584" s="5">
        <v>7556.1024534199305</v>
      </c>
      <c r="J584" s="5">
        <v>467775.49673852243</v>
      </c>
      <c r="K584" s="5">
        <f t="shared" si="3"/>
        <v>467775.4967</v>
      </c>
      <c r="L584" s="5">
        <f t="shared" si="4"/>
        <v>0</v>
      </c>
      <c r="M584" s="5">
        <v>134731.81493789825</v>
      </c>
      <c r="N584" s="5">
        <f t="shared" si="5"/>
        <v>0</v>
      </c>
      <c r="O584" s="5">
        <f t="shared" si="6"/>
        <v>134731.8149</v>
      </c>
      <c r="P584" s="5">
        <f t="shared" si="9"/>
        <v>631768.7197</v>
      </c>
      <c r="Q584" s="5">
        <f t="shared" si="7"/>
        <v>156946.945</v>
      </c>
      <c r="R584" s="5">
        <f t="shared" si="8"/>
        <v>474821.7747</v>
      </c>
    </row>
    <row r="585" ht="15.75" customHeight="1">
      <c r="A585" s="4">
        <v>2014.0</v>
      </c>
      <c r="B585" s="4">
        <v>102.0</v>
      </c>
      <c r="C585" s="4" t="s">
        <v>18</v>
      </c>
      <c r="D585" s="5">
        <v>8442.029278008926</v>
      </c>
      <c r="E585" s="5">
        <f t="shared" si="1"/>
        <v>0</v>
      </c>
      <c r="F585" s="5">
        <f t="shared" si="2"/>
        <v>8442.029278</v>
      </c>
      <c r="G585" s="5">
        <v>14333.980753399635</v>
      </c>
      <c r="H585" s="5">
        <v>4106.290079642785</v>
      </c>
      <c r="I585" s="5">
        <v>10227.69067375685</v>
      </c>
      <c r="J585" s="5">
        <v>29909.89147889182</v>
      </c>
      <c r="K585" s="5">
        <f t="shared" si="3"/>
        <v>29909.89148</v>
      </c>
      <c r="L585" s="5">
        <f t="shared" si="4"/>
        <v>0</v>
      </c>
      <c r="M585" s="5">
        <v>33163.729191800274</v>
      </c>
      <c r="N585" s="5">
        <f t="shared" si="5"/>
        <v>0</v>
      </c>
      <c r="O585" s="5">
        <f t="shared" si="6"/>
        <v>33163.72919</v>
      </c>
      <c r="P585" s="5">
        <f t="shared" si="9"/>
        <v>85849.6307</v>
      </c>
      <c r="Q585" s="5">
        <f t="shared" si="7"/>
        <v>51833.44914</v>
      </c>
      <c r="R585" s="5">
        <f t="shared" si="8"/>
        <v>34016.18156</v>
      </c>
    </row>
    <row r="586" ht="15.75" customHeight="1">
      <c r="A586" s="4">
        <v>2014.0</v>
      </c>
      <c r="B586" s="4">
        <v>103.0</v>
      </c>
      <c r="C586" s="4" t="s">
        <v>18</v>
      </c>
      <c r="D586" s="5">
        <v>41634.064948903964</v>
      </c>
      <c r="E586" s="5">
        <f t="shared" si="1"/>
        <v>0</v>
      </c>
      <c r="F586" s="5">
        <f t="shared" si="2"/>
        <v>41634.06495</v>
      </c>
      <c r="G586" s="5">
        <v>753.0476354779785</v>
      </c>
      <c r="H586" s="5">
        <v>261.20637385833163</v>
      </c>
      <c r="I586" s="5">
        <v>491.84126161964684</v>
      </c>
      <c r="J586" s="5">
        <v>791.3963786279683</v>
      </c>
      <c r="K586" s="5">
        <f t="shared" si="3"/>
        <v>791.3963786</v>
      </c>
      <c r="L586" s="5">
        <f t="shared" si="4"/>
        <v>0</v>
      </c>
      <c r="M586" s="5">
        <v>2936.9590795615986</v>
      </c>
      <c r="N586" s="5">
        <f t="shared" si="5"/>
        <v>0</v>
      </c>
      <c r="O586" s="5">
        <f t="shared" si="6"/>
        <v>2936.95908</v>
      </c>
      <c r="P586" s="5">
        <f t="shared" si="9"/>
        <v>46115.46804</v>
      </c>
      <c r="Q586" s="5">
        <f t="shared" si="7"/>
        <v>45062.86529</v>
      </c>
      <c r="R586" s="5">
        <f t="shared" si="8"/>
        <v>1052.602752</v>
      </c>
    </row>
    <row r="587" ht="15.75" customHeight="1">
      <c r="A587" s="4">
        <v>2014.0</v>
      </c>
      <c r="B587" s="4">
        <v>104.0</v>
      </c>
      <c r="C587" s="4" t="s">
        <v>18</v>
      </c>
      <c r="D587" s="5">
        <v>350.1390517048912</v>
      </c>
      <c r="E587" s="5">
        <f t="shared" si="1"/>
        <v>0</v>
      </c>
      <c r="F587" s="5">
        <f t="shared" si="2"/>
        <v>350.1390517</v>
      </c>
      <c r="G587" s="5" t="s">
        <v>19</v>
      </c>
      <c r="H587" s="5" t="s">
        <v>19</v>
      </c>
      <c r="I587" s="5" t="s">
        <v>19</v>
      </c>
      <c r="J587" s="5">
        <v>2197.0421319261213</v>
      </c>
      <c r="K587" s="5">
        <f t="shared" si="3"/>
        <v>2197.042132</v>
      </c>
      <c r="L587" s="5">
        <f t="shared" si="4"/>
        <v>0</v>
      </c>
      <c r="M587" s="5">
        <v>825.4692185914348</v>
      </c>
      <c r="N587" s="5">
        <f t="shared" si="5"/>
        <v>0</v>
      </c>
      <c r="O587" s="5">
        <f t="shared" si="6"/>
        <v>825.4692186</v>
      </c>
      <c r="P587" s="5">
        <f t="shared" si="9"/>
        <v>3372.650402</v>
      </c>
      <c r="Q587" s="5">
        <f t="shared" si="7"/>
        <v>1175.60827</v>
      </c>
      <c r="R587" s="5">
        <f t="shared" si="8"/>
        <v>2197.042132</v>
      </c>
    </row>
    <row r="588" ht="15.75" customHeight="1">
      <c r="A588" s="4">
        <v>2014.0</v>
      </c>
      <c r="B588" s="4">
        <v>105.0</v>
      </c>
      <c r="C588" s="4" t="s">
        <v>18</v>
      </c>
      <c r="D588" s="5">
        <v>15895.73973203774</v>
      </c>
      <c r="E588" s="5">
        <f t="shared" si="1"/>
        <v>0</v>
      </c>
      <c r="F588" s="5">
        <f t="shared" si="2"/>
        <v>15895.73973</v>
      </c>
      <c r="G588" s="5">
        <v>1474.6246235031458</v>
      </c>
      <c r="H588" s="5">
        <v>683.3626304038969</v>
      </c>
      <c r="I588" s="5">
        <v>791.2619930992489</v>
      </c>
      <c r="J588" s="5">
        <v>14509.108309366755</v>
      </c>
      <c r="K588" s="5">
        <f t="shared" si="3"/>
        <v>14509.10831</v>
      </c>
      <c r="L588" s="5">
        <f t="shared" si="4"/>
        <v>0</v>
      </c>
      <c r="M588" s="5">
        <v>21655.354447178797</v>
      </c>
      <c r="N588" s="5">
        <f t="shared" si="5"/>
        <v>0</v>
      </c>
      <c r="O588" s="5">
        <f t="shared" si="6"/>
        <v>21655.35445</v>
      </c>
      <c r="P588" s="5">
        <f t="shared" si="9"/>
        <v>53534.82711</v>
      </c>
      <c r="Q588" s="5">
        <f t="shared" si="7"/>
        <v>38342.35617</v>
      </c>
      <c r="R588" s="5">
        <f t="shared" si="8"/>
        <v>15192.47094</v>
      </c>
    </row>
    <row r="589" ht="15.75" customHeight="1">
      <c r="A589" s="4">
        <v>2014.0</v>
      </c>
      <c r="B589" s="4">
        <v>106.0</v>
      </c>
      <c r="C589" s="4" t="s">
        <v>18</v>
      </c>
      <c r="D589" s="5">
        <v>16377.240638065748</v>
      </c>
      <c r="E589" s="5">
        <f t="shared" si="1"/>
        <v>0</v>
      </c>
      <c r="F589" s="5">
        <f t="shared" si="2"/>
        <v>16377.24064</v>
      </c>
      <c r="G589" s="5">
        <v>2072.5669251065556</v>
      </c>
      <c r="H589" s="5">
        <v>1195.435022528922</v>
      </c>
      <c r="I589" s="5">
        <v>877.1319025776336</v>
      </c>
      <c r="J589" s="5">
        <v>44589.50814709763</v>
      </c>
      <c r="K589" s="5">
        <f t="shared" si="3"/>
        <v>44589.50815</v>
      </c>
      <c r="L589" s="5">
        <f t="shared" si="4"/>
        <v>0</v>
      </c>
      <c r="M589" s="5">
        <v>109659.55901075702</v>
      </c>
      <c r="N589" s="5">
        <f t="shared" si="5"/>
        <v>0</v>
      </c>
      <c r="O589" s="5">
        <f t="shared" si="6"/>
        <v>109659.559</v>
      </c>
      <c r="P589" s="5">
        <f t="shared" si="9"/>
        <v>172698.8747</v>
      </c>
      <c r="Q589" s="5">
        <f t="shared" si="7"/>
        <v>126913.9316</v>
      </c>
      <c r="R589" s="5">
        <f t="shared" si="8"/>
        <v>45784.94317</v>
      </c>
    </row>
    <row r="590" ht="15.75" customHeight="1">
      <c r="A590" s="4">
        <v>2014.0</v>
      </c>
      <c r="B590" s="4">
        <v>107.0</v>
      </c>
      <c r="C590" s="4" t="s">
        <v>18</v>
      </c>
      <c r="D590" s="5">
        <v>12275.88470636289</v>
      </c>
      <c r="E590" s="5">
        <f t="shared" si="1"/>
        <v>0</v>
      </c>
      <c r="F590" s="5">
        <f t="shared" si="2"/>
        <v>12275.88471</v>
      </c>
      <c r="G590" s="5">
        <v>1720.9948349908668</v>
      </c>
      <c r="H590" s="5">
        <v>581.5775649279481</v>
      </c>
      <c r="I590" s="5">
        <v>1139.4172700629188</v>
      </c>
      <c r="J590" s="5">
        <v>19635.71465171504</v>
      </c>
      <c r="K590" s="5">
        <f t="shared" si="3"/>
        <v>19635.71465</v>
      </c>
      <c r="L590" s="5">
        <f t="shared" si="4"/>
        <v>0</v>
      </c>
      <c r="M590" s="5">
        <v>17853.917695098433</v>
      </c>
      <c r="N590" s="5">
        <f t="shared" si="5"/>
        <v>0</v>
      </c>
      <c r="O590" s="5">
        <f t="shared" si="6"/>
        <v>17853.9177</v>
      </c>
      <c r="P590" s="5">
        <f t="shared" si="9"/>
        <v>51486.51189</v>
      </c>
      <c r="Q590" s="5">
        <f t="shared" si="7"/>
        <v>31269.21967</v>
      </c>
      <c r="R590" s="5">
        <f t="shared" si="8"/>
        <v>20217.29222</v>
      </c>
    </row>
    <row r="591" ht="15.75" customHeight="1">
      <c r="A591" s="4">
        <v>2014.0</v>
      </c>
      <c r="B591" s="4">
        <v>108.0</v>
      </c>
      <c r="C591" s="4" t="s">
        <v>18</v>
      </c>
      <c r="D591" s="5">
        <v>3615.5559104424574</v>
      </c>
      <c r="E591" s="5">
        <f t="shared" si="1"/>
        <v>0</v>
      </c>
      <c r="F591" s="5">
        <f t="shared" si="2"/>
        <v>3615.55591</v>
      </c>
      <c r="G591" s="5">
        <v>12933.98652242744</v>
      </c>
      <c r="H591" s="5">
        <v>5597.998768906029</v>
      </c>
      <c r="I591" s="5">
        <v>7335.987753521411</v>
      </c>
      <c r="J591" s="5">
        <v>11670.598357783643</v>
      </c>
      <c r="K591" s="5">
        <f t="shared" si="3"/>
        <v>11670.59836</v>
      </c>
      <c r="L591" s="5">
        <f t="shared" si="4"/>
        <v>0</v>
      </c>
      <c r="M591" s="5">
        <v>43001.15793738584</v>
      </c>
      <c r="N591" s="5">
        <f t="shared" si="5"/>
        <v>0</v>
      </c>
      <c r="O591" s="5">
        <f t="shared" si="6"/>
        <v>43001.15794</v>
      </c>
      <c r="P591" s="5">
        <f t="shared" si="9"/>
        <v>71221.29873</v>
      </c>
      <c r="Q591" s="5">
        <f t="shared" si="7"/>
        <v>53952.7016</v>
      </c>
      <c r="R591" s="5">
        <f t="shared" si="8"/>
        <v>17268.59713</v>
      </c>
    </row>
    <row r="592" ht="15.75" customHeight="1">
      <c r="A592" s="4">
        <v>2014.0</v>
      </c>
      <c r="B592" s="4">
        <v>120.0</v>
      </c>
      <c r="C592" s="4" t="s">
        <v>18</v>
      </c>
      <c r="D592" s="5">
        <v>39355.05619626545</v>
      </c>
      <c r="E592" s="5">
        <f t="shared" si="1"/>
        <v>0</v>
      </c>
      <c r="F592" s="5">
        <f t="shared" si="2"/>
        <v>39355.0562</v>
      </c>
      <c r="G592" s="5">
        <v>4514.239586766796</v>
      </c>
      <c r="H592" s="5">
        <v>1327.1621611528317</v>
      </c>
      <c r="I592" s="5">
        <v>3187.077425613964</v>
      </c>
      <c r="J592" s="5">
        <v>4942.995394459103</v>
      </c>
      <c r="K592" s="5">
        <f t="shared" si="3"/>
        <v>4942.995394</v>
      </c>
      <c r="L592" s="5">
        <f t="shared" si="4"/>
        <v>0</v>
      </c>
      <c r="M592" s="5">
        <v>77421.4626805358</v>
      </c>
      <c r="N592" s="5">
        <f t="shared" si="5"/>
        <v>0</v>
      </c>
      <c r="O592" s="5">
        <f t="shared" si="6"/>
        <v>77421.46268</v>
      </c>
      <c r="P592" s="5">
        <f t="shared" si="9"/>
        <v>126233.7539</v>
      </c>
      <c r="Q592" s="5">
        <f t="shared" si="7"/>
        <v>119963.5963</v>
      </c>
      <c r="R592" s="5">
        <f t="shared" si="8"/>
        <v>6270.157556</v>
      </c>
    </row>
    <row r="593" ht="15.75" customHeight="1">
      <c r="A593" s="4">
        <v>2014.0</v>
      </c>
      <c r="B593" s="4">
        <v>121.0</v>
      </c>
      <c r="C593" s="4" t="s">
        <v>18</v>
      </c>
      <c r="D593" s="5">
        <v>26057.415103003834</v>
      </c>
      <c r="E593" s="5">
        <f t="shared" si="1"/>
        <v>0</v>
      </c>
      <c r="F593" s="5">
        <f t="shared" si="2"/>
        <v>26057.4151</v>
      </c>
      <c r="G593" s="5">
        <v>8993.4118806576</v>
      </c>
      <c r="H593" s="5">
        <v>3151.2008875177585</v>
      </c>
      <c r="I593" s="5">
        <v>5842.210993139843</v>
      </c>
      <c r="J593" s="5">
        <v>86702.38238205804</v>
      </c>
      <c r="K593" s="5">
        <f t="shared" si="3"/>
        <v>86702.38238</v>
      </c>
      <c r="L593" s="5">
        <f t="shared" si="4"/>
        <v>0</v>
      </c>
      <c r="M593" s="5">
        <v>1246054.241489912</v>
      </c>
      <c r="N593" s="5">
        <f t="shared" si="5"/>
        <v>0</v>
      </c>
      <c r="O593" s="5">
        <f t="shared" si="6"/>
        <v>1246054.241</v>
      </c>
      <c r="P593" s="5">
        <f t="shared" si="9"/>
        <v>1367807.451</v>
      </c>
      <c r="Q593" s="5">
        <f t="shared" si="7"/>
        <v>1277953.868</v>
      </c>
      <c r="R593" s="5">
        <f t="shared" si="8"/>
        <v>89853.58327</v>
      </c>
    </row>
    <row r="594" ht="15.75" customHeight="1">
      <c r="A594" s="4">
        <v>2014.0</v>
      </c>
      <c r="B594" s="4">
        <v>122.0</v>
      </c>
      <c r="C594" s="4" t="s">
        <v>18</v>
      </c>
      <c r="D594" s="5">
        <v>78797.52773558955</v>
      </c>
      <c r="E594" s="5">
        <f t="shared" si="1"/>
        <v>0</v>
      </c>
      <c r="F594" s="5">
        <f t="shared" si="2"/>
        <v>78797.52774</v>
      </c>
      <c r="G594" s="5">
        <v>18674.23261782017</v>
      </c>
      <c r="H594" s="5">
        <v>5361.15966778973</v>
      </c>
      <c r="I594" s="5">
        <v>13313.07295003044</v>
      </c>
      <c r="J594" s="5">
        <v>10582.699124010553</v>
      </c>
      <c r="K594" s="5">
        <f t="shared" si="3"/>
        <v>10582.69912</v>
      </c>
      <c r="L594" s="5">
        <f t="shared" si="4"/>
        <v>0</v>
      </c>
      <c r="M594" s="5">
        <v>149181.77944306372</v>
      </c>
      <c r="N594" s="5">
        <f t="shared" si="5"/>
        <v>0</v>
      </c>
      <c r="O594" s="5">
        <f t="shared" si="6"/>
        <v>149181.7794</v>
      </c>
      <c r="P594" s="5">
        <f t="shared" si="9"/>
        <v>257236.2389</v>
      </c>
      <c r="Q594" s="5">
        <f t="shared" si="7"/>
        <v>241292.3801</v>
      </c>
      <c r="R594" s="5">
        <f t="shared" si="8"/>
        <v>15943.85879</v>
      </c>
    </row>
    <row r="595" ht="15.75" customHeight="1">
      <c r="A595" s="4">
        <v>2014.0</v>
      </c>
      <c r="B595" s="4">
        <v>123.0</v>
      </c>
      <c r="C595" s="4" t="s">
        <v>18</v>
      </c>
      <c r="D595" s="5" t="s">
        <v>19</v>
      </c>
      <c r="E595" s="5" t="str">
        <f t="shared" si="1"/>
        <v/>
      </c>
      <c r="F595" s="5" t="str">
        <f t="shared" si="2"/>
        <v/>
      </c>
      <c r="G595" s="5" t="s">
        <v>19</v>
      </c>
      <c r="H595" s="5" t="s">
        <v>19</v>
      </c>
      <c r="I595" s="5" t="s">
        <v>19</v>
      </c>
      <c r="J595" s="5">
        <v>0.0</v>
      </c>
      <c r="K595" s="5">
        <f t="shared" si="3"/>
        <v>0</v>
      </c>
      <c r="L595" s="5">
        <f t="shared" si="4"/>
        <v>0</v>
      </c>
      <c r="M595" s="5">
        <v>1955.4560452608075</v>
      </c>
      <c r="N595" s="5">
        <f t="shared" si="5"/>
        <v>0</v>
      </c>
      <c r="O595" s="5">
        <f t="shared" si="6"/>
        <v>1955.456045</v>
      </c>
      <c r="P595" s="5">
        <f t="shared" si="9"/>
        <v>1955.456045</v>
      </c>
      <c r="Q595" s="5">
        <f t="shared" si="7"/>
        <v>1955.456045</v>
      </c>
      <c r="R595" s="5">
        <f t="shared" si="8"/>
        <v>0</v>
      </c>
    </row>
    <row r="596" ht="15.75" customHeight="1">
      <c r="A596" s="4">
        <v>2014.0</v>
      </c>
      <c r="B596" s="4">
        <v>124.0</v>
      </c>
      <c r="C596" s="4" t="s">
        <v>18</v>
      </c>
      <c r="D596" s="5" t="s">
        <v>19</v>
      </c>
      <c r="E596" s="5" t="str">
        <f t="shared" si="1"/>
        <v/>
      </c>
      <c r="F596" s="5" t="str">
        <f t="shared" si="2"/>
        <v/>
      </c>
      <c r="G596" s="5" t="s">
        <v>19</v>
      </c>
      <c r="H596" s="5" t="s">
        <v>19</v>
      </c>
      <c r="I596" s="5" t="s">
        <v>19</v>
      </c>
      <c r="J596" s="5">
        <v>0.0</v>
      </c>
      <c r="K596" s="5">
        <f t="shared" si="3"/>
        <v>0</v>
      </c>
      <c r="L596" s="5">
        <f t="shared" si="4"/>
        <v>0</v>
      </c>
      <c r="M596" s="5">
        <v>16073.496357621269</v>
      </c>
      <c r="N596" s="5">
        <f t="shared" si="5"/>
        <v>0</v>
      </c>
      <c r="O596" s="5">
        <f t="shared" si="6"/>
        <v>16073.49636</v>
      </c>
      <c r="P596" s="5">
        <f t="shared" si="9"/>
        <v>16073.49636</v>
      </c>
      <c r="Q596" s="5">
        <f t="shared" si="7"/>
        <v>16073.49636</v>
      </c>
      <c r="R596" s="5">
        <f t="shared" si="8"/>
        <v>0</v>
      </c>
    </row>
    <row r="597" ht="15.75" customHeight="1">
      <c r="A597" s="4">
        <v>2014.0</v>
      </c>
      <c r="B597" s="4">
        <v>125.0</v>
      </c>
      <c r="C597" s="4" t="s">
        <v>18</v>
      </c>
      <c r="D597" s="5">
        <v>7282.223524203365</v>
      </c>
      <c r="E597" s="5">
        <f t="shared" si="1"/>
        <v>0</v>
      </c>
      <c r="F597" s="5">
        <f t="shared" si="2"/>
        <v>7282.223524</v>
      </c>
      <c r="G597" s="5">
        <v>1314.5739021717068</v>
      </c>
      <c r="H597" s="5">
        <v>459.2916205398823</v>
      </c>
      <c r="I597" s="5">
        <v>855.2822816318245</v>
      </c>
      <c r="J597" s="5">
        <v>1333.6688641160952</v>
      </c>
      <c r="K597" s="5">
        <f t="shared" si="3"/>
        <v>1333.668864</v>
      </c>
      <c r="L597" s="5">
        <f t="shared" si="4"/>
        <v>0</v>
      </c>
      <c r="M597" s="5">
        <v>308244.9287675562</v>
      </c>
      <c r="N597" s="5">
        <f t="shared" si="5"/>
        <v>0</v>
      </c>
      <c r="O597" s="5">
        <f t="shared" si="6"/>
        <v>308244.9288</v>
      </c>
      <c r="P597" s="5">
        <f t="shared" si="9"/>
        <v>318175.3951</v>
      </c>
      <c r="Q597" s="5">
        <f t="shared" si="7"/>
        <v>316382.4346</v>
      </c>
      <c r="R597" s="5">
        <f t="shared" si="8"/>
        <v>1792.960485</v>
      </c>
    </row>
    <row r="598" ht="15.75" customHeight="1">
      <c r="A598" s="4">
        <v>2014.0</v>
      </c>
      <c r="B598" s="4">
        <v>126.0</v>
      </c>
      <c r="C598" s="4" t="s">
        <v>18</v>
      </c>
      <c r="D598" s="5">
        <v>3785.132122386845</v>
      </c>
      <c r="E598" s="5">
        <f t="shared" si="1"/>
        <v>0</v>
      </c>
      <c r="F598" s="5">
        <f t="shared" si="2"/>
        <v>3785.132122</v>
      </c>
      <c r="G598" s="5">
        <v>1404.0404570732699</v>
      </c>
      <c r="H598" s="5">
        <v>662.5020869494622</v>
      </c>
      <c r="I598" s="5">
        <v>741.5383701238077</v>
      </c>
      <c r="J598" s="5">
        <v>11551.941311345647</v>
      </c>
      <c r="K598" s="5">
        <f t="shared" si="3"/>
        <v>11551.94131</v>
      </c>
      <c r="L598" s="5">
        <f t="shared" si="4"/>
        <v>0</v>
      </c>
      <c r="M598" s="5">
        <v>526396.1840119746</v>
      </c>
      <c r="N598" s="5">
        <f t="shared" si="5"/>
        <v>0</v>
      </c>
      <c r="O598" s="5">
        <f t="shared" si="6"/>
        <v>526396.184</v>
      </c>
      <c r="P598" s="5">
        <f t="shared" si="9"/>
        <v>543137.2979</v>
      </c>
      <c r="Q598" s="5">
        <f t="shared" si="7"/>
        <v>530922.8545</v>
      </c>
      <c r="R598" s="5">
        <f t="shared" si="8"/>
        <v>12214.4434</v>
      </c>
    </row>
    <row r="599" ht="15.75" customHeight="1">
      <c r="A599" s="4">
        <v>2014.0</v>
      </c>
      <c r="B599" s="4">
        <v>127.0</v>
      </c>
      <c r="C599" s="4" t="s">
        <v>18</v>
      </c>
      <c r="D599" s="5">
        <v>5747.917065709352</v>
      </c>
      <c r="E599" s="5">
        <f t="shared" si="1"/>
        <v>0</v>
      </c>
      <c r="F599" s="5">
        <f t="shared" si="2"/>
        <v>5747.917066</v>
      </c>
      <c r="G599" s="5">
        <v>513.8707148366145</v>
      </c>
      <c r="H599" s="5">
        <v>339.6132440836208</v>
      </c>
      <c r="I599" s="5">
        <v>174.2574707529937</v>
      </c>
      <c r="J599" s="5">
        <v>0.0</v>
      </c>
      <c r="K599" s="5">
        <f t="shared" si="3"/>
        <v>0</v>
      </c>
      <c r="L599" s="5">
        <f t="shared" si="4"/>
        <v>0</v>
      </c>
      <c r="M599" s="5">
        <v>182301.41649855382</v>
      </c>
      <c r="N599" s="5">
        <f t="shared" si="5"/>
        <v>0</v>
      </c>
      <c r="O599" s="5">
        <f t="shared" si="6"/>
        <v>182301.4165</v>
      </c>
      <c r="P599" s="5">
        <f t="shared" si="9"/>
        <v>188563.2043</v>
      </c>
      <c r="Q599" s="5">
        <f t="shared" si="7"/>
        <v>188223.591</v>
      </c>
      <c r="R599" s="5">
        <f t="shared" si="8"/>
        <v>339.6132441</v>
      </c>
    </row>
    <row r="600" ht="15.75" customHeight="1">
      <c r="A600" s="4">
        <v>2014.0</v>
      </c>
      <c r="B600" s="4">
        <v>128.0</v>
      </c>
      <c r="C600" s="4" t="s">
        <v>18</v>
      </c>
      <c r="D600" s="5">
        <v>9816.313113963866</v>
      </c>
      <c r="E600" s="5">
        <f t="shared" si="1"/>
        <v>0</v>
      </c>
      <c r="F600" s="5">
        <f t="shared" si="2"/>
        <v>9816.313114</v>
      </c>
      <c r="G600" s="5">
        <v>4607.302787091536</v>
      </c>
      <c r="H600" s="5">
        <v>2289.6244763953723</v>
      </c>
      <c r="I600" s="5">
        <v>2317.6783106961634</v>
      </c>
      <c r="J600" s="5">
        <v>0.0</v>
      </c>
      <c r="K600" s="5">
        <f t="shared" si="3"/>
        <v>0</v>
      </c>
      <c r="L600" s="5">
        <f t="shared" si="4"/>
        <v>0</v>
      </c>
      <c r="M600" s="5">
        <v>73277.50653622893</v>
      </c>
      <c r="N600" s="5">
        <f t="shared" si="5"/>
        <v>0</v>
      </c>
      <c r="O600" s="5">
        <f t="shared" si="6"/>
        <v>73277.50654</v>
      </c>
      <c r="P600" s="5">
        <f t="shared" si="9"/>
        <v>87701.12244</v>
      </c>
      <c r="Q600" s="5">
        <f t="shared" si="7"/>
        <v>85411.49796</v>
      </c>
      <c r="R600" s="5">
        <f t="shared" si="8"/>
        <v>2289.624476</v>
      </c>
    </row>
    <row r="601" ht="15.75" customHeight="1">
      <c r="A601" s="4">
        <v>2014.0</v>
      </c>
      <c r="B601" s="4">
        <v>300.0</v>
      </c>
      <c r="C601" s="4" t="s">
        <v>20</v>
      </c>
      <c r="D601" s="5" t="s">
        <v>19</v>
      </c>
      <c r="E601" s="5" t="str">
        <f t="shared" si="1"/>
        <v/>
      </c>
      <c r="F601" s="5" t="str">
        <f t="shared" si="2"/>
        <v/>
      </c>
      <c r="G601" s="5">
        <v>10247.217257585751</v>
      </c>
      <c r="H601" s="5">
        <v>4928.76946455754</v>
      </c>
      <c r="I601" s="5">
        <v>5318.447793028211</v>
      </c>
      <c r="J601" s="5">
        <v>198222.85453091125</v>
      </c>
      <c r="K601" s="5">
        <f t="shared" si="3"/>
        <v>198222.8545</v>
      </c>
      <c r="L601" s="5">
        <f t="shared" si="4"/>
        <v>0</v>
      </c>
      <c r="M601" s="5">
        <v>3641.7317680637298</v>
      </c>
      <c r="N601" s="5">
        <f t="shared" si="5"/>
        <v>0</v>
      </c>
      <c r="O601" s="5">
        <f t="shared" si="6"/>
        <v>3641.731768</v>
      </c>
      <c r="P601" s="5">
        <f t="shared" si="9"/>
        <v>212111.8036</v>
      </c>
      <c r="Q601" s="5">
        <f t="shared" si="7"/>
        <v>8960.179561</v>
      </c>
      <c r="R601" s="5">
        <f t="shared" si="8"/>
        <v>203151.624</v>
      </c>
    </row>
    <row r="602" ht="15.75" customHeight="1">
      <c r="A602" s="4">
        <v>2014.0</v>
      </c>
      <c r="B602" s="4">
        <v>301.0</v>
      </c>
      <c r="C602" s="4" t="s">
        <v>20</v>
      </c>
      <c r="D602" s="5" t="s">
        <v>19</v>
      </c>
      <c r="E602" s="5" t="str">
        <f t="shared" si="1"/>
        <v/>
      </c>
      <c r="F602" s="5" t="str">
        <f t="shared" si="2"/>
        <v/>
      </c>
      <c r="G602" s="5">
        <v>3148.6529378932414</v>
      </c>
      <c r="H602" s="5">
        <v>2206.659249035925</v>
      </c>
      <c r="I602" s="5">
        <v>941.9936888573166</v>
      </c>
      <c r="J602" s="5">
        <v>7922.136869799067</v>
      </c>
      <c r="K602" s="5">
        <f t="shared" si="3"/>
        <v>7922.13687</v>
      </c>
      <c r="L602" s="5">
        <f t="shared" si="4"/>
        <v>0</v>
      </c>
      <c r="M602" s="5">
        <v>153.23615333874562</v>
      </c>
      <c r="N602" s="5">
        <f t="shared" si="5"/>
        <v>0</v>
      </c>
      <c r="O602" s="5">
        <f t="shared" si="6"/>
        <v>153.2361533</v>
      </c>
      <c r="P602" s="5">
        <f t="shared" si="9"/>
        <v>11224.02596</v>
      </c>
      <c r="Q602" s="5">
        <f t="shared" si="7"/>
        <v>1095.229842</v>
      </c>
      <c r="R602" s="5">
        <f t="shared" si="8"/>
        <v>10128.79612</v>
      </c>
    </row>
    <row r="603" ht="15.75" customHeight="1">
      <c r="A603" s="4">
        <v>2014.0</v>
      </c>
      <c r="B603" s="4">
        <v>302.0</v>
      </c>
      <c r="C603" s="4" t="s">
        <v>20</v>
      </c>
      <c r="D603" s="5">
        <v>5508.936836614569</v>
      </c>
      <c r="E603" s="5">
        <f t="shared" si="1"/>
        <v>0</v>
      </c>
      <c r="F603" s="5">
        <f t="shared" si="2"/>
        <v>5508.936837</v>
      </c>
      <c r="G603" s="5">
        <v>4681.561176045261</v>
      </c>
      <c r="H603" s="5">
        <v>1663.4949323117519</v>
      </c>
      <c r="I603" s="5">
        <v>3018.0662437335095</v>
      </c>
      <c r="J603" s="5">
        <v>35001.06524406332</v>
      </c>
      <c r="K603" s="5">
        <f t="shared" si="3"/>
        <v>35001.06524</v>
      </c>
      <c r="L603" s="5">
        <f t="shared" si="4"/>
        <v>0</v>
      </c>
      <c r="M603" s="5">
        <v>1011.4942192510653</v>
      </c>
      <c r="N603" s="5">
        <f t="shared" si="5"/>
        <v>0</v>
      </c>
      <c r="O603" s="5">
        <f t="shared" si="6"/>
        <v>1011.494219</v>
      </c>
      <c r="P603" s="5">
        <f t="shared" si="9"/>
        <v>46203.05748</v>
      </c>
      <c r="Q603" s="5">
        <f t="shared" si="7"/>
        <v>9538.4973</v>
      </c>
      <c r="R603" s="5">
        <f t="shared" si="8"/>
        <v>36664.56018</v>
      </c>
    </row>
    <row r="604" ht="15.75" customHeight="1">
      <c r="A604" s="4">
        <v>2014.0</v>
      </c>
      <c r="B604" s="4">
        <v>303.0</v>
      </c>
      <c r="C604" s="4" t="s">
        <v>20</v>
      </c>
      <c r="D604" s="5">
        <v>3208.7941270550014</v>
      </c>
      <c r="E604" s="5">
        <f t="shared" si="1"/>
        <v>0</v>
      </c>
      <c r="F604" s="5">
        <f t="shared" si="2"/>
        <v>3208.794127</v>
      </c>
      <c r="G604" s="5">
        <v>1905.238616551654</v>
      </c>
      <c r="H604" s="5">
        <v>851.7843484879238</v>
      </c>
      <c r="I604" s="5">
        <v>1053.4542680637303</v>
      </c>
      <c r="J604" s="5">
        <v>10053.310545666734</v>
      </c>
      <c r="K604" s="5">
        <f t="shared" si="3"/>
        <v>10053.31055</v>
      </c>
      <c r="L604" s="5">
        <f t="shared" si="4"/>
        <v>0</v>
      </c>
      <c r="M604" s="5">
        <v>3221.485007712602</v>
      </c>
      <c r="N604" s="5">
        <f t="shared" si="5"/>
        <v>0</v>
      </c>
      <c r="O604" s="5">
        <f t="shared" si="6"/>
        <v>3221.485008</v>
      </c>
      <c r="P604" s="5">
        <f t="shared" si="9"/>
        <v>18388.8283</v>
      </c>
      <c r="Q604" s="5">
        <f t="shared" si="7"/>
        <v>7483.733403</v>
      </c>
      <c r="R604" s="5">
        <f t="shared" si="8"/>
        <v>10905.09489</v>
      </c>
    </row>
    <row r="605" ht="15.75" customHeight="1">
      <c r="A605" s="4">
        <v>2014.0</v>
      </c>
      <c r="B605" s="4">
        <v>304.0</v>
      </c>
      <c r="C605" s="4" t="s">
        <v>20</v>
      </c>
      <c r="D605" s="5">
        <v>16890.366124061282</v>
      </c>
      <c r="E605" s="5">
        <f t="shared" si="1"/>
        <v>0</v>
      </c>
      <c r="F605" s="5">
        <f t="shared" si="2"/>
        <v>16890.36612</v>
      </c>
      <c r="G605" s="5">
        <v>4765.4818845139025</v>
      </c>
      <c r="H605" s="5">
        <v>1212.7951894662065</v>
      </c>
      <c r="I605" s="5">
        <v>3552.686695047696</v>
      </c>
      <c r="J605" s="5">
        <v>1261.4439725492186</v>
      </c>
      <c r="K605" s="5">
        <f t="shared" si="3"/>
        <v>1261.443973</v>
      </c>
      <c r="L605" s="5">
        <f t="shared" si="4"/>
        <v>0</v>
      </c>
      <c r="M605" s="5">
        <v>2149.374363202759</v>
      </c>
      <c r="N605" s="5">
        <f t="shared" si="5"/>
        <v>0</v>
      </c>
      <c r="O605" s="5">
        <f t="shared" si="6"/>
        <v>2149.374363</v>
      </c>
      <c r="P605" s="5">
        <f t="shared" si="9"/>
        <v>25066.66634</v>
      </c>
      <c r="Q605" s="5">
        <f t="shared" si="7"/>
        <v>22592.42718</v>
      </c>
      <c r="R605" s="5">
        <f t="shared" si="8"/>
        <v>2474.239162</v>
      </c>
    </row>
    <row r="606" ht="15.75" customHeight="1">
      <c r="A606" s="4">
        <v>2014.0</v>
      </c>
      <c r="B606" s="4">
        <v>305.0</v>
      </c>
      <c r="C606" s="4" t="s">
        <v>20</v>
      </c>
      <c r="D606" s="5">
        <v>34365.27264745279</v>
      </c>
      <c r="E606" s="5">
        <f t="shared" si="1"/>
        <v>0</v>
      </c>
      <c r="F606" s="5">
        <f t="shared" si="2"/>
        <v>34365.27265</v>
      </c>
      <c r="G606" s="5">
        <v>9218.700667749137</v>
      </c>
      <c r="H606" s="5">
        <v>3868.245906839862</v>
      </c>
      <c r="I606" s="5">
        <v>5350.454760909275</v>
      </c>
      <c r="J606" s="5">
        <v>1061.4526503957786</v>
      </c>
      <c r="K606" s="5">
        <f t="shared" si="3"/>
        <v>1061.45265</v>
      </c>
      <c r="L606" s="5">
        <f t="shared" si="4"/>
        <v>0</v>
      </c>
      <c r="M606" s="5">
        <v>6353.198038867462</v>
      </c>
      <c r="N606" s="5">
        <f t="shared" si="5"/>
        <v>0</v>
      </c>
      <c r="O606" s="5">
        <f t="shared" si="6"/>
        <v>6353.198039</v>
      </c>
      <c r="P606" s="5">
        <f t="shared" si="9"/>
        <v>50998.624</v>
      </c>
      <c r="Q606" s="5">
        <f t="shared" si="7"/>
        <v>46068.92545</v>
      </c>
      <c r="R606" s="5">
        <f t="shared" si="8"/>
        <v>4929.698557</v>
      </c>
    </row>
    <row r="607" ht="15.75" customHeight="1">
      <c r="A607" s="4">
        <v>2014.0</v>
      </c>
      <c r="B607" s="4">
        <v>306.0</v>
      </c>
      <c r="C607" s="4" t="s">
        <v>20</v>
      </c>
      <c r="D607" s="5" t="s">
        <v>19</v>
      </c>
      <c r="E607" s="5" t="str">
        <f t="shared" si="1"/>
        <v/>
      </c>
      <c r="F607" s="5" t="str">
        <f t="shared" si="2"/>
        <v/>
      </c>
      <c r="G607" s="5" t="s">
        <v>19</v>
      </c>
      <c r="H607" s="5" t="s">
        <v>19</v>
      </c>
      <c r="I607" s="5" t="s">
        <v>19</v>
      </c>
      <c r="J607" s="5">
        <v>0.0</v>
      </c>
      <c r="K607" s="5">
        <f t="shared" si="3"/>
        <v>0</v>
      </c>
      <c r="L607" s="5">
        <f t="shared" si="4"/>
        <v>0</v>
      </c>
      <c r="M607" s="5">
        <v>3544.094573016033</v>
      </c>
      <c r="N607" s="5">
        <f t="shared" si="5"/>
        <v>0</v>
      </c>
      <c r="O607" s="5">
        <f t="shared" si="6"/>
        <v>3544.094573</v>
      </c>
      <c r="P607" s="5">
        <f t="shared" si="9"/>
        <v>3544.094573</v>
      </c>
      <c r="Q607" s="5">
        <f t="shared" si="7"/>
        <v>3544.094573</v>
      </c>
      <c r="R607" s="5">
        <f t="shared" si="8"/>
        <v>0</v>
      </c>
    </row>
    <row r="608" ht="15.75" customHeight="1">
      <c r="A608" s="4">
        <v>2014.0</v>
      </c>
      <c r="B608" s="4">
        <v>307.0</v>
      </c>
      <c r="C608" s="4" t="s">
        <v>20</v>
      </c>
      <c r="D608" s="5" t="s">
        <v>19</v>
      </c>
      <c r="E608" s="5" t="str">
        <f t="shared" si="1"/>
        <v/>
      </c>
      <c r="F608" s="5" t="str">
        <f t="shared" si="2"/>
        <v/>
      </c>
      <c r="G608" s="5" t="s">
        <v>19</v>
      </c>
      <c r="H608" s="5" t="s">
        <v>19</v>
      </c>
      <c r="I608" s="5" t="s">
        <v>19</v>
      </c>
      <c r="J608" s="5">
        <v>0.0</v>
      </c>
      <c r="K608" s="5">
        <f t="shared" si="3"/>
        <v>0</v>
      </c>
      <c r="L608" s="5">
        <f t="shared" si="4"/>
        <v>0</v>
      </c>
      <c r="M608" s="5">
        <v>1879.516004668155</v>
      </c>
      <c r="N608" s="5">
        <f t="shared" si="5"/>
        <v>0</v>
      </c>
      <c r="O608" s="5">
        <f t="shared" si="6"/>
        <v>1879.516005</v>
      </c>
      <c r="P608" s="5">
        <f t="shared" si="9"/>
        <v>1879.516005</v>
      </c>
      <c r="Q608" s="5">
        <f t="shared" si="7"/>
        <v>1879.516005</v>
      </c>
      <c r="R608" s="5">
        <f t="shared" si="8"/>
        <v>0</v>
      </c>
    </row>
    <row r="609" ht="15.75" customHeight="1">
      <c r="A609" s="4">
        <v>2014.0</v>
      </c>
      <c r="B609" s="4">
        <v>308.0</v>
      </c>
      <c r="C609" s="4" t="s">
        <v>20</v>
      </c>
      <c r="D609" s="5" t="s">
        <v>19</v>
      </c>
      <c r="E609" s="5" t="str">
        <f t="shared" si="1"/>
        <v/>
      </c>
      <c r="F609" s="5" t="str">
        <f t="shared" si="2"/>
        <v/>
      </c>
      <c r="G609" s="5">
        <v>8251.032012786685</v>
      </c>
      <c r="H609" s="5">
        <v>3196.585323939517</v>
      </c>
      <c r="I609" s="5">
        <v>5054.446688847169</v>
      </c>
      <c r="J609" s="5">
        <v>3464.7936725187747</v>
      </c>
      <c r="K609" s="5">
        <f t="shared" si="3"/>
        <v>3464.793673</v>
      </c>
      <c r="L609" s="5">
        <f t="shared" si="4"/>
        <v>0</v>
      </c>
      <c r="M609" s="5">
        <v>28573.931952354367</v>
      </c>
      <c r="N609" s="5">
        <f t="shared" si="5"/>
        <v>0</v>
      </c>
      <c r="O609" s="5">
        <f t="shared" si="6"/>
        <v>28573.93195</v>
      </c>
      <c r="P609" s="5">
        <f t="shared" si="9"/>
        <v>40289.75764</v>
      </c>
      <c r="Q609" s="5">
        <f t="shared" si="7"/>
        <v>33628.37864</v>
      </c>
      <c r="R609" s="5">
        <f t="shared" si="8"/>
        <v>6661.378996</v>
      </c>
    </row>
    <row r="610" ht="15.75" customHeight="1">
      <c r="A610" s="4">
        <v>2014.0</v>
      </c>
      <c r="B610" s="4">
        <v>309.0</v>
      </c>
      <c r="C610" s="4" t="s">
        <v>20</v>
      </c>
      <c r="D610" s="5" t="s">
        <v>19</v>
      </c>
      <c r="E610" s="5" t="str">
        <f t="shared" si="1"/>
        <v/>
      </c>
      <c r="F610" s="5" t="str">
        <f t="shared" si="2"/>
        <v/>
      </c>
      <c r="G610" s="5" t="s">
        <v>19</v>
      </c>
      <c r="H610" s="5" t="s">
        <v>19</v>
      </c>
      <c r="I610" s="5" t="s">
        <v>19</v>
      </c>
      <c r="J610" s="5">
        <v>0.0</v>
      </c>
      <c r="K610" s="5">
        <f t="shared" si="3"/>
        <v>0</v>
      </c>
      <c r="L610" s="5">
        <f t="shared" si="4"/>
        <v>0</v>
      </c>
      <c r="M610" s="5">
        <v>1566.2633372234623</v>
      </c>
      <c r="N610" s="5">
        <f t="shared" si="5"/>
        <v>0</v>
      </c>
      <c r="O610" s="5">
        <f t="shared" si="6"/>
        <v>1566.263337</v>
      </c>
      <c r="P610" s="5">
        <f t="shared" si="9"/>
        <v>1566.263337</v>
      </c>
      <c r="Q610" s="5">
        <f t="shared" si="7"/>
        <v>1566.263337</v>
      </c>
      <c r="R610" s="5">
        <f t="shared" si="8"/>
        <v>0</v>
      </c>
    </row>
    <row r="611" ht="15.75" customHeight="1">
      <c r="A611" s="4">
        <v>2014.0</v>
      </c>
      <c r="B611" s="4">
        <v>310.0</v>
      </c>
      <c r="C611" s="4" t="s">
        <v>20</v>
      </c>
      <c r="D611" s="5" t="s">
        <v>19</v>
      </c>
      <c r="E611" s="5" t="str">
        <f t="shared" si="1"/>
        <v/>
      </c>
      <c r="F611" s="5" t="str">
        <f t="shared" si="2"/>
        <v/>
      </c>
      <c r="G611" s="5" t="s">
        <v>19</v>
      </c>
      <c r="H611" s="5" t="s">
        <v>19</v>
      </c>
      <c r="I611" s="5" t="s">
        <v>19</v>
      </c>
      <c r="J611" s="5">
        <v>2689.047832565456</v>
      </c>
      <c r="K611" s="5">
        <f t="shared" si="3"/>
        <v>2689.047833</v>
      </c>
      <c r="L611" s="5">
        <f t="shared" si="4"/>
        <v>0</v>
      </c>
      <c r="M611" s="5">
        <v>1645.4037080982343</v>
      </c>
      <c r="N611" s="5">
        <f t="shared" si="5"/>
        <v>0</v>
      </c>
      <c r="O611" s="5">
        <f t="shared" si="6"/>
        <v>1645.403708</v>
      </c>
      <c r="P611" s="5">
        <f t="shared" si="9"/>
        <v>4334.451541</v>
      </c>
      <c r="Q611" s="5">
        <f t="shared" si="7"/>
        <v>1645.403708</v>
      </c>
      <c r="R611" s="5">
        <f t="shared" si="8"/>
        <v>2689.047833</v>
      </c>
    </row>
    <row r="612" ht="15.75" customHeight="1">
      <c r="A612" s="4">
        <v>2014.0</v>
      </c>
      <c r="B612" s="4">
        <v>311.0</v>
      </c>
      <c r="C612" s="4" t="s">
        <v>20</v>
      </c>
      <c r="D612" s="5">
        <v>3405.066635122791</v>
      </c>
      <c r="E612" s="5">
        <f t="shared" si="1"/>
        <v>0</v>
      </c>
      <c r="F612" s="5">
        <f t="shared" si="2"/>
        <v>3405.066635</v>
      </c>
      <c r="G612" s="5">
        <v>2280.8217355896077</v>
      </c>
      <c r="H612" s="5">
        <v>866.009667546174</v>
      </c>
      <c r="I612" s="5">
        <v>1414.8120680434336</v>
      </c>
      <c r="J612" s="5">
        <v>5122.947390907247</v>
      </c>
      <c r="K612" s="5">
        <f t="shared" si="3"/>
        <v>5122.947391</v>
      </c>
      <c r="L612" s="5">
        <f t="shared" si="4"/>
        <v>0</v>
      </c>
      <c r="M612" s="5">
        <v>545.1410056829714</v>
      </c>
      <c r="N612" s="5">
        <f t="shared" si="5"/>
        <v>0</v>
      </c>
      <c r="O612" s="5">
        <f t="shared" si="6"/>
        <v>545.1410057</v>
      </c>
      <c r="P612" s="5">
        <f t="shared" si="9"/>
        <v>11353.97677</v>
      </c>
      <c r="Q612" s="5">
        <f t="shared" si="7"/>
        <v>5365.019709</v>
      </c>
      <c r="R612" s="5">
        <f t="shared" si="8"/>
        <v>5988.957058</v>
      </c>
    </row>
    <row r="613" ht="15.75" customHeight="1">
      <c r="A613" s="4">
        <v>2014.0</v>
      </c>
      <c r="B613" s="4">
        <v>312.0</v>
      </c>
      <c r="C613" s="4" t="s">
        <v>20</v>
      </c>
      <c r="D613" s="5">
        <v>8180.001319895469</v>
      </c>
      <c r="E613" s="5">
        <f t="shared" si="1"/>
        <v>0</v>
      </c>
      <c r="F613" s="5">
        <f t="shared" si="2"/>
        <v>8180.00132</v>
      </c>
      <c r="G613" s="5" t="s">
        <v>19</v>
      </c>
      <c r="H613" s="5" t="s">
        <v>19</v>
      </c>
      <c r="I613" s="5" t="s">
        <v>19</v>
      </c>
      <c r="J613" s="5">
        <v>18670.679953115487</v>
      </c>
      <c r="K613" s="5">
        <f t="shared" si="3"/>
        <v>18670.67995</v>
      </c>
      <c r="L613" s="5">
        <f t="shared" si="4"/>
        <v>0</v>
      </c>
      <c r="M613" s="5">
        <v>1328.9507103714222</v>
      </c>
      <c r="N613" s="5">
        <f t="shared" si="5"/>
        <v>0</v>
      </c>
      <c r="O613" s="5">
        <f t="shared" si="6"/>
        <v>1328.95071</v>
      </c>
      <c r="P613" s="5">
        <f t="shared" si="9"/>
        <v>28179.63198</v>
      </c>
      <c r="Q613" s="5">
        <f t="shared" si="7"/>
        <v>9508.95203</v>
      </c>
      <c r="R613" s="5">
        <f t="shared" si="8"/>
        <v>18670.67995</v>
      </c>
    </row>
    <row r="614" ht="15.75" customHeight="1">
      <c r="A614" s="4">
        <v>2014.0</v>
      </c>
      <c r="B614" s="4">
        <v>313.0</v>
      </c>
      <c r="C614" s="4" t="s">
        <v>20</v>
      </c>
      <c r="D614" s="5">
        <v>37594.73954472801</v>
      </c>
      <c r="E614" s="5">
        <f t="shared" si="1"/>
        <v>0</v>
      </c>
      <c r="F614" s="5">
        <f t="shared" si="2"/>
        <v>37594.73954</v>
      </c>
      <c r="G614" s="5">
        <v>1353.5738042926732</v>
      </c>
      <c r="H614" s="5">
        <v>607.698690988431</v>
      </c>
      <c r="I614" s="5">
        <v>745.8751133042422</v>
      </c>
      <c r="J614" s="5">
        <v>0.0</v>
      </c>
      <c r="K614" s="5">
        <f t="shared" si="3"/>
        <v>0</v>
      </c>
      <c r="L614" s="5">
        <f t="shared" si="4"/>
        <v>0</v>
      </c>
      <c r="M614" s="5">
        <v>5229.55665252689</v>
      </c>
      <c r="N614" s="5">
        <f t="shared" si="5"/>
        <v>0</v>
      </c>
      <c r="O614" s="5">
        <f t="shared" si="6"/>
        <v>5229.556653</v>
      </c>
      <c r="P614" s="5">
        <f t="shared" si="9"/>
        <v>44177.87</v>
      </c>
      <c r="Q614" s="5">
        <f t="shared" si="7"/>
        <v>43570.17131</v>
      </c>
      <c r="R614" s="5">
        <f t="shared" si="8"/>
        <v>607.698691</v>
      </c>
    </row>
    <row r="615" ht="15.75" customHeight="1">
      <c r="A615" s="4">
        <v>2014.0</v>
      </c>
      <c r="B615" s="4">
        <v>314.0</v>
      </c>
      <c r="C615" s="4" t="s">
        <v>20</v>
      </c>
      <c r="D615" s="5" t="s">
        <v>19</v>
      </c>
      <c r="E615" s="5" t="str">
        <f t="shared" si="1"/>
        <v/>
      </c>
      <c r="F615" s="5" t="str">
        <f t="shared" si="2"/>
        <v/>
      </c>
      <c r="G615" s="5">
        <v>607.1782524862999</v>
      </c>
      <c r="H615" s="5">
        <v>347.82639892429466</v>
      </c>
      <c r="I615" s="5">
        <v>259.35185356200526</v>
      </c>
      <c r="J615" s="5">
        <v>1560.6557956159936</v>
      </c>
      <c r="K615" s="5">
        <f t="shared" si="3"/>
        <v>1560.655796</v>
      </c>
      <c r="L615" s="5">
        <f t="shared" si="4"/>
        <v>0</v>
      </c>
      <c r="M615" s="5">
        <v>2415.1645052770446</v>
      </c>
      <c r="N615" s="5">
        <f t="shared" si="5"/>
        <v>0</v>
      </c>
      <c r="O615" s="5">
        <f t="shared" si="6"/>
        <v>2415.164505</v>
      </c>
      <c r="P615" s="5">
        <f t="shared" si="9"/>
        <v>4582.998553</v>
      </c>
      <c r="Q615" s="5">
        <f t="shared" si="7"/>
        <v>2674.516359</v>
      </c>
      <c r="R615" s="5">
        <f t="shared" si="8"/>
        <v>1908.482195</v>
      </c>
    </row>
    <row r="616" ht="15.75" customHeight="1">
      <c r="A616" s="4">
        <v>2014.0</v>
      </c>
      <c r="B616" s="4">
        <v>320.0</v>
      </c>
      <c r="C616" s="4" t="s">
        <v>20</v>
      </c>
      <c r="D616" s="5">
        <v>241020.16867954115</v>
      </c>
      <c r="E616" s="5">
        <f t="shared" si="1"/>
        <v>0</v>
      </c>
      <c r="F616" s="5">
        <f t="shared" si="2"/>
        <v>241020.1687</v>
      </c>
      <c r="G616" s="5">
        <v>33972.05692536026</v>
      </c>
      <c r="H616" s="5">
        <v>18015.846148772074</v>
      </c>
      <c r="I616" s="5">
        <v>15956.210776588185</v>
      </c>
      <c r="J616" s="5">
        <v>41976.98994108991</v>
      </c>
      <c r="K616" s="5">
        <f t="shared" si="3"/>
        <v>41976.98994</v>
      </c>
      <c r="L616" s="5">
        <f t="shared" si="4"/>
        <v>0</v>
      </c>
      <c r="M616" s="5">
        <v>43028.30503587374</v>
      </c>
      <c r="N616" s="5">
        <f t="shared" si="5"/>
        <v>0</v>
      </c>
      <c r="O616" s="5">
        <f t="shared" si="6"/>
        <v>43028.30504</v>
      </c>
      <c r="P616" s="5">
        <f t="shared" si="9"/>
        <v>359997.5206</v>
      </c>
      <c r="Q616" s="5">
        <f t="shared" si="7"/>
        <v>300004.6845</v>
      </c>
      <c r="R616" s="5">
        <f t="shared" si="8"/>
        <v>59992.83609</v>
      </c>
    </row>
    <row r="617" ht="15.75" customHeight="1">
      <c r="A617" s="4">
        <v>2014.0</v>
      </c>
      <c r="B617" s="4">
        <v>321.0</v>
      </c>
      <c r="C617" s="4" t="s">
        <v>20</v>
      </c>
      <c r="D617" s="5">
        <v>115837.56303390494</v>
      </c>
      <c r="E617" s="5">
        <f t="shared" si="1"/>
        <v>0</v>
      </c>
      <c r="F617" s="5">
        <f t="shared" si="2"/>
        <v>115837.563</v>
      </c>
      <c r="G617" s="5">
        <v>11116.5664055206</v>
      </c>
      <c r="H617" s="5">
        <v>6156.006822457885</v>
      </c>
      <c r="I617" s="5">
        <v>4960.559583062714</v>
      </c>
      <c r="J617" s="5">
        <v>12575.164943880658</v>
      </c>
      <c r="K617" s="5">
        <f t="shared" si="3"/>
        <v>12575.16494</v>
      </c>
      <c r="L617" s="5">
        <f t="shared" si="4"/>
        <v>0</v>
      </c>
      <c r="M617" s="5">
        <v>8169.1413809823425</v>
      </c>
      <c r="N617" s="5">
        <f t="shared" si="5"/>
        <v>0</v>
      </c>
      <c r="O617" s="5">
        <f t="shared" si="6"/>
        <v>8169.141381</v>
      </c>
      <c r="P617" s="5">
        <f t="shared" si="9"/>
        <v>147698.4358</v>
      </c>
      <c r="Q617" s="5">
        <f t="shared" si="7"/>
        <v>128967.264</v>
      </c>
      <c r="R617" s="5">
        <f t="shared" si="8"/>
        <v>18731.17177</v>
      </c>
    </row>
    <row r="618" ht="15.75" customHeight="1">
      <c r="A618" s="4">
        <v>2014.0</v>
      </c>
      <c r="B618" s="4">
        <v>322.0</v>
      </c>
      <c r="C618" s="4" t="s">
        <v>20</v>
      </c>
      <c r="D618" s="5">
        <v>20964.089947686203</v>
      </c>
      <c r="E618" s="5">
        <f t="shared" si="1"/>
        <v>0</v>
      </c>
      <c r="F618" s="5">
        <f t="shared" si="2"/>
        <v>20964.08995</v>
      </c>
      <c r="G618" s="5">
        <v>2248.728027958189</v>
      </c>
      <c r="H618" s="5">
        <v>564.242076060483</v>
      </c>
      <c r="I618" s="5">
        <v>1684.4859518977062</v>
      </c>
      <c r="J618" s="5">
        <v>0.0</v>
      </c>
      <c r="K618" s="5">
        <f t="shared" si="3"/>
        <v>0</v>
      </c>
      <c r="L618" s="5">
        <f t="shared" si="4"/>
        <v>0</v>
      </c>
      <c r="M618" s="5">
        <v>30566.666421113245</v>
      </c>
      <c r="N618" s="5">
        <f t="shared" si="5"/>
        <v>0</v>
      </c>
      <c r="O618" s="5">
        <f t="shared" si="6"/>
        <v>30566.66642</v>
      </c>
      <c r="P618" s="5">
        <f t="shared" si="9"/>
        <v>53779.4844</v>
      </c>
      <c r="Q618" s="5">
        <f t="shared" si="7"/>
        <v>53215.24232</v>
      </c>
      <c r="R618" s="5">
        <f t="shared" si="8"/>
        <v>564.2420761</v>
      </c>
    </row>
    <row r="619" ht="15.75" customHeight="1">
      <c r="A619" s="4">
        <v>2014.0</v>
      </c>
      <c r="B619" s="4">
        <v>323.0</v>
      </c>
      <c r="C619" s="4" t="s">
        <v>20</v>
      </c>
      <c r="D619" s="5">
        <v>5621.092555510448</v>
      </c>
      <c r="E619" s="5">
        <f t="shared" si="1"/>
        <v>0</v>
      </c>
      <c r="F619" s="5">
        <f t="shared" si="2"/>
        <v>5621.092556</v>
      </c>
      <c r="G619" s="5" t="s">
        <v>19</v>
      </c>
      <c r="H619" s="5" t="s">
        <v>19</v>
      </c>
      <c r="I619" s="5" t="s">
        <v>19</v>
      </c>
      <c r="J619" s="5">
        <v>0.0</v>
      </c>
      <c r="K619" s="5">
        <f t="shared" si="3"/>
        <v>0</v>
      </c>
      <c r="L619" s="5">
        <f t="shared" si="4"/>
        <v>0</v>
      </c>
      <c r="M619" s="5">
        <v>207388.12839918805</v>
      </c>
      <c r="N619" s="5">
        <f t="shared" si="5"/>
        <v>0</v>
      </c>
      <c r="O619" s="5">
        <f t="shared" si="6"/>
        <v>207388.1284</v>
      </c>
      <c r="P619" s="5">
        <f t="shared" si="9"/>
        <v>213009.221</v>
      </c>
      <c r="Q619" s="5">
        <f t="shared" si="7"/>
        <v>213009.221</v>
      </c>
      <c r="R619" s="5">
        <f t="shared" si="8"/>
        <v>0</v>
      </c>
    </row>
    <row r="620" ht="15.75" customHeight="1">
      <c r="A620" s="4">
        <v>2014.0</v>
      </c>
      <c r="B620" s="4">
        <v>324.0</v>
      </c>
      <c r="C620" s="4" t="s">
        <v>20</v>
      </c>
      <c r="D620" s="5">
        <v>28540.30380632229</v>
      </c>
      <c r="E620" s="5">
        <f t="shared" si="1"/>
        <v>0</v>
      </c>
      <c r="F620" s="5">
        <f t="shared" si="2"/>
        <v>28540.30381</v>
      </c>
      <c r="G620" s="5">
        <v>4000.870985132941</v>
      </c>
      <c r="H620" s="5">
        <v>1265.1859986807387</v>
      </c>
      <c r="I620" s="5">
        <v>2735.684986452202</v>
      </c>
      <c r="J620" s="5">
        <v>199.8190643393546</v>
      </c>
      <c r="K620" s="5">
        <f t="shared" si="3"/>
        <v>199.8190643</v>
      </c>
      <c r="L620" s="5">
        <f t="shared" si="4"/>
        <v>0</v>
      </c>
      <c r="M620" s="5">
        <v>196004.09252115886</v>
      </c>
      <c r="N620" s="5">
        <f t="shared" si="5"/>
        <v>0</v>
      </c>
      <c r="O620" s="5">
        <f t="shared" si="6"/>
        <v>196004.0925</v>
      </c>
      <c r="P620" s="5">
        <f t="shared" si="9"/>
        <v>228745.0864</v>
      </c>
      <c r="Q620" s="5">
        <f t="shared" si="7"/>
        <v>227280.0813</v>
      </c>
      <c r="R620" s="5">
        <f t="shared" si="8"/>
        <v>1465.005063</v>
      </c>
    </row>
    <row r="621" ht="15.75" customHeight="1">
      <c r="A621" s="4">
        <v>2014.0</v>
      </c>
      <c r="B621" s="4">
        <v>325.0</v>
      </c>
      <c r="C621" s="4" t="s">
        <v>20</v>
      </c>
      <c r="D621" s="5">
        <v>26855.116606301992</v>
      </c>
      <c r="E621" s="5">
        <f t="shared" si="1"/>
        <v>0</v>
      </c>
      <c r="F621" s="5">
        <f t="shared" si="2"/>
        <v>26855.11661</v>
      </c>
      <c r="G621" s="5" t="s">
        <v>19</v>
      </c>
      <c r="H621" s="5" t="s">
        <v>19</v>
      </c>
      <c r="I621" s="5" t="s">
        <v>19</v>
      </c>
      <c r="J621" s="5">
        <v>0.0</v>
      </c>
      <c r="K621" s="5">
        <f t="shared" si="3"/>
        <v>0</v>
      </c>
      <c r="L621" s="5">
        <f t="shared" si="4"/>
        <v>0</v>
      </c>
      <c r="M621" s="5">
        <v>9295.467790186725</v>
      </c>
      <c r="N621" s="5">
        <f t="shared" si="5"/>
        <v>0</v>
      </c>
      <c r="O621" s="5">
        <f t="shared" si="6"/>
        <v>9295.46779</v>
      </c>
      <c r="P621" s="5">
        <f t="shared" si="9"/>
        <v>36150.5844</v>
      </c>
      <c r="Q621" s="5">
        <f t="shared" si="7"/>
        <v>36150.5844</v>
      </c>
      <c r="R621" s="5">
        <f t="shared" si="8"/>
        <v>0</v>
      </c>
    </row>
    <row r="622" ht="15.75" customHeight="1">
      <c r="A622" s="4">
        <v>2014.0</v>
      </c>
      <c r="B622" s="4">
        <v>326.0</v>
      </c>
      <c r="C622" s="4" t="s">
        <v>20</v>
      </c>
      <c r="D622" s="5" t="s">
        <v>19</v>
      </c>
      <c r="E622" s="5" t="str">
        <f t="shared" si="1"/>
        <v/>
      </c>
      <c r="F622" s="5" t="str">
        <f t="shared" si="2"/>
        <v/>
      </c>
      <c r="G622" s="5" t="s">
        <v>19</v>
      </c>
      <c r="H622" s="5" t="s">
        <v>19</v>
      </c>
      <c r="I622" s="5" t="s">
        <v>19</v>
      </c>
      <c r="J622" s="5">
        <v>0.0</v>
      </c>
      <c r="K622" s="5">
        <f t="shared" si="3"/>
        <v>0</v>
      </c>
      <c r="L622" s="5">
        <f t="shared" si="4"/>
        <v>0</v>
      </c>
      <c r="M622" s="5">
        <v>4523.31427501522</v>
      </c>
      <c r="N622" s="5">
        <f t="shared" si="5"/>
        <v>0</v>
      </c>
      <c r="O622" s="5">
        <f t="shared" si="6"/>
        <v>4523.314275</v>
      </c>
      <c r="P622" s="5">
        <f t="shared" si="9"/>
        <v>4523.314275</v>
      </c>
      <c r="Q622" s="5">
        <f t="shared" si="7"/>
        <v>4523.314275</v>
      </c>
      <c r="R622" s="5">
        <f t="shared" si="8"/>
        <v>0</v>
      </c>
    </row>
    <row r="623" ht="15.75" customHeight="1">
      <c r="A623" s="4">
        <v>2014.0</v>
      </c>
      <c r="B623" s="4">
        <v>327.0</v>
      </c>
      <c r="C623" s="4" t="s">
        <v>20</v>
      </c>
      <c r="D623" s="5">
        <v>133854.33375511458</v>
      </c>
      <c r="E623" s="5">
        <f t="shared" si="1"/>
        <v>0</v>
      </c>
      <c r="F623" s="5">
        <f t="shared" si="2"/>
        <v>133854.3338</v>
      </c>
      <c r="G623" s="5">
        <v>30583.56857773493</v>
      </c>
      <c r="H623" s="5">
        <v>11096.789742439618</v>
      </c>
      <c r="I623" s="5">
        <v>19486.778835295314</v>
      </c>
      <c r="J623" s="5">
        <v>113.69015729652934</v>
      </c>
      <c r="K623" s="5">
        <f t="shared" si="3"/>
        <v>113.6901573</v>
      </c>
      <c r="L623" s="5">
        <f t="shared" si="4"/>
        <v>0</v>
      </c>
      <c r="M623" s="5">
        <v>60794.89791489241</v>
      </c>
      <c r="N623" s="5">
        <f t="shared" si="5"/>
        <v>0</v>
      </c>
      <c r="O623" s="5">
        <f t="shared" si="6"/>
        <v>60794.89791</v>
      </c>
      <c r="P623" s="5">
        <f t="shared" si="9"/>
        <v>225346.4904</v>
      </c>
      <c r="Q623" s="5">
        <f t="shared" si="7"/>
        <v>214136.0105</v>
      </c>
      <c r="R623" s="5">
        <f t="shared" si="8"/>
        <v>11210.4799</v>
      </c>
    </row>
    <row r="624" ht="15.75" customHeight="1">
      <c r="A624" s="4">
        <v>2014.0</v>
      </c>
      <c r="B624" s="4">
        <v>328.0</v>
      </c>
      <c r="C624" s="4" t="s">
        <v>20</v>
      </c>
      <c r="D624" s="5">
        <v>7656.528759031859</v>
      </c>
      <c r="E624" s="5">
        <f t="shared" si="1"/>
        <v>0</v>
      </c>
      <c r="F624" s="5">
        <f t="shared" si="2"/>
        <v>7656.528759</v>
      </c>
      <c r="G624" s="5" t="s">
        <v>19</v>
      </c>
      <c r="H624" s="5" t="s">
        <v>19</v>
      </c>
      <c r="I624" s="5" t="s">
        <v>19</v>
      </c>
      <c r="J624" s="5">
        <v>0.0</v>
      </c>
      <c r="K624" s="5">
        <f t="shared" si="3"/>
        <v>0</v>
      </c>
      <c r="L624" s="5">
        <f t="shared" si="4"/>
        <v>0</v>
      </c>
      <c r="M624" s="5">
        <v>48583.86143408767</v>
      </c>
      <c r="N624" s="5">
        <f t="shared" si="5"/>
        <v>0</v>
      </c>
      <c r="O624" s="5">
        <f t="shared" si="6"/>
        <v>48583.86143</v>
      </c>
      <c r="P624" s="5">
        <f t="shared" si="9"/>
        <v>56240.39019</v>
      </c>
      <c r="Q624" s="5">
        <f t="shared" si="7"/>
        <v>56240.39019</v>
      </c>
      <c r="R624" s="5">
        <f t="shared" si="8"/>
        <v>0</v>
      </c>
    </row>
    <row r="625" ht="15.75" customHeight="1">
      <c r="A625" s="4">
        <v>2014.0</v>
      </c>
      <c r="B625" s="4">
        <v>331.0</v>
      </c>
      <c r="C625" s="4" t="s">
        <v>20</v>
      </c>
      <c r="D625" s="5">
        <v>218339.38337860245</v>
      </c>
      <c r="E625" s="5">
        <f t="shared" si="1"/>
        <v>0</v>
      </c>
      <c r="F625" s="5">
        <f t="shared" si="2"/>
        <v>218339.3834</v>
      </c>
      <c r="G625" s="5">
        <v>137461.8602523848</v>
      </c>
      <c r="H625" s="5">
        <v>37103.049650081186</v>
      </c>
      <c r="I625" s="5">
        <v>100358.81060230361</v>
      </c>
      <c r="J625" s="5">
        <v>3907.4618031560785</v>
      </c>
      <c r="K625" s="5">
        <f t="shared" si="3"/>
        <v>3907.461803</v>
      </c>
      <c r="L625" s="5">
        <f t="shared" si="4"/>
        <v>0</v>
      </c>
      <c r="M625" s="5">
        <v>65863.7464565151</v>
      </c>
      <c r="N625" s="5">
        <f t="shared" si="5"/>
        <v>0</v>
      </c>
      <c r="O625" s="5">
        <f t="shared" si="6"/>
        <v>65863.74646</v>
      </c>
      <c r="P625" s="5">
        <f t="shared" si="9"/>
        <v>425572.4519</v>
      </c>
      <c r="Q625" s="5">
        <f t="shared" si="7"/>
        <v>384561.9404</v>
      </c>
      <c r="R625" s="5">
        <f t="shared" si="8"/>
        <v>41010.51145</v>
      </c>
    </row>
    <row r="626" ht="15.75" customHeight="1">
      <c r="A626" s="4">
        <v>2014.0</v>
      </c>
      <c r="B626" s="4">
        <v>332.0</v>
      </c>
      <c r="C626" s="4" t="s">
        <v>20</v>
      </c>
      <c r="D626" s="5">
        <v>2233.1344198802503</v>
      </c>
      <c r="E626" s="5">
        <f t="shared" si="1"/>
        <v>0</v>
      </c>
      <c r="F626" s="5">
        <f t="shared" si="2"/>
        <v>2233.13442</v>
      </c>
      <c r="G626" s="5" t="s">
        <v>19</v>
      </c>
      <c r="H626" s="5" t="s">
        <v>19</v>
      </c>
      <c r="I626" s="5" t="s">
        <v>19</v>
      </c>
      <c r="J626" s="5">
        <v>0.0</v>
      </c>
      <c r="K626" s="5">
        <f t="shared" si="3"/>
        <v>0</v>
      </c>
      <c r="L626" s="5">
        <f t="shared" si="4"/>
        <v>0</v>
      </c>
      <c r="M626" s="5">
        <v>8969.061222853663</v>
      </c>
      <c r="N626" s="5">
        <f t="shared" si="5"/>
        <v>0</v>
      </c>
      <c r="O626" s="5">
        <f t="shared" si="6"/>
        <v>8969.061223</v>
      </c>
      <c r="P626" s="5">
        <f t="shared" si="9"/>
        <v>11202.19564</v>
      </c>
      <c r="Q626" s="5">
        <f t="shared" si="7"/>
        <v>11202.19564</v>
      </c>
      <c r="R626" s="5">
        <f t="shared" si="8"/>
        <v>0</v>
      </c>
    </row>
    <row r="627" ht="15.75" customHeight="1">
      <c r="A627" s="4">
        <v>2014.0</v>
      </c>
      <c r="B627" s="4">
        <v>333.0</v>
      </c>
      <c r="C627" s="4" t="s">
        <v>20</v>
      </c>
      <c r="D627" s="5">
        <v>11746.885846052359</v>
      </c>
      <c r="E627" s="5">
        <f t="shared" si="1"/>
        <v>0</v>
      </c>
      <c r="F627" s="5">
        <f t="shared" si="2"/>
        <v>11746.88585</v>
      </c>
      <c r="G627" s="5" t="s">
        <v>19</v>
      </c>
      <c r="H627" s="5" t="s">
        <v>19</v>
      </c>
      <c r="I627" s="5" t="s">
        <v>19</v>
      </c>
      <c r="J627" s="5">
        <v>0.0</v>
      </c>
      <c r="K627" s="5">
        <f t="shared" si="3"/>
        <v>0</v>
      </c>
      <c r="L627" s="5">
        <f t="shared" si="4"/>
        <v>0</v>
      </c>
      <c r="M627" s="5">
        <v>3845.68501994114</v>
      </c>
      <c r="N627" s="5">
        <f t="shared" si="5"/>
        <v>0</v>
      </c>
      <c r="O627" s="5">
        <f t="shared" si="6"/>
        <v>3845.68502</v>
      </c>
      <c r="P627" s="5">
        <f t="shared" si="9"/>
        <v>15592.57087</v>
      </c>
      <c r="Q627" s="5">
        <f t="shared" si="7"/>
        <v>15592.57087</v>
      </c>
      <c r="R627" s="5">
        <f t="shared" si="8"/>
        <v>0</v>
      </c>
    </row>
    <row r="628" ht="15.75" customHeight="1">
      <c r="A628" s="4">
        <v>2014.0</v>
      </c>
      <c r="B628" s="4">
        <v>400.0</v>
      </c>
      <c r="C628" s="4" t="s">
        <v>21</v>
      </c>
      <c r="D628" s="5" t="s">
        <v>19</v>
      </c>
      <c r="E628" s="5" t="str">
        <f t="shared" si="1"/>
        <v/>
      </c>
      <c r="F628" s="5" t="str">
        <f t="shared" si="2"/>
        <v/>
      </c>
      <c r="G628" s="5">
        <v>1720.4103801096</v>
      </c>
      <c r="H628" s="5">
        <v>1319.3304657438603</v>
      </c>
      <c r="I628" s="5">
        <v>401.0799143657398</v>
      </c>
      <c r="J628" s="5">
        <v>62314.60546255835</v>
      </c>
      <c r="K628" s="5">
        <f t="shared" si="3"/>
        <v>62314.60546</v>
      </c>
      <c r="L628" s="5">
        <f t="shared" si="4"/>
        <v>0</v>
      </c>
      <c r="M628" s="5">
        <v>733.296016972803</v>
      </c>
      <c r="N628" s="5">
        <f t="shared" si="5"/>
        <v>0</v>
      </c>
      <c r="O628" s="5">
        <f t="shared" si="6"/>
        <v>733.296017</v>
      </c>
      <c r="P628" s="5">
        <f t="shared" si="9"/>
        <v>64768.31186</v>
      </c>
      <c r="Q628" s="5">
        <f t="shared" si="7"/>
        <v>1134.375931</v>
      </c>
      <c r="R628" s="5">
        <f t="shared" si="8"/>
        <v>63633.93593</v>
      </c>
    </row>
    <row r="629" ht="15.75" customHeight="1">
      <c r="A629" s="4">
        <v>2014.0</v>
      </c>
      <c r="B629" s="4">
        <v>401.0</v>
      </c>
      <c r="C629" s="4" t="s">
        <v>21</v>
      </c>
      <c r="D629" s="5">
        <v>4904.590453724372</v>
      </c>
      <c r="E629" s="5">
        <f t="shared" si="1"/>
        <v>0</v>
      </c>
      <c r="F629" s="5">
        <f t="shared" si="2"/>
        <v>4904.590454</v>
      </c>
      <c r="G629" s="5">
        <v>20732.233128962856</v>
      </c>
      <c r="H629" s="5">
        <v>16171.5878246235</v>
      </c>
      <c r="I629" s="5">
        <v>4560.645304339356</v>
      </c>
      <c r="J629" s="5">
        <v>290256.6904152984</v>
      </c>
      <c r="K629" s="5">
        <f t="shared" si="3"/>
        <v>290256.6904</v>
      </c>
      <c r="L629" s="5">
        <f t="shared" si="4"/>
        <v>0</v>
      </c>
      <c r="M629" s="5">
        <v>1386.1622950071041</v>
      </c>
      <c r="N629" s="5">
        <f t="shared" si="5"/>
        <v>0</v>
      </c>
      <c r="O629" s="5">
        <f t="shared" si="6"/>
        <v>1386.162295</v>
      </c>
      <c r="P629" s="5">
        <f t="shared" si="9"/>
        <v>317279.6763</v>
      </c>
      <c r="Q629" s="5">
        <f t="shared" si="7"/>
        <v>10851.39805</v>
      </c>
      <c r="R629" s="5">
        <f t="shared" si="8"/>
        <v>306428.2782</v>
      </c>
    </row>
    <row r="630" ht="15.75" customHeight="1">
      <c r="A630" s="4">
        <v>2014.0</v>
      </c>
      <c r="B630" s="4">
        <v>402.0</v>
      </c>
      <c r="C630" s="4" t="s">
        <v>21</v>
      </c>
      <c r="D630" s="5">
        <v>388.3619611325348</v>
      </c>
      <c r="E630" s="5">
        <f t="shared" si="1"/>
        <v>0</v>
      </c>
      <c r="F630" s="5">
        <f t="shared" si="2"/>
        <v>388.3619611</v>
      </c>
      <c r="G630" s="5">
        <v>6106.654347879034</v>
      </c>
      <c r="H630" s="5">
        <v>4154.3052960422165</v>
      </c>
      <c r="I630" s="5">
        <v>1952.3490518368171</v>
      </c>
      <c r="J630" s="5">
        <v>244093.10978790338</v>
      </c>
      <c r="K630" s="5">
        <f t="shared" si="3"/>
        <v>244093.1098</v>
      </c>
      <c r="L630" s="5">
        <f t="shared" si="4"/>
        <v>0</v>
      </c>
      <c r="M630" s="5">
        <v>729.486187233611</v>
      </c>
      <c r="N630" s="5">
        <f t="shared" si="5"/>
        <v>0</v>
      </c>
      <c r="O630" s="5">
        <f t="shared" si="6"/>
        <v>729.4861872</v>
      </c>
      <c r="P630" s="5">
        <f t="shared" si="9"/>
        <v>251317.6123</v>
      </c>
      <c r="Q630" s="5">
        <f t="shared" si="7"/>
        <v>3070.1972</v>
      </c>
      <c r="R630" s="5">
        <f t="shared" si="8"/>
        <v>248247.4151</v>
      </c>
    </row>
    <row r="631" ht="15.75" customHeight="1">
      <c r="A631" s="4">
        <v>2014.0</v>
      </c>
      <c r="B631" s="4">
        <v>403.0</v>
      </c>
      <c r="C631" s="4" t="s">
        <v>21</v>
      </c>
      <c r="D631" s="5">
        <v>4695.904387862794</v>
      </c>
      <c r="E631" s="5">
        <f t="shared" si="1"/>
        <v>0</v>
      </c>
      <c r="F631" s="5">
        <f t="shared" si="2"/>
        <v>4695.904388</v>
      </c>
      <c r="G631" s="5">
        <v>29111.068222934846</v>
      </c>
      <c r="H631" s="5">
        <v>17430.86330341384</v>
      </c>
      <c r="I631" s="5">
        <v>11680.204919521006</v>
      </c>
      <c r="J631" s="5">
        <v>536737.6013714583</v>
      </c>
      <c r="K631" s="5">
        <f t="shared" si="3"/>
        <v>536737.6014</v>
      </c>
      <c r="L631" s="5">
        <f t="shared" si="4"/>
        <v>0</v>
      </c>
      <c r="M631" s="5">
        <v>20683.773462969373</v>
      </c>
      <c r="N631" s="5">
        <f t="shared" si="5"/>
        <v>0</v>
      </c>
      <c r="O631" s="5">
        <f t="shared" si="6"/>
        <v>20683.77346</v>
      </c>
      <c r="P631" s="5">
        <f t="shared" si="9"/>
        <v>591228.3474</v>
      </c>
      <c r="Q631" s="5">
        <f t="shared" si="7"/>
        <v>37059.88277</v>
      </c>
      <c r="R631" s="5">
        <f t="shared" si="8"/>
        <v>554168.4647</v>
      </c>
    </row>
    <row r="632" ht="15.75" customHeight="1">
      <c r="A632" s="4">
        <v>2014.0</v>
      </c>
      <c r="B632" s="4">
        <v>404.0</v>
      </c>
      <c r="C632" s="4" t="s">
        <v>21</v>
      </c>
      <c r="D632" s="5">
        <v>4571.441397909475</v>
      </c>
      <c r="E632" s="5">
        <f t="shared" si="1"/>
        <v>0</v>
      </c>
      <c r="F632" s="5">
        <f t="shared" si="2"/>
        <v>4571.441398</v>
      </c>
      <c r="G632" s="5">
        <v>11317.0696143698</v>
      </c>
      <c r="H632" s="5">
        <v>5166.850898802518</v>
      </c>
      <c r="I632" s="5">
        <v>6150.218715567283</v>
      </c>
      <c r="J632" s="5">
        <v>172059.34816141668</v>
      </c>
      <c r="K632" s="5">
        <f t="shared" si="3"/>
        <v>172059.3482</v>
      </c>
      <c r="L632" s="5">
        <f t="shared" si="4"/>
        <v>0</v>
      </c>
      <c r="M632" s="5">
        <v>1685.5610361274612</v>
      </c>
      <c r="N632" s="5">
        <f t="shared" si="5"/>
        <v>0</v>
      </c>
      <c r="O632" s="5">
        <f t="shared" si="6"/>
        <v>1685.561036</v>
      </c>
      <c r="P632" s="5">
        <f t="shared" si="9"/>
        <v>189633.4202</v>
      </c>
      <c r="Q632" s="5">
        <f t="shared" si="7"/>
        <v>12407.22115</v>
      </c>
      <c r="R632" s="5">
        <f t="shared" si="8"/>
        <v>177226.1991</v>
      </c>
    </row>
    <row r="633" ht="15.75" customHeight="1">
      <c r="A633" s="4">
        <v>2014.0</v>
      </c>
      <c r="B633" s="4">
        <v>405.0</v>
      </c>
      <c r="C633" s="4" t="s">
        <v>21</v>
      </c>
      <c r="D633" s="5">
        <v>24326.431758169256</v>
      </c>
      <c r="E633" s="5">
        <f t="shared" si="1"/>
        <v>0</v>
      </c>
      <c r="F633" s="5">
        <f t="shared" si="2"/>
        <v>24326.43176</v>
      </c>
      <c r="G633" s="5">
        <v>14561.153869941138</v>
      </c>
      <c r="H633" s="5">
        <v>9281.341330010147</v>
      </c>
      <c r="I633" s="5">
        <v>5279.81253993099</v>
      </c>
      <c r="J633" s="5">
        <v>76802.62965981834</v>
      </c>
      <c r="K633" s="5">
        <f t="shared" si="3"/>
        <v>76802.62966</v>
      </c>
      <c r="L633" s="5">
        <f t="shared" si="4"/>
        <v>0</v>
      </c>
      <c r="M633" s="5">
        <v>271.6908884716868</v>
      </c>
      <c r="N633" s="5">
        <f t="shared" si="5"/>
        <v>0</v>
      </c>
      <c r="O633" s="5">
        <f t="shared" si="6"/>
        <v>271.6908885</v>
      </c>
      <c r="P633" s="5">
        <f t="shared" si="9"/>
        <v>115961.9062</v>
      </c>
      <c r="Q633" s="5">
        <f t="shared" si="7"/>
        <v>29877.93519</v>
      </c>
      <c r="R633" s="5">
        <f t="shared" si="8"/>
        <v>86083.97099</v>
      </c>
    </row>
    <row r="634" ht="15.75" customHeight="1">
      <c r="A634" s="4">
        <v>2014.0</v>
      </c>
      <c r="B634" s="4">
        <v>406.0</v>
      </c>
      <c r="C634" s="4" t="s">
        <v>21</v>
      </c>
      <c r="D634" s="5">
        <v>1525.3734858940522</v>
      </c>
      <c r="E634" s="5">
        <f t="shared" si="1"/>
        <v>0</v>
      </c>
      <c r="F634" s="5">
        <f t="shared" si="2"/>
        <v>1525.373486</v>
      </c>
      <c r="G634" s="5">
        <v>4486.994997686218</v>
      </c>
      <c r="H634" s="5">
        <v>2029.2633142114878</v>
      </c>
      <c r="I634" s="5">
        <v>2457.7316834747303</v>
      </c>
      <c r="J634" s="5">
        <v>61823.881189019696</v>
      </c>
      <c r="K634" s="5">
        <f t="shared" si="3"/>
        <v>61823.88119</v>
      </c>
      <c r="L634" s="5">
        <f t="shared" si="4"/>
        <v>0</v>
      </c>
      <c r="M634" s="5">
        <v>852.7861315201958</v>
      </c>
      <c r="N634" s="5">
        <f t="shared" si="5"/>
        <v>0</v>
      </c>
      <c r="O634" s="5">
        <f t="shared" si="6"/>
        <v>852.7861315</v>
      </c>
      <c r="P634" s="5">
        <f t="shared" si="9"/>
        <v>68689.0358</v>
      </c>
      <c r="Q634" s="5">
        <f t="shared" si="7"/>
        <v>4835.891301</v>
      </c>
      <c r="R634" s="5">
        <f t="shared" si="8"/>
        <v>63853.1445</v>
      </c>
    </row>
    <row r="635" ht="15.75" customHeight="1">
      <c r="A635" s="4">
        <v>2014.0</v>
      </c>
      <c r="B635" s="4">
        <v>407.0</v>
      </c>
      <c r="C635" s="4" t="s">
        <v>21</v>
      </c>
      <c r="D635" s="5">
        <v>13550.557101684586</v>
      </c>
      <c r="E635" s="5">
        <f t="shared" si="1"/>
        <v>0</v>
      </c>
      <c r="F635" s="5">
        <f t="shared" si="2"/>
        <v>13550.5571</v>
      </c>
      <c r="G635" s="5">
        <v>6867.120064542318</v>
      </c>
      <c r="H635" s="5">
        <v>5323.242033415871</v>
      </c>
      <c r="I635" s="5">
        <v>1543.8780311264463</v>
      </c>
      <c r="J635" s="5">
        <v>199564.27279762528</v>
      </c>
      <c r="K635" s="5">
        <f t="shared" si="3"/>
        <v>199564.2728</v>
      </c>
      <c r="L635" s="5">
        <f t="shared" si="4"/>
        <v>0</v>
      </c>
      <c r="M635" s="5">
        <v>75.0421009234829</v>
      </c>
      <c r="N635" s="5">
        <f t="shared" si="5"/>
        <v>0</v>
      </c>
      <c r="O635" s="5">
        <f t="shared" si="6"/>
        <v>75.04210092</v>
      </c>
      <c r="P635" s="5">
        <f t="shared" si="9"/>
        <v>220056.9921</v>
      </c>
      <c r="Q635" s="5">
        <f t="shared" si="7"/>
        <v>15169.47723</v>
      </c>
      <c r="R635" s="5">
        <f t="shared" si="8"/>
        <v>204887.5148</v>
      </c>
    </row>
    <row r="636" ht="15.75" customHeight="1">
      <c r="A636" s="4">
        <v>2014.0</v>
      </c>
      <c r="B636" s="4">
        <v>408.0</v>
      </c>
      <c r="C636" s="4" t="s">
        <v>21</v>
      </c>
      <c r="D636" s="5" t="s">
        <v>19</v>
      </c>
      <c r="E636" s="5" t="str">
        <f t="shared" si="1"/>
        <v/>
      </c>
      <c r="F636" s="5" t="str">
        <f t="shared" si="2"/>
        <v/>
      </c>
      <c r="G636" s="5">
        <v>2122.470380353156</v>
      </c>
      <c r="H636" s="5">
        <v>799.44436143698</v>
      </c>
      <c r="I636" s="5">
        <v>1323.026018916176</v>
      </c>
      <c r="J636" s="5">
        <v>64146.77585726608</v>
      </c>
      <c r="K636" s="5">
        <f t="shared" si="3"/>
        <v>64146.77586</v>
      </c>
      <c r="L636" s="5">
        <f t="shared" si="4"/>
        <v>0</v>
      </c>
      <c r="M636" s="5">
        <v>417.1571148772075</v>
      </c>
      <c r="N636" s="5">
        <f t="shared" si="5"/>
        <v>0</v>
      </c>
      <c r="O636" s="5">
        <f t="shared" si="6"/>
        <v>417.1571149</v>
      </c>
      <c r="P636" s="5">
        <f t="shared" si="9"/>
        <v>66686.40335</v>
      </c>
      <c r="Q636" s="5">
        <f t="shared" si="7"/>
        <v>1740.183134</v>
      </c>
      <c r="R636" s="5">
        <f t="shared" si="8"/>
        <v>64946.22022</v>
      </c>
    </row>
    <row r="637" ht="15.75" customHeight="1">
      <c r="A637" s="4">
        <v>2014.0</v>
      </c>
      <c r="B637" s="4">
        <v>409.0</v>
      </c>
      <c r="C637" s="4" t="s">
        <v>21</v>
      </c>
      <c r="D637" s="5">
        <v>3434.429873147958</v>
      </c>
      <c r="E637" s="5">
        <f t="shared" si="1"/>
        <v>0</v>
      </c>
      <c r="F637" s="5">
        <f t="shared" si="2"/>
        <v>3434.429873</v>
      </c>
      <c r="G637" s="5">
        <v>5309.5478059671195</v>
      </c>
      <c r="H637" s="5">
        <v>3615.0782309721944</v>
      </c>
      <c r="I637" s="5">
        <v>1694.469574994925</v>
      </c>
      <c r="J637" s="5">
        <v>78964.8824325756</v>
      </c>
      <c r="K637" s="5">
        <f t="shared" si="3"/>
        <v>78964.88243</v>
      </c>
      <c r="L637" s="5">
        <f t="shared" si="4"/>
        <v>0</v>
      </c>
      <c r="M637" s="5">
        <v>1331.9010835701247</v>
      </c>
      <c r="N637" s="5">
        <f t="shared" si="5"/>
        <v>0</v>
      </c>
      <c r="O637" s="5">
        <f t="shared" si="6"/>
        <v>1331.901084</v>
      </c>
      <c r="P637" s="5">
        <f t="shared" si="9"/>
        <v>89040.7612</v>
      </c>
      <c r="Q637" s="5">
        <f t="shared" si="7"/>
        <v>6460.800532</v>
      </c>
      <c r="R637" s="5">
        <f t="shared" si="8"/>
        <v>82579.96066</v>
      </c>
    </row>
    <row r="638" ht="15.75" customHeight="1">
      <c r="A638" s="4">
        <v>2014.0</v>
      </c>
      <c r="B638" s="4">
        <v>420.0</v>
      </c>
      <c r="C638" s="4" t="s">
        <v>21</v>
      </c>
      <c r="D638" s="5">
        <v>219.91580931601368</v>
      </c>
      <c r="E638" s="5">
        <f t="shared" si="1"/>
        <v>0</v>
      </c>
      <c r="F638" s="5">
        <f t="shared" si="2"/>
        <v>219.9158093</v>
      </c>
      <c r="G638" s="5" t="s">
        <v>19</v>
      </c>
      <c r="H638" s="5" t="s">
        <v>19</v>
      </c>
      <c r="I638" s="5" t="s">
        <v>19</v>
      </c>
      <c r="J638" s="5">
        <v>0.0</v>
      </c>
      <c r="K638" s="5">
        <f t="shared" si="3"/>
        <v>0</v>
      </c>
      <c r="L638" s="5">
        <f t="shared" si="4"/>
        <v>0</v>
      </c>
      <c r="M638" s="5">
        <v>15116.55777628375</v>
      </c>
      <c r="N638" s="5">
        <f t="shared" si="5"/>
        <v>0</v>
      </c>
      <c r="O638" s="5">
        <f t="shared" si="6"/>
        <v>15116.55778</v>
      </c>
      <c r="P638" s="5">
        <f t="shared" si="9"/>
        <v>15336.47359</v>
      </c>
      <c r="Q638" s="5">
        <f t="shared" si="7"/>
        <v>15336.47359</v>
      </c>
      <c r="R638" s="5">
        <f t="shared" si="8"/>
        <v>0</v>
      </c>
    </row>
    <row r="639" ht="15.75" customHeight="1">
      <c r="A639" s="4">
        <v>2014.0</v>
      </c>
      <c r="B639" s="4">
        <v>421.0</v>
      </c>
      <c r="C639" s="4" t="s">
        <v>21</v>
      </c>
      <c r="D639" s="5">
        <v>266.70640704282505</v>
      </c>
      <c r="E639" s="5">
        <f t="shared" si="1"/>
        <v>0</v>
      </c>
      <c r="F639" s="5">
        <f t="shared" si="2"/>
        <v>266.706407</v>
      </c>
      <c r="G639" s="5" t="s">
        <v>19</v>
      </c>
      <c r="H639" s="5" t="s">
        <v>19</v>
      </c>
      <c r="I639" s="5" t="s">
        <v>19</v>
      </c>
      <c r="J639" s="5">
        <v>0.0</v>
      </c>
      <c r="K639" s="5">
        <f t="shared" si="3"/>
        <v>0</v>
      </c>
      <c r="L639" s="5">
        <f t="shared" si="4"/>
        <v>0</v>
      </c>
      <c r="M639" s="5">
        <v>69245.00241932215</v>
      </c>
      <c r="N639" s="5">
        <f t="shared" si="5"/>
        <v>0</v>
      </c>
      <c r="O639" s="5">
        <f t="shared" si="6"/>
        <v>69245.00242</v>
      </c>
      <c r="P639" s="5">
        <f t="shared" si="9"/>
        <v>69511.70883</v>
      </c>
      <c r="Q639" s="5">
        <f t="shared" si="7"/>
        <v>69511.70883</v>
      </c>
      <c r="R639" s="5">
        <f t="shared" si="8"/>
        <v>0</v>
      </c>
    </row>
    <row r="640" ht="15.75" customHeight="1">
      <c r="A640" s="4">
        <v>2014.0</v>
      </c>
      <c r="B640" s="4">
        <v>422.0</v>
      </c>
      <c r="C640" s="4" t="s">
        <v>21</v>
      </c>
      <c r="D640" s="5" t="s">
        <v>19</v>
      </c>
      <c r="E640" s="5" t="str">
        <f t="shared" si="1"/>
        <v/>
      </c>
      <c r="F640" s="5" t="str">
        <f t="shared" si="2"/>
        <v/>
      </c>
      <c r="G640" s="5" t="s">
        <v>19</v>
      </c>
      <c r="H640" s="5" t="s">
        <v>19</v>
      </c>
      <c r="I640" s="5" t="s">
        <v>19</v>
      </c>
      <c r="J640" s="5">
        <v>7072.710376496854</v>
      </c>
      <c r="K640" s="5">
        <f t="shared" si="3"/>
        <v>7072.710376</v>
      </c>
      <c r="L640" s="5">
        <f t="shared" si="4"/>
        <v>0</v>
      </c>
      <c r="M640" s="5">
        <v>82623.81603699015</v>
      </c>
      <c r="N640" s="5">
        <f t="shared" si="5"/>
        <v>0</v>
      </c>
      <c r="O640" s="5">
        <f t="shared" si="6"/>
        <v>82623.81604</v>
      </c>
      <c r="P640" s="5">
        <f t="shared" si="9"/>
        <v>89696.52641</v>
      </c>
      <c r="Q640" s="5">
        <f t="shared" si="7"/>
        <v>82623.81604</v>
      </c>
      <c r="R640" s="5">
        <f t="shared" si="8"/>
        <v>7072.710376</v>
      </c>
    </row>
    <row r="641" ht="15.75" customHeight="1">
      <c r="A641" s="4">
        <v>2014.0</v>
      </c>
      <c r="B641" s="4">
        <v>423.0</v>
      </c>
      <c r="C641" s="4" t="s">
        <v>21</v>
      </c>
      <c r="D641" s="5">
        <v>12764.475059874156</v>
      </c>
      <c r="E641" s="5">
        <f t="shared" si="1"/>
        <v>0</v>
      </c>
      <c r="F641" s="5">
        <f t="shared" si="2"/>
        <v>12764.47506</v>
      </c>
      <c r="G641" s="5">
        <v>3131.3294215546985</v>
      </c>
      <c r="H641" s="5">
        <v>1461.137203166227</v>
      </c>
      <c r="I641" s="5">
        <v>1670.1922183884715</v>
      </c>
      <c r="J641" s="5">
        <v>9340.309309072458</v>
      </c>
      <c r="K641" s="5">
        <f t="shared" si="3"/>
        <v>9340.309309</v>
      </c>
      <c r="L641" s="5">
        <f t="shared" si="4"/>
        <v>0</v>
      </c>
      <c r="M641" s="5">
        <v>161830.36873043946</v>
      </c>
      <c r="N641" s="5">
        <f t="shared" si="5"/>
        <v>0</v>
      </c>
      <c r="O641" s="5">
        <f t="shared" si="6"/>
        <v>161830.3687</v>
      </c>
      <c r="P641" s="5">
        <f t="shared" si="9"/>
        <v>187066.4825</v>
      </c>
      <c r="Q641" s="5">
        <f t="shared" si="7"/>
        <v>176265.036</v>
      </c>
      <c r="R641" s="5">
        <f t="shared" si="8"/>
        <v>10801.44651</v>
      </c>
    </row>
    <row r="642" ht="15.75" customHeight="1">
      <c r="A642" s="4">
        <v>2014.0</v>
      </c>
      <c r="B642" s="4">
        <v>424.0</v>
      </c>
      <c r="C642" s="4" t="s">
        <v>21</v>
      </c>
      <c r="D642" s="5" t="s">
        <v>19</v>
      </c>
      <c r="E642" s="5" t="str">
        <f t="shared" si="1"/>
        <v/>
      </c>
      <c r="F642" s="5" t="str">
        <f t="shared" si="2"/>
        <v/>
      </c>
      <c r="G642" s="5" t="s">
        <v>19</v>
      </c>
      <c r="H642" s="5" t="s">
        <v>19</v>
      </c>
      <c r="I642" s="5" t="s">
        <v>19</v>
      </c>
      <c r="J642" s="5">
        <v>2809.761099761518</v>
      </c>
      <c r="K642" s="5">
        <f t="shared" si="3"/>
        <v>2809.7611</v>
      </c>
      <c r="L642" s="5">
        <f t="shared" si="4"/>
        <v>0</v>
      </c>
      <c r="M642" s="5">
        <v>24053.163794433756</v>
      </c>
      <c r="N642" s="5">
        <f t="shared" si="5"/>
        <v>0</v>
      </c>
      <c r="O642" s="5">
        <f t="shared" si="6"/>
        <v>24053.16379</v>
      </c>
      <c r="P642" s="5">
        <f t="shared" si="9"/>
        <v>26862.92489</v>
      </c>
      <c r="Q642" s="5">
        <f t="shared" si="7"/>
        <v>24053.16379</v>
      </c>
      <c r="R642" s="5">
        <f t="shared" si="8"/>
        <v>2809.7611</v>
      </c>
    </row>
    <row r="643" ht="15.75" customHeight="1">
      <c r="A643" s="4">
        <v>2014.0</v>
      </c>
      <c r="B643" s="4">
        <v>425.0</v>
      </c>
      <c r="C643" s="4" t="s">
        <v>21</v>
      </c>
      <c r="D643" s="5">
        <v>2888.383597676069</v>
      </c>
      <c r="E643" s="5">
        <f t="shared" si="1"/>
        <v>0</v>
      </c>
      <c r="F643" s="5">
        <f t="shared" si="2"/>
        <v>2888.383598</v>
      </c>
      <c r="G643" s="5" t="s">
        <v>19</v>
      </c>
      <c r="H643" s="5" t="s">
        <v>19</v>
      </c>
      <c r="I643" s="5" t="s">
        <v>19</v>
      </c>
      <c r="J643" s="5">
        <v>353.63551882484273</v>
      </c>
      <c r="K643" s="5">
        <f t="shared" si="3"/>
        <v>353.6355188</v>
      </c>
      <c r="L643" s="5">
        <f t="shared" si="4"/>
        <v>0</v>
      </c>
      <c r="M643" s="5">
        <v>108918.41426806373</v>
      </c>
      <c r="N643" s="5">
        <f t="shared" si="5"/>
        <v>0</v>
      </c>
      <c r="O643" s="5">
        <f t="shared" si="6"/>
        <v>108918.4143</v>
      </c>
      <c r="P643" s="5">
        <f t="shared" si="9"/>
        <v>112160.4334</v>
      </c>
      <c r="Q643" s="5">
        <f t="shared" si="7"/>
        <v>111806.7979</v>
      </c>
      <c r="R643" s="5">
        <f t="shared" si="8"/>
        <v>353.6355188</v>
      </c>
    </row>
    <row r="644" ht="15.75" customHeight="1">
      <c r="A644" s="4">
        <v>2014.0</v>
      </c>
      <c r="B644" s="4">
        <v>426.0</v>
      </c>
      <c r="C644" s="4" t="s">
        <v>21</v>
      </c>
      <c r="D644" s="5">
        <v>6281.637744824432</v>
      </c>
      <c r="E644" s="5">
        <f t="shared" si="1"/>
        <v>0</v>
      </c>
      <c r="F644" s="5">
        <f t="shared" si="2"/>
        <v>6281.637745</v>
      </c>
      <c r="G644" s="5" t="s">
        <v>19</v>
      </c>
      <c r="H644" s="5" t="s">
        <v>19</v>
      </c>
      <c r="I644" s="5" t="s">
        <v>19</v>
      </c>
      <c r="J644" s="5">
        <v>0.0</v>
      </c>
      <c r="K644" s="5">
        <f t="shared" si="3"/>
        <v>0</v>
      </c>
      <c r="L644" s="5">
        <f t="shared" si="4"/>
        <v>0</v>
      </c>
      <c r="M644" s="5">
        <v>20532.87341879442</v>
      </c>
      <c r="N644" s="5">
        <f t="shared" si="5"/>
        <v>0</v>
      </c>
      <c r="O644" s="5">
        <f t="shared" si="6"/>
        <v>20532.87342</v>
      </c>
      <c r="P644" s="5">
        <f t="shared" si="9"/>
        <v>26814.51116</v>
      </c>
      <c r="Q644" s="5">
        <f t="shared" si="7"/>
        <v>26814.51116</v>
      </c>
      <c r="R644" s="5">
        <f t="shared" si="8"/>
        <v>0</v>
      </c>
    </row>
    <row r="645" ht="15.75" customHeight="1">
      <c r="A645" s="4">
        <v>2014.0</v>
      </c>
      <c r="B645" s="4">
        <v>427.0</v>
      </c>
      <c r="C645" s="4" t="s">
        <v>21</v>
      </c>
      <c r="D645" s="5">
        <v>6452.423426527294</v>
      </c>
      <c r="E645" s="5">
        <f t="shared" si="1"/>
        <v>0</v>
      </c>
      <c r="F645" s="5">
        <f t="shared" si="2"/>
        <v>6452.423427</v>
      </c>
      <c r="G645" s="5">
        <v>1977.255821392328</v>
      </c>
      <c r="H645" s="5">
        <v>1429.3968073066774</v>
      </c>
      <c r="I645" s="5">
        <v>547.8590140856506</v>
      </c>
      <c r="J645" s="5">
        <v>201.75836968743653</v>
      </c>
      <c r="K645" s="5">
        <f t="shared" si="3"/>
        <v>201.7583697</v>
      </c>
      <c r="L645" s="5">
        <f t="shared" si="4"/>
        <v>0</v>
      </c>
      <c r="M645" s="5">
        <v>72568.28226600372</v>
      </c>
      <c r="N645" s="5">
        <f t="shared" si="5"/>
        <v>0</v>
      </c>
      <c r="O645" s="5">
        <f t="shared" si="6"/>
        <v>72568.28227</v>
      </c>
      <c r="P645" s="5">
        <f t="shared" si="9"/>
        <v>81199.71988</v>
      </c>
      <c r="Q645" s="5">
        <f t="shared" si="7"/>
        <v>79568.56471</v>
      </c>
      <c r="R645" s="5">
        <f t="shared" si="8"/>
        <v>1631.155177</v>
      </c>
    </row>
    <row r="646" ht="15.75" customHeight="1">
      <c r="A646" s="4">
        <v>2014.0</v>
      </c>
      <c r="B646" s="4">
        <v>428.0</v>
      </c>
      <c r="C646" s="4" t="s">
        <v>21</v>
      </c>
      <c r="D646" s="5" t="s">
        <v>19</v>
      </c>
      <c r="E646" s="5" t="str">
        <f t="shared" si="1"/>
        <v/>
      </c>
      <c r="F646" s="5" t="str">
        <f t="shared" si="2"/>
        <v/>
      </c>
      <c r="G646" s="5" t="s">
        <v>19</v>
      </c>
      <c r="H646" s="5" t="s">
        <v>19</v>
      </c>
      <c r="I646" s="5" t="s">
        <v>19</v>
      </c>
      <c r="J646" s="5">
        <v>0.0</v>
      </c>
      <c r="K646" s="5">
        <f t="shared" si="3"/>
        <v>0</v>
      </c>
      <c r="L646" s="5">
        <f t="shared" si="4"/>
        <v>0</v>
      </c>
      <c r="M646" s="5">
        <v>29896.003345342004</v>
      </c>
      <c r="N646" s="5">
        <f t="shared" si="5"/>
        <v>0</v>
      </c>
      <c r="O646" s="5">
        <f t="shared" si="6"/>
        <v>29896.00335</v>
      </c>
      <c r="P646" s="5">
        <f t="shared" si="9"/>
        <v>29896.00335</v>
      </c>
      <c r="Q646" s="5">
        <f t="shared" si="7"/>
        <v>29896.00335</v>
      </c>
      <c r="R646" s="5">
        <f t="shared" si="8"/>
        <v>0</v>
      </c>
    </row>
    <row r="647" ht="15.75" customHeight="1">
      <c r="A647" s="4">
        <v>2014.0</v>
      </c>
      <c r="B647" s="4">
        <v>429.0</v>
      </c>
      <c r="C647" s="4" t="s">
        <v>21</v>
      </c>
      <c r="D647" s="5">
        <v>25076.01713375277</v>
      </c>
      <c r="E647" s="5">
        <f t="shared" si="1"/>
        <v>0</v>
      </c>
      <c r="F647" s="5">
        <f t="shared" si="2"/>
        <v>25076.01713</v>
      </c>
      <c r="G647" s="5">
        <v>4909.421002638523</v>
      </c>
      <c r="H647" s="5">
        <v>1935.4448183478794</v>
      </c>
      <c r="I647" s="5">
        <v>2973.9761842906432</v>
      </c>
      <c r="J647" s="5">
        <v>1742.7970544956365</v>
      </c>
      <c r="K647" s="5">
        <f t="shared" si="3"/>
        <v>1742.797054</v>
      </c>
      <c r="L647" s="5">
        <f t="shared" si="4"/>
        <v>0</v>
      </c>
      <c r="M647" s="5">
        <v>5523.483459255131</v>
      </c>
      <c r="N647" s="5">
        <f t="shared" si="5"/>
        <v>0</v>
      </c>
      <c r="O647" s="5">
        <f t="shared" si="6"/>
        <v>5523.483459</v>
      </c>
      <c r="P647" s="5">
        <f t="shared" si="9"/>
        <v>37251.71865</v>
      </c>
      <c r="Q647" s="5">
        <f t="shared" si="7"/>
        <v>33573.47678</v>
      </c>
      <c r="R647" s="5">
        <f t="shared" si="8"/>
        <v>3678.241873</v>
      </c>
    </row>
    <row r="648" ht="15.75" customHeight="1">
      <c r="A648" s="4">
        <v>2014.0</v>
      </c>
      <c r="B648" s="4">
        <v>500.0</v>
      </c>
      <c r="C648" s="4" t="s">
        <v>22</v>
      </c>
      <c r="D648" s="5">
        <v>10744.214647605027</v>
      </c>
      <c r="E648" s="5">
        <f t="shared" si="1"/>
        <v>0</v>
      </c>
      <c r="F648" s="5">
        <f t="shared" si="2"/>
        <v>10744.21465</v>
      </c>
      <c r="G648" s="5">
        <v>25438.557526385222</v>
      </c>
      <c r="H648" s="5">
        <v>13923.0640138015</v>
      </c>
      <c r="I648" s="5">
        <v>11515.493512583722</v>
      </c>
      <c r="J648" s="5">
        <v>67301.58731743455</v>
      </c>
      <c r="K648" s="5">
        <f t="shared" si="3"/>
        <v>67301.58732</v>
      </c>
      <c r="L648" s="5">
        <f t="shared" si="4"/>
        <v>0</v>
      </c>
      <c r="M648" s="5">
        <v>15847.915587426425</v>
      </c>
      <c r="N648" s="5">
        <f t="shared" si="5"/>
        <v>0</v>
      </c>
      <c r="O648" s="5">
        <f t="shared" si="6"/>
        <v>15847.91559</v>
      </c>
      <c r="P648" s="5">
        <f t="shared" si="9"/>
        <v>119332.2751</v>
      </c>
      <c r="Q648" s="5">
        <f t="shared" si="7"/>
        <v>38107.62375</v>
      </c>
      <c r="R648" s="5">
        <f t="shared" si="8"/>
        <v>81224.65133</v>
      </c>
    </row>
    <row r="649" ht="15.75" customHeight="1">
      <c r="A649" s="4">
        <v>2014.0</v>
      </c>
      <c r="B649" s="4">
        <v>501.0</v>
      </c>
      <c r="C649" s="4" t="s">
        <v>22</v>
      </c>
      <c r="D649" s="5">
        <v>3290.6373574183053</v>
      </c>
      <c r="E649" s="5">
        <f t="shared" si="1"/>
        <v>0</v>
      </c>
      <c r="F649" s="5">
        <f t="shared" si="2"/>
        <v>3290.637357</v>
      </c>
      <c r="G649" s="5">
        <v>5894.393626953521</v>
      </c>
      <c r="H649" s="5">
        <v>1686.0497107773492</v>
      </c>
      <c r="I649" s="5">
        <v>4208.343916176172</v>
      </c>
      <c r="J649" s="5">
        <v>66697.81268388472</v>
      </c>
      <c r="K649" s="5">
        <f t="shared" si="3"/>
        <v>66697.81268</v>
      </c>
      <c r="L649" s="5">
        <f t="shared" si="4"/>
        <v>0</v>
      </c>
      <c r="M649" s="5">
        <v>6836.094111020904</v>
      </c>
      <c r="N649" s="5">
        <f t="shared" si="5"/>
        <v>0</v>
      </c>
      <c r="O649" s="5">
        <f t="shared" si="6"/>
        <v>6836.094111</v>
      </c>
      <c r="P649" s="5">
        <f t="shared" si="9"/>
        <v>82718.93778</v>
      </c>
      <c r="Q649" s="5">
        <f t="shared" si="7"/>
        <v>14335.07538</v>
      </c>
      <c r="R649" s="5">
        <f t="shared" si="8"/>
        <v>68383.86239</v>
      </c>
    </row>
    <row r="650" ht="15.75" customHeight="1">
      <c r="A650" s="4">
        <v>2014.0</v>
      </c>
      <c r="B650" s="4">
        <v>502.0</v>
      </c>
      <c r="C650" s="4" t="s">
        <v>22</v>
      </c>
      <c r="D650" s="5" t="s">
        <v>19</v>
      </c>
      <c r="E650" s="5" t="str">
        <f t="shared" si="1"/>
        <v/>
      </c>
      <c r="F650" s="5" t="str">
        <f t="shared" si="2"/>
        <v/>
      </c>
      <c r="G650" s="5" t="s">
        <v>19</v>
      </c>
      <c r="H650" s="5" t="s">
        <v>19</v>
      </c>
      <c r="I650" s="5" t="s">
        <v>19</v>
      </c>
      <c r="J650" s="5">
        <v>0.0</v>
      </c>
      <c r="K650" s="5">
        <f t="shared" si="3"/>
        <v>0</v>
      </c>
      <c r="L650" s="5">
        <f t="shared" si="4"/>
        <v>0</v>
      </c>
      <c r="M650" s="5">
        <v>3124.80561497869</v>
      </c>
      <c r="N650" s="5">
        <f t="shared" si="5"/>
        <v>0</v>
      </c>
      <c r="O650" s="5">
        <f t="shared" si="6"/>
        <v>3124.805615</v>
      </c>
      <c r="P650" s="5">
        <f t="shared" si="9"/>
        <v>3124.805615</v>
      </c>
      <c r="Q650" s="5">
        <f t="shared" si="7"/>
        <v>3124.805615</v>
      </c>
      <c r="R650" s="5">
        <f t="shared" si="8"/>
        <v>0</v>
      </c>
    </row>
    <row r="651" ht="15.75" customHeight="1">
      <c r="A651" s="4">
        <v>2014.0</v>
      </c>
      <c r="B651" s="4">
        <v>503.0</v>
      </c>
      <c r="C651" s="4" t="s">
        <v>22</v>
      </c>
      <c r="D651" s="5">
        <v>1333.275481022934</v>
      </c>
      <c r="E651" s="5">
        <f t="shared" si="1"/>
        <v>0</v>
      </c>
      <c r="F651" s="5">
        <f t="shared" si="2"/>
        <v>1333.275481</v>
      </c>
      <c r="G651" s="5" t="s">
        <v>19</v>
      </c>
      <c r="H651" s="5" t="s">
        <v>19</v>
      </c>
      <c r="I651" s="5" t="s">
        <v>19</v>
      </c>
      <c r="J651" s="5">
        <v>3790.24610259793</v>
      </c>
      <c r="K651" s="5">
        <f t="shared" si="3"/>
        <v>3790.246103</v>
      </c>
      <c r="L651" s="5">
        <f t="shared" si="4"/>
        <v>0</v>
      </c>
      <c r="M651" s="5">
        <v>4061.936991069615</v>
      </c>
      <c r="N651" s="5">
        <f t="shared" si="5"/>
        <v>0</v>
      </c>
      <c r="O651" s="5">
        <f t="shared" si="6"/>
        <v>4061.936991</v>
      </c>
      <c r="P651" s="5">
        <f t="shared" si="9"/>
        <v>9185.458575</v>
      </c>
      <c r="Q651" s="5">
        <f t="shared" si="7"/>
        <v>5395.212472</v>
      </c>
      <c r="R651" s="5">
        <f t="shared" si="8"/>
        <v>3790.246103</v>
      </c>
    </row>
    <row r="652" ht="15.75" customHeight="1">
      <c r="A652" s="4">
        <v>2014.0</v>
      </c>
      <c r="B652" s="4">
        <v>504.0</v>
      </c>
      <c r="C652" s="4" t="s">
        <v>22</v>
      </c>
      <c r="D652" s="5">
        <v>6605.9544950172485</v>
      </c>
      <c r="E652" s="5">
        <f t="shared" si="1"/>
        <v>0</v>
      </c>
      <c r="F652" s="5">
        <f t="shared" si="2"/>
        <v>6605.954495</v>
      </c>
      <c r="G652" s="5">
        <v>8138.919052922671</v>
      </c>
      <c r="H652" s="5">
        <v>3742.985155520601</v>
      </c>
      <c r="I652" s="5">
        <v>4395.93389740207</v>
      </c>
      <c r="J652" s="5">
        <v>39740.0817312259</v>
      </c>
      <c r="K652" s="5">
        <f t="shared" si="3"/>
        <v>39740.08173</v>
      </c>
      <c r="L652" s="5">
        <f t="shared" si="4"/>
        <v>0</v>
      </c>
      <c r="M652" s="5">
        <v>22743.27860335904</v>
      </c>
      <c r="N652" s="5">
        <f t="shared" si="5"/>
        <v>0</v>
      </c>
      <c r="O652" s="5">
        <f t="shared" si="6"/>
        <v>22743.2786</v>
      </c>
      <c r="P652" s="5">
        <f t="shared" si="9"/>
        <v>77228.23388</v>
      </c>
      <c r="Q652" s="5">
        <f t="shared" si="7"/>
        <v>33745.167</v>
      </c>
      <c r="R652" s="5">
        <f t="shared" si="8"/>
        <v>43483.06689</v>
      </c>
    </row>
    <row r="653" ht="15.75" customHeight="1">
      <c r="A653" s="4">
        <v>2014.0</v>
      </c>
      <c r="B653" s="4">
        <v>505.0</v>
      </c>
      <c r="C653" s="4" t="s">
        <v>22</v>
      </c>
      <c r="D653" s="5">
        <v>12446.26845316622</v>
      </c>
      <c r="E653" s="5">
        <f t="shared" si="1"/>
        <v>0</v>
      </c>
      <c r="F653" s="5">
        <f t="shared" si="2"/>
        <v>12446.26845</v>
      </c>
      <c r="G653" s="5">
        <v>31371.825221737367</v>
      </c>
      <c r="H653" s="5">
        <v>11252.234705195862</v>
      </c>
      <c r="I653" s="5">
        <v>20119.590516541502</v>
      </c>
      <c r="J653" s="5">
        <v>14817.37283032271</v>
      </c>
      <c r="K653" s="5">
        <f t="shared" si="3"/>
        <v>14817.37283</v>
      </c>
      <c r="L653" s="5">
        <f t="shared" si="4"/>
        <v>0</v>
      </c>
      <c r="M653" s="5">
        <v>10505.490972701442</v>
      </c>
      <c r="N653" s="5">
        <f t="shared" si="5"/>
        <v>0</v>
      </c>
      <c r="O653" s="5">
        <f t="shared" si="6"/>
        <v>10505.49097</v>
      </c>
      <c r="P653" s="5">
        <f t="shared" si="9"/>
        <v>69140.95748</v>
      </c>
      <c r="Q653" s="5">
        <f t="shared" si="7"/>
        <v>43071.34994</v>
      </c>
      <c r="R653" s="5">
        <f t="shared" si="8"/>
        <v>26069.60754</v>
      </c>
    </row>
    <row r="654" ht="15.75" customHeight="1">
      <c r="A654" s="4">
        <v>2014.0</v>
      </c>
      <c r="B654" s="4">
        <v>506.0</v>
      </c>
      <c r="C654" s="4" t="s">
        <v>22</v>
      </c>
      <c r="D654" s="5">
        <v>21445.405157347257</v>
      </c>
      <c r="E654" s="5">
        <f t="shared" si="1"/>
        <v>0</v>
      </c>
      <c r="F654" s="5">
        <f t="shared" si="2"/>
        <v>21445.40516</v>
      </c>
      <c r="G654" s="5">
        <v>34010.2896082809</v>
      </c>
      <c r="H654" s="5">
        <v>13099.657002232596</v>
      </c>
      <c r="I654" s="5">
        <v>20910.632606048304</v>
      </c>
      <c r="J654" s="5">
        <v>8975.975969149584</v>
      </c>
      <c r="K654" s="5">
        <f t="shared" si="3"/>
        <v>8975.975969</v>
      </c>
      <c r="L654" s="5">
        <f t="shared" si="4"/>
        <v>0</v>
      </c>
      <c r="M654" s="5">
        <v>4885.805800182667</v>
      </c>
      <c r="N654" s="5">
        <f t="shared" si="5"/>
        <v>0</v>
      </c>
      <c r="O654" s="5">
        <f t="shared" si="6"/>
        <v>4885.8058</v>
      </c>
      <c r="P654" s="5">
        <f t="shared" si="9"/>
        <v>69317.47653</v>
      </c>
      <c r="Q654" s="5">
        <f t="shared" si="7"/>
        <v>47241.84356</v>
      </c>
      <c r="R654" s="5">
        <f t="shared" si="8"/>
        <v>22075.63297</v>
      </c>
    </row>
    <row r="655" ht="15.75" customHeight="1">
      <c r="A655" s="4">
        <v>2014.0</v>
      </c>
      <c r="B655" s="4">
        <v>507.0</v>
      </c>
      <c r="C655" s="4" t="s">
        <v>22</v>
      </c>
      <c r="D655" s="5" t="s">
        <v>19</v>
      </c>
      <c r="E655" s="5" t="str">
        <f t="shared" si="1"/>
        <v/>
      </c>
      <c r="F655" s="5" t="str">
        <f t="shared" si="2"/>
        <v/>
      </c>
      <c r="G655" s="5" t="s">
        <v>19</v>
      </c>
      <c r="H655" s="5" t="s">
        <v>19</v>
      </c>
      <c r="I655" s="5" t="s">
        <v>19</v>
      </c>
      <c r="J655" s="5">
        <v>0.0</v>
      </c>
      <c r="K655" s="5">
        <f t="shared" si="3"/>
        <v>0</v>
      </c>
      <c r="L655" s="5">
        <f t="shared" si="4"/>
        <v>0</v>
      </c>
      <c r="M655" s="5">
        <v>0.0</v>
      </c>
      <c r="N655" s="5">
        <f t="shared" si="5"/>
        <v>0</v>
      </c>
      <c r="O655" s="5">
        <f t="shared" si="6"/>
        <v>0</v>
      </c>
      <c r="P655" s="5">
        <f t="shared" si="9"/>
        <v>0</v>
      </c>
      <c r="Q655" s="5">
        <f t="shared" si="7"/>
        <v>0</v>
      </c>
      <c r="R655" s="5">
        <f t="shared" si="8"/>
        <v>0</v>
      </c>
    </row>
    <row r="656" ht="15.75" customHeight="1">
      <c r="A656" s="4">
        <v>2014.0</v>
      </c>
      <c r="B656" s="4">
        <v>508.0</v>
      </c>
      <c r="C656" s="4" t="s">
        <v>22</v>
      </c>
      <c r="D656" s="5" t="s">
        <v>19</v>
      </c>
      <c r="E656" s="5" t="str">
        <f t="shared" si="1"/>
        <v/>
      </c>
      <c r="F656" s="5" t="str">
        <f t="shared" si="2"/>
        <v/>
      </c>
      <c r="G656" s="5">
        <v>17915.973267201138</v>
      </c>
      <c r="H656" s="5">
        <v>4063.244195758068</v>
      </c>
      <c r="I656" s="5">
        <v>13852.72907144307</v>
      </c>
      <c r="J656" s="5">
        <v>0.0</v>
      </c>
      <c r="K656" s="5">
        <f t="shared" si="3"/>
        <v>0</v>
      </c>
      <c r="L656" s="5">
        <f t="shared" si="4"/>
        <v>0</v>
      </c>
      <c r="M656" s="5">
        <v>37409.22948498072</v>
      </c>
      <c r="N656" s="5">
        <f t="shared" si="5"/>
        <v>0</v>
      </c>
      <c r="O656" s="5">
        <f t="shared" si="6"/>
        <v>37409.22948</v>
      </c>
      <c r="P656" s="5">
        <f t="shared" si="9"/>
        <v>55325.20275</v>
      </c>
      <c r="Q656" s="5">
        <f t="shared" si="7"/>
        <v>51261.95856</v>
      </c>
      <c r="R656" s="5">
        <f t="shared" si="8"/>
        <v>4063.244196</v>
      </c>
    </row>
    <row r="657" ht="15.75" customHeight="1">
      <c r="A657" s="4">
        <v>2014.0</v>
      </c>
      <c r="B657" s="4">
        <v>520.0</v>
      </c>
      <c r="C657" s="4" t="s">
        <v>22</v>
      </c>
      <c r="D657" s="5">
        <v>1843.891622691292</v>
      </c>
      <c r="E657" s="5">
        <f t="shared" si="1"/>
        <v>0</v>
      </c>
      <c r="F657" s="5">
        <f t="shared" si="2"/>
        <v>1843.891623</v>
      </c>
      <c r="G657" s="5">
        <v>22970.05418307286</v>
      </c>
      <c r="H657" s="5">
        <v>7822.818633955752</v>
      </c>
      <c r="I657" s="5">
        <v>15147.23554911711</v>
      </c>
      <c r="J657" s="5">
        <v>20929.8020908768</v>
      </c>
      <c r="K657" s="5">
        <f t="shared" si="3"/>
        <v>20929.80209</v>
      </c>
      <c r="L657" s="5">
        <f t="shared" si="4"/>
        <v>0</v>
      </c>
      <c r="M657" s="5">
        <v>384487.1608769534</v>
      </c>
      <c r="N657" s="5">
        <f t="shared" si="5"/>
        <v>0</v>
      </c>
      <c r="O657" s="5">
        <f t="shared" si="6"/>
        <v>384487.1609</v>
      </c>
      <c r="P657" s="5">
        <f t="shared" si="9"/>
        <v>430230.9088</v>
      </c>
      <c r="Q657" s="5">
        <f t="shared" si="7"/>
        <v>401478.288</v>
      </c>
      <c r="R657" s="5">
        <f t="shared" si="8"/>
        <v>28752.62072</v>
      </c>
    </row>
    <row r="658" ht="15.75" customHeight="1">
      <c r="A658" s="4">
        <v>2014.0</v>
      </c>
      <c r="B658" s="4">
        <v>521.0</v>
      </c>
      <c r="C658" s="4" t="s">
        <v>22</v>
      </c>
      <c r="D658" s="5">
        <v>3857.988625938703</v>
      </c>
      <c r="E658" s="5">
        <f t="shared" si="1"/>
        <v>0</v>
      </c>
      <c r="F658" s="5">
        <f t="shared" si="2"/>
        <v>3857.988626</v>
      </c>
      <c r="G658" s="5">
        <v>2074.4287755226305</v>
      </c>
      <c r="H658" s="5">
        <v>764.7523706921048</v>
      </c>
      <c r="I658" s="5">
        <v>1309.6764048305258</v>
      </c>
      <c r="J658" s="5">
        <v>23593.4930845342</v>
      </c>
      <c r="K658" s="5">
        <f t="shared" si="3"/>
        <v>23593.49308</v>
      </c>
      <c r="L658" s="5">
        <f t="shared" si="4"/>
        <v>0</v>
      </c>
      <c r="M658" s="5">
        <v>27484.790996295917</v>
      </c>
      <c r="N658" s="5">
        <f t="shared" si="5"/>
        <v>0</v>
      </c>
      <c r="O658" s="5">
        <f t="shared" si="6"/>
        <v>27484.791</v>
      </c>
      <c r="P658" s="5">
        <f t="shared" si="9"/>
        <v>57010.70148</v>
      </c>
      <c r="Q658" s="5">
        <f t="shared" si="7"/>
        <v>32652.45603</v>
      </c>
      <c r="R658" s="5">
        <f t="shared" si="8"/>
        <v>24358.24546</v>
      </c>
    </row>
    <row r="659" ht="15.75" customHeight="1">
      <c r="A659" s="4">
        <v>2014.0</v>
      </c>
      <c r="B659" s="4">
        <v>522.0</v>
      </c>
      <c r="C659" s="4" t="s">
        <v>22</v>
      </c>
      <c r="D659" s="5" t="s">
        <v>19</v>
      </c>
      <c r="E659" s="5" t="str">
        <f t="shared" si="1"/>
        <v/>
      </c>
      <c r="F659" s="5" t="str">
        <f t="shared" si="2"/>
        <v/>
      </c>
      <c r="G659" s="5" t="s">
        <v>19</v>
      </c>
      <c r="H659" s="5" t="s">
        <v>19</v>
      </c>
      <c r="I659" s="5" t="s">
        <v>19</v>
      </c>
      <c r="J659" s="5">
        <v>0.0</v>
      </c>
      <c r="K659" s="5">
        <f t="shared" si="3"/>
        <v>0</v>
      </c>
      <c r="L659" s="5">
        <f t="shared" si="4"/>
        <v>0</v>
      </c>
      <c r="M659" s="5">
        <v>9453.235179216561</v>
      </c>
      <c r="N659" s="5">
        <f t="shared" si="5"/>
        <v>0</v>
      </c>
      <c r="O659" s="5">
        <f t="shared" si="6"/>
        <v>9453.235179</v>
      </c>
      <c r="P659" s="5">
        <f t="shared" si="9"/>
        <v>9453.235179</v>
      </c>
      <c r="Q659" s="5">
        <f t="shared" si="7"/>
        <v>9453.235179</v>
      </c>
      <c r="R659" s="5">
        <f t="shared" si="8"/>
        <v>0</v>
      </c>
    </row>
    <row r="660" ht="15.75" customHeight="1">
      <c r="A660" s="4">
        <v>2014.0</v>
      </c>
      <c r="B660" s="4">
        <v>523.0</v>
      </c>
      <c r="C660" s="4" t="s">
        <v>22</v>
      </c>
      <c r="D660" s="5">
        <v>1118.1547917089501</v>
      </c>
      <c r="E660" s="5">
        <f t="shared" si="1"/>
        <v>0</v>
      </c>
      <c r="F660" s="5">
        <f t="shared" si="2"/>
        <v>1118.154792</v>
      </c>
      <c r="G660" s="5" t="s">
        <v>19</v>
      </c>
      <c r="H660" s="5" t="s">
        <v>19</v>
      </c>
      <c r="I660" s="5" t="s">
        <v>19</v>
      </c>
      <c r="J660" s="5">
        <v>0.0</v>
      </c>
      <c r="K660" s="5">
        <f t="shared" si="3"/>
        <v>0</v>
      </c>
      <c r="L660" s="5">
        <f t="shared" si="4"/>
        <v>0</v>
      </c>
      <c r="M660" s="5">
        <v>57079.523976608485</v>
      </c>
      <c r="N660" s="5">
        <f t="shared" si="5"/>
        <v>0</v>
      </c>
      <c r="O660" s="5">
        <f t="shared" si="6"/>
        <v>57079.52398</v>
      </c>
      <c r="P660" s="5">
        <f t="shared" si="9"/>
        <v>58197.67877</v>
      </c>
      <c r="Q660" s="5">
        <f t="shared" si="7"/>
        <v>58197.67877</v>
      </c>
      <c r="R660" s="5">
        <f t="shared" si="8"/>
        <v>0</v>
      </c>
    </row>
    <row r="661" ht="15.75" customHeight="1">
      <c r="A661" s="4">
        <v>2014.0</v>
      </c>
      <c r="B661" s="4">
        <v>524.0</v>
      </c>
      <c r="C661" s="4" t="s">
        <v>22</v>
      </c>
      <c r="D661" s="5">
        <v>4762.393827232593</v>
      </c>
      <c r="E661" s="5">
        <f t="shared" si="1"/>
        <v>0</v>
      </c>
      <c r="F661" s="5">
        <f t="shared" si="2"/>
        <v>4762.393827</v>
      </c>
      <c r="G661" s="5">
        <v>21888.812652729852</v>
      </c>
      <c r="H661" s="5">
        <v>8291.386765374467</v>
      </c>
      <c r="I661" s="5">
        <v>13597.425887355384</v>
      </c>
      <c r="J661" s="5">
        <v>16575.051249594075</v>
      </c>
      <c r="K661" s="5">
        <f t="shared" si="3"/>
        <v>16575.05125</v>
      </c>
      <c r="L661" s="5">
        <f t="shared" si="4"/>
        <v>0</v>
      </c>
      <c r="M661" s="5">
        <v>286273.43431876396</v>
      </c>
      <c r="N661" s="5">
        <f t="shared" si="5"/>
        <v>0</v>
      </c>
      <c r="O661" s="5">
        <f t="shared" si="6"/>
        <v>286273.4343</v>
      </c>
      <c r="P661" s="5">
        <f t="shared" si="9"/>
        <v>329499.692</v>
      </c>
      <c r="Q661" s="5">
        <f t="shared" si="7"/>
        <v>304633.254</v>
      </c>
      <c r="R661" s="5">
        <f t="shared" si="8"/>
        <v>24866.43801</v>
      </c>
    </row>
    <row r="662" ht="15.75" customHeight="1">
      <c r="A662" s="4">
        <v>2014.0</v>
      </c>
      <c r="B662" s="4">
        <v>525.0</v>
      </c>
      <c r="C662" s="4" t="s">
        <v>22</v>
      </c>
      <c r="D662" s="5">
        <v>8773.141782220413</v>
      </c>
      <c r="E662" s="5">
        <f t="shared" si="1"/>
        <v>0</v>
      </c>
      <c r="F662" s="5">
        <f t="shared" si="2"/>
        <v>8773.141782</v>
      </c>
      <c r="G662" s="5">
        <v>7530.720692104729</v>
      </c>
      <c r="H662" s="5">
        <v>2783.5641069616404</v>
      </c>
      <c r="I662" s="5">
        <v>4747.156585143089</v>
      </c>
      <c r="J662" s="5">
        <v>0.0</v>
      </c>
      <c r="K662" s="5">
        <f t="shared" si="3"/>
        <v>0</v>
      </c>
      <c r="L662" s="5">
        <f t="shared" si="4"/>
        <v>0</v>
      </c>
      <c r="M662" s="5">
        <v>14814.588606504967</v>
      </c>
      <c r="N662" s="5">
        <f t="shared" si="5"/>
        <v>0</v>
      </c>
      <c r="O662" s="5">
        <f t="shared" si="6"/>
        <v>14814.58861</v>
      </c>
      <c r="P662" s="5">
        <f t="shared" si="9"/>
        <v>31118.45108</v>
      </c>
      <c r="Q662" s="5">
        <f t="shared" si="7"/>
        <v>28334.88697</v>
      </c>
      <c r="R662" s="5">
        <f t="shared" si="8"/>
        <v>2783.564107</v>
      </c>
    </row>
    <row r="663" ht="15.75" customHeight="1">
      <c r="A663" s="4">
        <v>2014.0</v>
      </c>
      <c r="B663" s="4">
        <v>526.0</v>
      </c>
      <c r="C663" s="4" t="s">
        <v>22</v>
      </c>
      <c r="D663" s="5">
        <v>7096.618783742639</v>
      </c>
      <c r="E663" s="5">
        <f t="shared" si="1"/>
        <v>0</v>
      </c>
      <c r="F663" s="5">
        <f t="shared" si="2"/>
        <v>7096.618784</v>
      </c>
      <c r="G663" s="5" t="s">
        <v>19</v>
      </c>
      <c r="H663" s="5" t="s">
        <v>19</v>
      </c>
      <c r="I663" s="5" t="s">
        <v>19</v>
      </c>
      <c r="J663" s="5">
        <v>0.0</v>
      </c>
      <c r="K663" s="5">
        <f t="shared" si="3"/>
        <v>0</v>
      </c>
      <c r="L663" s="5">
        <f t="shared" si="4"/>
        <v>0</v>
      </c>
      <c r="M663" s="5">
        <v>1486.377248832961</v>
      </c>
      <c r="N663" s="5">
        <f t="shared" si="5"/>
        <v>0</v>
      </c>
      <c r="O663" s="5">
        <f t="shared" si="6"/>
        <v>1486.377249</v>
      </c>
      <c r="P663" s="5">
        <f t="shared" si="9"/>
        <v>8582.996033</v>
      </c>
      <c r="Q663" s="5">
        <f t="shared" si="7"/>
        <v>8582.996033</v>
      </c>
      <c r="R663" s="5">
        <f t="shared" si="8"/>
        <v>0</v>
      </c>
    </row>
    <row r="664" ht="15.75" customHeight="1">
      <c r="A664" s="4">
        <v>2014.0</v>
      </c>
      <c r="B664" s="4">
        <v>527.0</v>
      </c>
      <c r="C664" s="4" t="s">
        <v>22</v>
      </c>
      <c r="D664" s="5" t="s">
        <v>19</v>
      </c>
      <c r="E664" s="5" t="str">
        <f t="shared" si="1"/>
        <v/>
      </c>
      <c r="F664" s="5" t="str">
        <f t="shared" si="2"/>
        <v/>
      </c>
      <c r="G664" s="5" t="s">
        <v>19</v>
      </c>
      <c r="H664" s="5" t="s">
        <v>19</v>
      </c>
      <c r="I664" s="5" t="s">
        <v>19</v>
      </c>
      <c r="J664" s="5">
        <v>0.0</v>
      </c>
      <c r="K664" s="5">
        <f t="shared" si="3"/>
        <v>0</v>
      </c>
      <c r="L664" s="5">
        <f t="shared" si="4"/>
        <v>0</v>
      </c>
      <c r="M664" s="5">
        <v>2027.3999489039984</v>
      </c>
      <c r="N664" s="5">
        <f t="shared" si="5"/>
        <v>0</v>
      </c>
      <c r="O664" s="5">
        <f t="shared" si="6"/>
        <v>2027.399949</v>
      </c>
      <c r="P664" s="5">
        <f t="shared" si="9"/>
        <v>2027.399949</v>
      </c>
      <c r="Q664" s="5">
        <f t="shared" si="7"/>
        <v>2027.399949</v>
      </c>
      <c r="R664" s="5">
        <f t="shared" si="8"/>
        <v>0</v>
      </c>
    </row>
    <row r="665" ht="15.75" customHeight="1">
      <c r="A665" s="4">
        <v>2014.0</v>
      </c>
      <c r="B665" s="4">
        <v>528.0</v>
      </c>
      <c r="C665" s="4" t="s">
        <v>22</v>
      </c>
      <c r="D665" s="5" t="s">
        <v>19</v>
      </c>
      <c r="E665" s="5" t="str">
        <f t="shared" si="1"/>
        <v/>
      </c>
      <c r="F665" s="5" t="str">
        <f t="shared" si="2"/>
        <v/>
      </c>
      <c r="G665" s="5" t="s">
        <v>19</v>
      </c>
      <c r="H665" s="5" t="s">
        <v>19</v>
      </c>
      <c r="I665" s="5" t="s">
        <v>19</v>
      </c>
      <c r="J665" s="5">
        <v>0.0</v>
      </c>
      <c r="K665" s="5">
        <f t="shared" si="3"/>
        <v>0</v>
      </c>
      <c r="L665" s="5">
        <f t="shared" si="4"/>
        <v>0</v>
      </c>
      <c r="M665" s="5">
        <v>32843.04133955753</v>
      </c>
      <c r="N665" s="5">
        <f t="shared" si="5"/>
        <v>0</v>
      </c>
      <c r="O665" s="5">
        <f t="shared" si="6"/>
        <v>32843.04134</v>
      </c>
      <c r="P665" s="5">
        <f t="shared" si="9"/>
        <v>32843.04134</v>
      </c>
      <c r="Q665" s="5">
        <f t="shared" si="7"/>
        <v>32843.04134</v>
      </c>
      <c r="R665" s="5">
        <f t="shared" si="8"/>
        <v>0</v>
      </c>
    </row>
    <row r="666" ht="15.75" customHeight="1">
      <c r="A666" s="4">
        <v>2013.0</v>
      </c>
      <c r="B666" s="4">
        <v>100.0</v>
      </c>
      <c r="C666" s="4" t="s">
        <v>18</v>
      </c>
      <c r="D666" s="5">
        <v>43486.32553209954</v>
      </c>
      <c r="E666" s="5">
        <f t="shared" si="1"/>
        <v>0</v>
      </c>
      <c r="F666" s="5">
        <f t="shared" si="2"/>
        <v>43486.32553</v>
      </c>
      <c r="G666" s="5">
        <v>4271.1752923420545</v>
      </c>
      <c r="H666" s="5">
        <v>1526.2663822973834</v>
      </c>
      <c r="I666" s="5">
        <v>2744.908910044671</v>
      </c>
      <c r="J666" s="5">
        <v>19185.555342253512</v>
      </c>
      <c r="K666" s="5">
        <f t="shared" si="3"/>
        <v>19185.55534</v>
      </c>
      <c r="L666" s="5">
        <f t="shared" si="4"/>
        <v>0</v>
      </c>
      <c r="M666" s="5">
        <v>82064.53896107606</v>
      </c>
      <c r="N666" s="5">
        <f t="shared" si="5"/>
        <v>0</v>
      </c>
      <c r="O666" s="5">
        <f t="shared" si="6"/>
        <v>82064.53896</v>
      </c>
      <c r="P666" s="5">
        <f t="shared" si="9"/>
        <v>149007.5951</v>
      </c>
      <c r="Q666" s="5">
        <f t="shared" si="7"/>
        <v>128295.7734</v>
      </c>
      <c r="R666" s="5">
        <f t="shared" si="8"/>
        <v>20711.82172</v>
      </c>
    </row>
    <row r="667" ht="15.75" customHeight="1">
      <c r="A667" s="4">
        <v>2013.0</v>
      </c>
      <c r="B667" s="4">
        <v>101.0</v>
      </c>
      <c r="C667" s="4" t="s">
        <v>18</v>
      </c>
      <c r="D667" s="5">
        <v>25390.453359349063</v>
      </c>
      <c r="E667" s="5">
        <f t="shared" si="1"/>
        <v>0</v>
      </c>
      <c r="F667" s="5">
        <f t="shared" si="2"/>
        <v>25390.45336</v>
      </c>
      <c r="G667" s="5">
        <v>12507.234324116143</v>
      </c>
      <c r="H667" s="5">
        <v>5324.915630196553</v>
      </c>
      <c r="I667" s="5">
        <v>7182.31869391959</v>
      </c>
      <c r="J667" s="5">
        <v>443494.34029096214</v>
      </c>
      <c r="K667" s="5">
        <f t="shared" si="3"/>
        <v>443494.3403</v>
      </c>
      <c r="L667" s="5">
        <f t="shared" si="4"/>
        <v>0</v>
      </c>
      <c r="M667" s="5">
        <v>142528.76318467653</v>
      </c>
      <c r="N667" s="5">
        <f t="shared" si="5"/>
        <v>0</v>
      </c>
      <c r="O667" s="5">
        <f t="shared" si="6"/>
        <v>142528.7632</v>
      </c>
      <c r="P667" s="5">
        <f t="shared" si="9"/>
        <v>623920.7912</v>
      </c>
      <c r="Q667" s="5">
        <f t="shared" si="7"/>
        <v>175101.5352</v>
      </c>
      <c r="R667" s="5">
        <f t="shared" si="8"/>
        <v>448819.2559</v>
      </c>
    </row>
    <row r="668" ht="15.75" customHeight="1">
      <c r="A668" s="4">
        <v>2013.0</v>
      </c>
      <c r="B668" s="4">
        <v>102.0</v>
      </c>
      <c r="C668" s="4" t="s">
        <v>18</v>
      </c>
      <c r="D668" s="5">
        <v>14071.25882401483</v>
      </c>
      <c r="E668" s="5">
        <f t="shared" si="1"/>
        <v>0</v>
      </c>
      <c r="F668" s="5">
        <f t="shared" si="2"/>
        <v>14071.25882</v>
      </c>
      <c r="G668" s="5">
        <v>13040.017155839181</v>
      </c>
      <c r="H668" s="5">
        <v>5778.2381544479895</v>
      </c>
      <c r="I668" s="5">
        <v>7261.779001391192</v>
      </c>
      <c r="J668" s="5">
        <v>36357.341998847325</v>
      </c>
      <c r="K668" s="5">
        <f t="shared" si="3"/>
        <v>36357.342</v>
      </c>
      <c r="L668" s="5">
        <f t="shared" si="4"/>
        <v>0</v>
      </c>
      <c r="M668" s="5">
        <v>29685.76912846601</v>
      </c>
      <c r="N668" s="5">
        <f t="shared" si="5"/>
        <v>0</v>
      </c>
      <c r="O668" s="5">
        <f t="shared" si="6"/>
        <v>29685.76913</v>
      </c>
      <c r="P668" s="5">
        <f t="shared" si="9"/>
        <v>93154.38711</v>
      </c>
      <c r="Q668" s="5">
        <f t="shared" si="7"/>
        <v>51018.80695</v>
      </c>
      <c r="R668" s="5">
        <f t="shared" si="8"/>
        <v>42135.58015</v>
      </c>
    </row>
    <row r="669" ht="15.75" customHeight="1">
      <c r="A669" s="4">
        <v>2013.0</v>
      </c>
      <c r="B669" s="4">
        <v>103.0</v>
      </c>
      <c r="C669" s="4" t="s">
        <v>18</v>
      </c>
      <c r="D669" s="5">
        <v>12934.409280145179</v>
      </c>
      <c r="E669" s="5">
        <f t="shared" si="1"/>
        <v>0</v>
      </c>
      <c r="F669" s="5">
        <f t="shared" si="2"/>
        <v>12934.40928</v>
      </c>
      <c r="G669" s="5">
        <v>2084.8223595405234</v>
      </c>
      <c r="H669" s="5">
        <v>1310.0659851180599</v>
      </c>
      <c r="I669" s="5">
        <v>774.7563744224635</v>
      </c>
      <c r="J669" s="5">
        <v>14045.430498835358</v>
      </c>
      <c r="K669" s="5">
        <f t="shared" si="3"/>
        <v>14045.4305</v>
      </c>
      <c r="L669" s="5">
        <f t="shared" si="4"/>
        <v>0</v>
      </c>
      <c r="M669" s="5">
        <v>5214.8086397774405</v>
      </c>
      <c r="N669" s="5">
        <f t="shared" si="5"/>
        <v>0</v>
      </c>
      <c r="O669" s="5">
        <f t="shared" si="6"/>
        <v>5214.80864</v>
      </c>
      <c r="P669" s="5">
        <f t="shared" si="9"/>
        <v>34279.47078</v>
      </c>
      <c r="Q669" s="5">
        <f t="shared" si="7"/>
        <v>18923.97429</v>
      </c>
      <c r="R669" s="5">
        <f t="shared" si="8"/>
        <v>15355.49648</v>
      </c>
    </row>
    <row r="670" ht="15.75" customHeight="1">
      <c r="A670" s="4">
        <v>2013.0</v>
      </c>
      <c r="B670" s="4">
        <v>104.0</v>
      </c>
      <c r="C670" s="4" t="s">
        <v>18</v>
      </c>
      <c r="D670" s="5" t="s">
        <v>19</v>
      </c>
      <c r="E670" s="5" t="str">
        <f t="shared" si="1"/>
        <v/>
      </c>
      <c r="F670" s="5" t="str">
        <f t="shared" si="2"/>
        <v/>
      </c>
      <c r="G670" s="5" t="s">
        <v>19</v>
      </c>
      <c r="H670" s="5" t="s">
        <v>19</v>
      </c>
      <c r="I670" s="5" t="s">
        <v>19</v>
      </c>
      <c r="J670" s="5">
        <v>9045.695692331688</v>
      </c>
      <c r="K670" s="5">
        <f t="shared" si="3"/>
        <v>9045.695692</v>
      </c>
      <c r="L670" s="5">
        <f t="shared" si="4"/>
        <v>0</v>
      </c>
      <c r="M670" s="5">
        <v>10000.911275239308</v>
      </c>
      <c r="N670" s="5">
        <f t="shared" si="5"/>
        <v>0</v>
      </c>
      <c r="O670" s="5">
        <f t="shared" si="6"/>
        <v>10000.91128</v>
      </c>
      <c r="P670" s="5">
        <f t="shared" si="9"/>
        <v>19046.60697</v>
      </c>
      <c r="Q670" s="5">
        <f t="shared" si="7"/>
        <v>10000.91128</v>
      </c>
      <c r="R670" s="5">
        <f t="shared" si="8"/>
        <v>9045.695692</v>
      </c>
    </row>
    <row r="671" ht="15.75" customHeight="1">
      <c r="A671" s="4">
        <v>2013.0</v>
      </c>
      <c r="B671" s="4">
        <v>105.0</v>
      </c>
      <c r="C671" s="4" t="s">
        <v>18</v>
      </c>
      <c r="D671" s="5">
        <v>18609.382572128263</v>
      </c>
      <c r="E671" s="5">
        <f t="shared" si="1"/>
        <v>0</v>
      </c>
      <c r="F671" s="5">
        <f t="shared" si="2"/>
        <v>18609.38257</v>
      </c>
      <c r="G671" s="5">
        <v>2007.6407472878109</v>
      </c>
      <c r="H671" s="5">
        <v>554.5131308870452</v>
      </c>
      <c r="I671" s="5">
        <v>1453.1276164007656</v>
      </c>
      <c r="J671" s="5">
        <v>34774.74067986598</v>
      </c>
      <c r="K671" s="5">
        <f t="shared" si="3"/>
        <v>34774.74068</v>
      </c>
      <c r="L671" s="5">
        <f t="shared" si="4"/>
        <v>0</v>
      </c>
      <c r="M671" s="5">
        <v>33733.273296984684</v>
      </c>
      <c r="N671" s="5">
        <f t="shared" si="5"/>
        <v>0</v>
      </c>
      <c r="O671" s="5">
        <f t="shared" si="6"/>
        <v>33733.2733</v>
      </c>
      <c r="P671" s="5">
        <f t="shared" si="9"/>
        <v>89125.0373</v>
      </c>
      <c r="Q671" s="5">
        <f t="shared" si="7"/>
        <v>53795.78349</v>
      </c>
      <c r="R671" s="5">
        <f t="shared" si="8"/>
        <v>35329.25381</v>
      </c>
    </row>
    <row r="672" ht="15.75" customHeight="1">
      <c r="A672" s="4">
        <v>2013.0</v>
      </c>
      <c r="B672" s="4">
        <v>106.0</v>
      </c>
      <c r="C672" s="4" t="s">
        <v>18</v>
      </c>
      <c r="D672" s="5">
        <v>20026.417447977812</v>
      </c>
      <c r="E672" s="5">
        <f t="shared" si="1"/>
        <v>0</v>
      </c>
      <c r="F672" s="5">
        <f t="shared" si="2"/>
        <v>20026.41745</v>
      </c>
      <c r="G672" s="5">
        <v>5818.942266624121</v>
      </c>
      <c r="H672" s="5">
        <v>3122.8231614677725</v>
      </c>
      <c r="I672" s="5">
        <v>2696.1191051563483</v>
      </c>
      <c r="J672" s="5">
        <v>62373.12970928608</v>
      </c>
      <c r="K672" s="5">
        <f t="shared" si="3"/>
        <v>62373.12971</v>
      </c>
      <c r="L672" s="5">
        <f t="shared" si="4"/>
        <v>0</v>
      </c>
      <c r="M672" s="5">
        <v>100636.7542873855</v>
      </c>
      <c r="N672" s="5">
        <f t="shared" si="5"/>
        <v>0</v>
      </c>
      <c r="O672" s="5">
        <f t="shared" si="6"/>
        <v>100636.7543</v>
      </c>
      <c r="P672" s="5">
        <f t="shared" si="9"/>
        <v>188855.2437</v>
      </c>
      <c r="Q672" s="5">
        <f t="shared" si="7"/>
        <v>123359.2908</v>
      </c>
      <c r="R672" s="5">
        <f t="shared" si="8"/>
        <v>65495.95287</v>
      </c>
    </row>
    <row r="673" ht="15.75" customHeight="1">
      <c r="A673" s="4">
        <v>2013.0</v>
      </c>
      <c r="B673" s="4">
        <v>107.0</v>
      </c>
      <c r="C673" s="4" t="s">
        <v>18</v>
      </c>
      <c r="D673" s="5">
        <v>13185.306946761322</v>
      </c>
      <c r="E673" s="5">
        <f t="shared" si="1"/>
        <v>0</v>
      </c>
      <c r="F673" s="5">
        <f t="shared" si="2"/>
        <v>13185.30695</v>
      </c>
      <c r="G673" s="5">
        <v>1560.1711619655393</v>
      </c>
      <c r="H673" s="5">
        <v>881.5242713720486</v>
      </c>
      <c r="I673" s="5">
        <v>678.6468905934908</v>
      </c>
      <c r="J673" s="5">
        <v>19651.463173305685</v>
      </c>
      <c r="K673" s="5">
        <f t="shared" si="3"/>
        <v>19651.46317</v>
      </c>
      <c r="L673" s="5">
        <f t="shared" si="4"/>
        <v>0</v>
      </c>
      <c r="M673" s="5">
        <v>32003.919052221594</v>
      </c>
      <c r="N673" s="5">
        <f t="shared" si="5"/>
        <v>0</v>
      </c>
      <c r="O673" s="5">
        <f t="shared" si="6"/>
        <v>32003.91905</v>
      </c>
      <c r="P673" s="5">
        <f t="shared" si="9"/>
        <v>66400.86033</v>
      </c>
      <c r="Q673" s="5">
        <f t="shared" si="7"/>
        <v>45867.87289</v>
      </c>
      <c r="R673" s="5">
        <f t="shared" si="8"/>
        <v>20532.98744</v>
      </c>
    </row>
    <row r="674" ht="15.75" customHeight="1">
      <c r="A674" s="4">
        <v>2013.0</v>
      </c>
      <c r="B674" s="4">
        <v>108.0</v>
      </c>
      <c r="C674" s="4" t="s">
        <v>18</v>
      </c>
      <c r="D674" s="5">
        <v>19274.700703641505</v>
      </c>
      <c r="E674" s="5">
        <f t="shared" si="1"/>
        <v>0</v>
      </c>
      <c r="F674" s="5">
        <f t="shared" si="2"/>
        <v>19274.7007</v>
      </c>
      <c r="G674" s="5">
        <v>4091.084863752393</v>
      </c>
      <c r="H674" s="5">
        <v>1311.352345322272</v>
      </c>
      <c r="I674" s="5">
        <v>2779.732518430121</v>
      </c>
      <c r="J674" s="5">
        <v>8244.879787460115</v>
      </c>
      <c r="K674" s="5">
        <f t="shared" si="3"/>
        <v>8244.879787</v>
      </c>
      <c r="L674" s="5">
        <f t="shared" si="4"/>
        <v>0</v>
      </c>
      <c r="M674" s="5">
        <v>46392.20037480576</v>
      </c>
      <c r="N674" s="5">
        <f t="shared" si="5"/>
        <v>0</v>
      </c>
      <c r="O674" s="5">
        <f t="shared" si="6"/>
        <v>46392.20037</v>
      </c>
      <c r="P674" s="5">
        <f t="shared" si="9"/>
        <v>78002.86573</v>
      </c>
      <c r="Q674" s="5">
        <f t="shared" si="7"/>
        <v>68446.6336</v>
      </c>
      <c r="R674" s="5">
        <f t="shared" si="8"/>
        <v>9556.232133</v>
      </c>
    </row>
    <row r="675" ht="15.75" customHeight="1">
      <c r="A675" s="4">
        <v>2013.0</v>
      </c>
      <c r="B675" s="4">
        <v>120.0</v>
      </c>
      <c r="C675" s="4" t="s">
        <v>18</v>
      </c>
      <c r="D675" s="5">
        <v>44296.471168836535</v>
      </c>
      <c r="E675" s="5">
        <f t="shared" si="1"/>
        <v>0</v>
      </c>
      <c r="F675" s="5">
        <f t="shared" si="2"/>
        <v>44296.47117</v>
      </c>
      <c r="G675" s="5">
        <v>5213.893556285897</v>
      </c>
      <c r="H675" s="5">
        <v>1779.8631082705808</v>
      </c>
      <c r="I675" s="5">
        <v>3434.0304480153163</v>
      </c>
      <c r="J675" s="5">
        <v>4113.156727504787</v>
      </c>
      <c r="K675" s="5">
        <f t="shared" si="3"/>
        <v>4113.156728</v>
      </c>
      <c r="L675" s="5">
        <f t="shared" si="4"/>
        <v>0</v>
      </c>
      <c r="M675" s="5">
        <v>92514.8586001675</v>
      </c>
      <c r="N675" s="5">
        <f t="shared" si="5"/>
        <v>0</v>
      </c>
      <c r="O675" s="5">
        <f t="shared" si="6"/>
        <v>92514.8586</v>
      </c>
      <c r="P675" s="5">
        <f t="shared" si="9"/>
        <v>146138.3801</v>
      </c>
      <c r="Q675" s="5">
        <f t="shared" si="7"/>
        <v>140245.3602</v>
      </c>
      <c r="R675" s="5">
        <f t="shared" si="8"/>
        <v>5893.019836</v>
      </c>
    </row>
    <row r="676" ht="15.75" customHeight="1">
      <c r="A676" s="4">
        <v>2013.0</v>
      </c>
      <c r="B676" s="4">
        <v>121.0</v>
      </c>
      <c r="C676" s="4" t="s">
        <v>18</v>
      </c>
      <c r="D676" s="5">
        <v>49331.167283192386</v>
      </c>
      <c r="E676" s="5">
        <f t="shared" si="1"/>
        <v>0</v>
      </c>
      <c r="F676" s="5">
        <f t="shared" si="2"/>
        <v>49331.16728</v>
      </c>
      <c r="G676" s="5">
        <v>14354.401635928525</v>
      </c>
      <c r="H676" s="5">
        <v>5360.814268181239</v>
      </c>
      <c r="I676" s="5">
        <v>8993.587367747286</v>
      </c>
      <c r="J676" s="5">
        <v>69630.24490589184</v>
      </c>
      <c r="K676" s="5">
        <f t="shared" si="3"/>
        <v>69630.24491</v>
      </c>
      <c r="L676" s="5">
        <f t="shared" si="4"/>
        <v>0</v>
      </c>
      <c r="M676" s="5">
        <v>1129700.281062535</v>
      </c>
      <c r="N676" s="5">
        <f t="shared" si="5"/>
        <v>0</v>
      </c>
      <c r="O676" s="5">
        <f t="shared" si="6"/>
        <v>1129700.281</v>
      </c>
      <c r="P676" s="5">
        <f t="shared" si="9"/>
        <v>1263016.095</v>
      </c>
      <c r="Q676" s="5">
        <f t="shared" si="7"/>
        <v>1188025.036</v>
      </c>
      <c r="R676" s="5">
        <f t="shared" si="8"/>
        <v>74991.05917</v>
      </c>
    </row>
    <row r="677" ht="15.75" customHeight="1">
      <c r="A677" s="4">
        <v>2013.0</v>
      </c>
      <c r="B677" s="4">
        <v>122.0</v>
      </c>
      <c r="C677" s="4" t="s">
        <v>18</v>
      </c>
      <c r="D677" s="5">
        <v>54560.96806164643</v>
      </c>
      <c r="E677" s="5">
        <f t="shared" si="1"/>
        <v>0</v>
      </c>
      <c r="F677" s="5">
        <f t="shared" si="2"/>
        <v>54560.96806</v>
      </c>
      <c r="G677" s="5">
        <v>14553.328053222718</v>
      </c>
      <c r="H677" s="5">
        <v>3507.4448625271216</v>
      </c>
      <c r="I677" s="5">
        <v>11045.883190695597</v>
      </c>
      <c r="J677" s="5">
        <v>6483.934563497129</v>
      </c>
      <c r="K677" s="5">
        <f t="shared" si="3"/>
        <v>6483.934563</v>
      </c>
      <c r="L677" s="5">
        <f t="shared" si="4"/>
        <v>0</v>
      </c>
      <c r="M677" s="5">
        <v>141193.04951910092</v>
      </c>
      <c r="N677" s="5">
        <f t="shared" si="5"/>
        <v>0</v>
      </c>
      <c r="O677" s="5">
        <f t="shared" si="6"/>
        <v>141193.0495</v>
      </c>
      <c r="P677" s="5">
        <f t="shared" si="9"/>
        <v>216791.2802</v>
      </c>
      <c r="Q677" s="5">
        <f t="shared" si="7"/>
        <v>206799.9008</v>
      </c>
      <c r="R677" s="5">
        <f t="shared" si="8"/>
        <v>9991.379426</v>
      </c>
    </row>
    <row r="678" ht="15.75" customHeight="1">
      <c r="A678" s="4">
        <v>2013.0</v>
      </c>
      <c r="B678" s="4">
        <v>123.0</v>
      </c>
      <c r="C678" s="4" t="s">
        <v>18</v>
      </c>
      <c r="D678" s="5" t="s">
        <v>19</v>
      </c>
      <c r="E678" s="5" t="str">
        <f t="shared" si="1"/>
        <v/>
      </c>
      <c r="F678" s="5" t="str">
        <f t="shared" si="2"/>
        <v/>
      </c>
      <c r="G678" s="5" t="s">
        <v>19</v>
      </c>
      <c r="H678" s="5" t="s">
        <v>19</v>
      </c>
      <c r="I678" s="5" t="s">
        <v>19</v>
      </c>
      <c r="J678" s="5">
        <v>0.0</v>
      </c>
      <c r="K678" s="5">
        <f t="shared" si="3"/>
        <v>0</v>
      </c>
      <c r="L678" s="5">
        <f t="shared" si="4"/>
        <v>0</v>
      </c>
      <c r="M678" s="5">
        <v>3532.2597296186977</v>
      </c>
      <c r="N678" s="5">
        <f t="shared" si="5"/>
        <v>0</v>
      </c>
      <c r="O678" s="5">
        <f t="shared" si="6"/>
        <v>3532.25973</v>
      </c>
      <c r="P678" s="5">
        <f t="shared" si="9"/>
        <v>3532.25973</v>
      </c>
      <c r="Q678" s="5">
        <f t="shared" si="7"/>
        <v>3532.25973</v>
      </c>
      <c r="R678" s="5">
        <f t="shared" si="8"/>
        <v>0</v>
      </c>
    </row>
    <row r="679" ht="15.75" customHeight="1">
      <c r="A679" s="4">
        <v>2013.0</v>
      </c>
      <c r="B679" s="4">
        <v>124.0</v>
      </c>
      <c r="C679" s="4" t="s">
        <v>18</v>
      </c>
      <c r="D679" s="5" t="s">
        <v>19</v>
      </c>
      <c r="E679" s="5" t="str">
        <f t="shared" si="1"/>
        <v/>
      </c>
      <c r="F679" s="5" t="str">
        <f t="shared" si="2"/>
        <v/>
      </c>
      <c r="G679" s="5" t="s">
        <v>19</v>
      </c>
      <c r="H679" s="5" t="s">
        <v>19</v>
      </c>
      <c r="I679" s="5" t="s">
        <v>19</v>
      </c>
      <c r="J679" s="5">
        <v>0.0</v>
      </c>
      <c r="K679" s="5">
        <f t="shared" si="3"/>
        <v>0</v>
      </c>
      <c r="L679" s="5">
        <f t="shared" si="4"/>
        <v>0</v>
      </c>
      <c r="M679" s="5">
        <v>41846.54085796107</v>
      </c>
      <c r="N679" s="5">
        <f t="shared" si="5"/>
        <v>0</v>
      </c>
      <c r="O679" s="5">
        <f t="shared" si="6"/>
        <v>41846.54086</v>
      </c>
      <c r="P679" s="5">
        <f t="shared" si="9"/>
        <v>41846.54086</v>
      </c>
      <c r="Q679" s="5">
        <f t="shared" si="7"/>
        <v>41846.54086</v>
      </c>
      <c r="R679" s="5">
        <f t="shared" si="8"/>
        <v>0</v>
      </c>
    </row>
    <row r="680" ht="15.75" customHeight="1">
      <c r="A680" s="4">
        <v>2013.0</v>
      </c>
      <c r="B680" s="4">
        <v>125.0</v>
      </c>
      <c r="C680" s="4" t="s">
        <v>18</v>
      </c>
      <c r="D680" s="5">
        <v>12644.949520800088</v>
      </c>
      <c r="E680" s="5">
        <f t="shared" si="1"/>
        <v>0</v>
      </c>
      <c r="F680" s="5">
        <f t="shared" si="2"/>
        <v>12644.94952</v>
      </c>
      <c r="G680" s="5">
        <v>1316.222137523931</v>
      </c>
      <c r="H680" s="5">
        <v>561.7718777536694</v>
      </c>
      <c r="I680" s="5">
        <v>754.4502597702616</v>
      </c>
      <c r="J680" s="5">
        <v>4444.494352776006</v>
      </c>
      <c r="K680" s="5">
        <f t="shared" si="3"/>
        <v>4444.494353</v>
      </c>
      <c r="L680" s="5">
        <f t="shared" si="4"/>
        <v>0</v>
      </c>
      <c r="M680" s="5">
        <v>392398.5662014318</v>
      </c>
      <c r="N680" s="5">
        <f t="shared" si="5"/>
        <v>0</v>
      </c>
      <c r="O680" s="5">
        <f t="shared" si="6"/>
        <v>392398.5662</v>
      </c>
      <c r="P680" s="5">
        <f t="shared" si="9"/>
        <v>410804.2322</v>
      </c>
      <c r="Q680" s="5">
        <f t="shared" si="7"/>
        <v>405797.966</v>
      </c>
      <c r="R680" s="5">
        <f t="shared" si="8"/>
        <v>5006.266231</v>
      </c>
    </row>
    <row r="681" ht="15.75" customHeight="1">
      <c r="A681" s="4">
        <v>2013.0</v>
      </c>
      <c r="B681" s="4">
        <v>126.0</v>
      </c>
      <c r="C681" s="4" t="s">
        <v>18</v>
      </c>
      <c r="D681" s="5">
        <v>5073.1117687579745</v>
      </c>
      <c r="E681" s="5">
        <f t="shared" si="1"/>
        <v>0</v>
      </c>
      <c r="F681" s="5">
        <f t="shared" si="2"/>
        <v>5073.111769</v>
      </c>
      <c r="G681" s="5">
        <v>1746.9230987555839</v>
      </c>
      <c r="H681" s="5">
        <v>960.9110725462666</v>
      </c>
      <c r="I681" s="5">
        <v>786.0120262093172</v>
      </c>
      <c r="J681" s="5">
        <v>8709.752188433313</v>
      </c>
      <c r="K681" s="5">
        <f t="shared" si="3"/>
        <v>8709.752188</v>
      </c>
      <c r="L681" s="5">
        <f t="shared" si="4"/>
        <v>0</v>
      </c>
      <c r="M681" s="5">
        <v>449843.69203975145</v>
      </c>
      <c r="N681" s="5">
        <f t="shared" si="5"/>
        <v>0</v>
      </c>
      <c r="O681" s="5">
        <f t="shared" si="6"/>
        <v>449843.692</v>
      </c>
      <c r="P681" s="5">
        <f t="shared" si="9"/>
        <v>465373.4791</v>
      </c>
      <c r="Q681" s="5">
        <f t="shared" si="7"/>
        <v>455702.8158</v>
      </c>
      <c r="R681" s="5">
        <f t="shared" si="8"/>
        <v>9670.663261</v>
      </c>
    </row>
    <row r="682" ht="15.75" customHeight="1">
      <c r="A682" s="4">
        <v>2013.0</v>
      </c>
      <c r="B682" s="4">
        <v>127.0</v>
      </c>
      <c r="C682" s="4" t="s">
        <v>18</v>
      </c>
      <c r="D682" s="5">
        <v>5702.30844632259</v>
      </c>
      <c r="E682" s="5">
        <f t="shared" si="1"/>
        <v>0</v>
      </c>
      <c r="F682" s="5">
        <f t="shared" si="2"/>
        <v>5702.308446</v>
      </c>
      <c r="G682" s="5" t="s">
        <v>19</v>
      </c>
      <c r="H682" s="5" t="s">
        <v>19</v>
      </c>
      <c r="I682" s="5" t="s">
        <v>19</v>
      </c>
      <c r="J682" s="5">
        <v>103.54300789725592</v>
      </c>
      <c r="K682" s="5">
        <f t="shared" si="3"/>
        <v>103.5430079</v>
      </c>
      <c r="L682" s="5">
        <f t="shared" si="4"/>
        <v>0</v>
      </c>
      <c r="M682" s="5">
        <v>168643.86392020975</v>
      </c>
      <c r="N682" s="5">
        <f t="shared" si="5"/>
        <v>0</v>
      </c>
      <c r="O682" s="5">
        <f t="shared" si="6"/>
        <v>168643.8639</v>
      </c>
      <c r="P682" s="5">
        <f t="shared" si="9"/>
        <v>174449.7154</v>
      </c>
      <c r="Q682" s="5">
        <f t="shared" si="7"/>
        <v>174346.1724</v>
      </c>
      <c r="R682" s="5">
        <f t="shared" si="8"/>
        <v>103.5430079</v>
      </c>
    </row>
    <row r="683" ht="15.75" customHeight="1">
      <c r="A683" s="4">
        <v>2013.0</v>
      </c>
      <c r="B683" s="4">
        <v>128.0</v>
      </c>
      <c r="C683" s="4" t="s">
        <v>18</v>
      </c>
      <c r="D683" s="5">
        <v>8875.626988485159</v>
      </c>
      <c r="E683" s="5">
        <f t="shared" si="1"/>
        <v>0</v>
      </c>
      <c r="F683" s="5">
        <f t="shared" si="2"/>
        <v>8875.626988</v>
      </c>
      <c r="G683" s="5">
        <v>2126.169651818762</v>
      </c>
      <c r="H683" s="5">
        <v>1182.1650276707082</v>
      </c>
      <c r="I683" s="5">
        <v>944.0046241480536</v>
      </c>
      <c r="J683" s="5">
        <v>0.0</v>
      </c>
      <c r="K683" s="5">
        <f t="shared" si="3"/>
        <v>0</v>
      </c>
      <c r="L683" s="5">
        <f t="shared" si="4"/>
        <v>0</v>
      </c>
      <c r="M683" s="5">
        <v>75424.1992759947</v>
      </c>
      <c r="N683" s="5">
        <f t="shared" si="5"/>
        <v>0</v>
      </c>
      <c r="O683" s="5">
        <f t="shared" si="6"/>
        <v>75424.19928</v>
      </c>
      <c r="P683" s="5">
        <f t="shared" si="9"/>
        <v>86425.99592</v>
      </c>
      <c r="Q683" s="5">
        <f t="shared" si="7"/>
        <v>85243.83089</v>
      </c>
      <c r="R683" s="5">
        <f t="shared" si="8"/>
        <v>1182.165028</v>
      </c>
    </row>
    <row r="684" ht="15.75" customHeight="1">
      <c r="A684" s="4">
        <v>2013.0</v>
      </c>
      <c r="B684" s="4">
        <v>300.0</v>
      </c>
      <c r="C684" s="4" t="s">
        <v>20</v>
      </c>
      <c r="D684" s="5" t="s">
        <v>19</v>
      </c>
      <c r="E684" s="5" t="str">
        <f t="shared" si="1"/>
        <v/>
      </c>
      <c r="F684" s="5" t="str">
        <f t="shared" si="2"/>
        <v/>
      </c>
      <c r="G684" s="5">
        <v>10888.391828803047</v>
      </c>
      <c r="H684" s="5">
        <v>4439.650527472878</v>
      </c>
      <c r="I684" s="5">
        <v>6448.741301330169</v>
      </c>
      <c r="J684" s="5">
        <v>218828.87775711954</v>
      </c>
      <c r="K684" s="5">
        <f t="shared" si="3"/>
        <v>218828.8778</v>
      </c>
      <c r="L684" s="5">
        <f t="shared" si="4"/>
        <v>0</v>
      </c>
      <c r="M684" s="5">
        <v>4052.993421059349</v>
      </c>
      <c r="N684" s="5">
        <f t="shared" si="5"/>
        <v>0</v>
      </c>
      <c r="O684" s="5">
        <f t="shared" si="6"/>
        <v>4052.993421</v>
      </c>
      <c r="P684" s="5">
        <f t="shared" si="9"/>
        <v>233770.263</v>
      </c>
      <c r="Q684" s="5">
        <f t="shared" si="7"/>
        <v>10501.73472</v>
      </c>
      <c r="R684" s="5">
        <f t="shared" si="8"/>
        <v>223268.5283</v>
      </c>
    </row>
    <row r="685" ht="15.75" customHeight="1">
      <c r="A685" s="4">
        <v>2013.0</v>
      </c>
      <c r="B685" s="4">
        <v>301.0</v>
      </c>
      <c r="C685" s="4" t="s">
        <v>20</v>
      </c>
      <c r="D685" s="5" t="s">
        <v>19</v>
      </c>
      <c r="E685" s="5" t="str">
        <f t="shared" si="1"/>
        <v/>
      </c>
      <c r="F685" s="5" t="str">
        <f t="shared" si="2"/>
        <v/>
      </c>
      <c r="G685" s="5">
        <v>2488.484039266911</v>
      </c>
      <c r="H685" s="5">
        <v>1421.205808926292</v>
      </c>
      <c r="I685" s="5">
        <v>1067.278230340619</v>
      </c>
      <c r="J685" s="5">
        <v>6712.736646597799</v>
      </c>
      <c r="K685" s="5">
        <f t="shared" si="3"/>
        <v>6712.736647</v>
      </c>
      <c r="L685" s="5">
        <f t="shared" si="4"/>
        <v>0</v>
      </c>
      <c r="M685" s="5">
        <v>171.83095740268027</v>
      </c>
      <c r="N685" s="5">
        <f t="shared" si="5"/>
        <v>0</v>
      </c>
      <c r="O685" s="5">
        <f t="shared" si="6"/>
        <v>171.8309574</v>
      </c>
      <c r="P685" s="5">
        <f t="shared" si="9"/>
        <v>9373.051643</v>
      </c>
      <c r="Q685" s="5">
        <f t="shared" si="7"/>
        <v>1239.109188</v>
      </c>
      <c r="R685" s="5">
        <f t="shared" si="8"/>
        <v>8133.942456</v>
      </c>
    </row>
    <row r="686" ht="15.75" customHeight="1">
      <c r="A686" s="4">
        <v>2013.0</v>
      </c>
      <c r="B686" s="4">
        <v>302.0</v>
      </c>
      <c r="C686" s="4" t="s">
        <v>20</v>
      </c>
      <c r="D686" s="5">
        <v>4565.416456561103</v>
      </c>
      <c r="E686" s="5">
        <f t="shared" si="1"/>
        <v>0</v>
      </c>
      <c r="F686" s="5">
        <f t="shared" si="2"/>
        <v>4565.416457</v>
      </c>
      <c r="G686" s="5">
        <v>2810.4579759592375</v>
      </c>
      <c r="H686" s="5">
        <v>1380.5657401104818</v>
      </c>
      <c r="I686" s="5">
        <v>1429.8922358487557</v>
      </c>
      <c r="J686" s="5">
        <v>50935.29865660101</v>
      </c>
      <c r="K686" s="5">
        <f t="shared" si="3"/>
        <v>50935.29866</v>
      </c>
      <c r="L686" s="5">
        <f t="shared" si="4"/>
        <v>0</v>
      </c>
      <c r="M686" s="5">
        <v>4704.288178956604</v>
      </c>
      <c r="N686" s="5">
        <f t="shared" si="5"/>
        <v>0</v>
      </c>
      <c r="O686" s="5">
        <f t="shared" si="6"/>
        <v>4704.288179</v>
      </c>
      <c r="P686" s="5">
        <f t="shared" si="9"/>
        <v>63015.46127</v>
      </c>
      <c r="Q686" s="5">
        <f t="shared" si="7"/>
        <v>10699.59687</v>
      </c>
      <c r="R686" s="5">
        <f t="shared" si="8"/>
        <v>52315.8644</v>
      </c>
    </row>
    <row r="687" ht="15.75" customHeight="1">
      <c r="A687" s="4">
        <v>2013.0</v>
      </c>
      <c r="B687" s="4">
        <v>303.0</v>
      </c>
      <c r="C687" s="4" t="s">
        <v>20</v>
      </c>
      <c r="D687" s="5">
        <v>942.1240214581999</v>
      </c>
      <c r="E687" s="5">
        <f t="shared" si="1"/>
        <v>0</v>
      </c>
      <c r="F687" s="5">
        <f t="shared" si="2"/>
        <v>942.1240215</v>
      </c>
      <c r="G687" s="5" t="s">
        <v>19</v>
      </c>
      <c r="H687" s="5" t="s">
        <v>19</v>
      </c>
      <c r="I687" s="5" t="s">
        <v>19</v>
      </c>
      <c r="J687" s="5">
        <v>8112.4922992461725</v>
      </c>
      <c r="K687" s="5">
        <f t="shared" si="3"/>
        <v>8112.492299</v>
      </c>
      <c r="L687" s="5">
        <f t="shared" si="4"/>
        <v>0</v>
      </c>
      <c r="M687" s="5">
        <v>1351.367335960434</v>
      </c>
      <c r="N687" s="5">
        <f t="shared" si="5"/>
        <v>0</v>
      </c>
      <c r="O687" s="5">
        <f t="shared" si="6"/>
        <v>1351.367336</v>
      </c>
      <c r="P687" s="5">
        <f t="shared" si="9"/>
        <v>10405.98366</v>
      </c>
      <c r="Q687" s="5">
        <f t="shared" si="7"/>
        <v>2293.491357</v>
      </c>
      <c r="R687" s="5">
        <f t="shared" si="8"/>
        <v>8112.492299</v>
      </c>
    </row>
    <row r="688" ht="15.75" customHeight="1">
      <c r="A688" s="4">
        <v>2013.0</v>
      </c>
      <c r="B688" s="4">
        <v>304.0</v>
      </c>
      <c r="C688" s="4" t="s">
        <v>20</v>
      </c>
      <c r="D688" s="5">
        <v>26923.864883331997</v>
      </c>
      <c r="E688" s="5">
        <f t="shared" si="1"/>
        <v>0</v>
      </c>
      <c r="F688" s="5">
        <f t="shared" si="2"/>
        <v>26923.86488</v>
      </c>
      <c r="G688" s="5">
        <v>14583.003973655868</v>
      </c>
      <c r="H688" s="5">
        <v>7642.90341064534</v>
      </c>
      <c r="I688" s="5">
        <v>6940.100563010528</v>
      </c>
      <c r="J688" s="5">
        <v>767.471660657307</v>
      </c>
      <c r="K688" s="5">
        <f t="shared" si="3"/>
        <v>767.4716607</v>
      </c>
      <c r="L688" s="5">
        <f t="shared" si="4"/>
        <v>0</v>
      </c>
      <c r="M688" s="5">
        <v>4182.005212464102</v>
      </c>
      <c r="N688" s="5">
        <f t="shared" si="5"/>
        <v>0</v>
      </c>
      <c r="O688" s="5">
        <f t="shared" si="6"/>
        <v>4182.005212</v>
      </c>
      <c r="P688" s="5">
        <f t="shared" si="9"/>
        <v>46456.34573</v>
      </c>
      <c r="Q688" s="5">
        <f t="shared" si="7"/>
        <v>38045.97066</v>
      </c>
      <c r="R688" s="5">
        <f t="shared" si="8"/>
        <v>8410.375071</v>
      </c>
    </row>
    <row r="689" ht="15.75" customHeight="1">
      <c r="A689" s="4">
        <v>2013.0</v>
      </c>
      <c r="B689" s="4">
        <v>305.0</v>
      </c>
      <c r="C689" s="4" t="s">
        <v>20</v>
      </c>
      <c r="D689" s="5">
        <v>41629.25534404115</v>
      </c>
      <c r="E689" s="5">
        <f t="shared" si="1"/>
        <v>0</v>
      </c>
      <c r="F689" s="5">
        <f t="shared" si="2"/>
        <v>41629.25534</v>
      </c>
      <c r="G689" s="5">
        <v>8635.903827097956</v>
      </c>
      <c r="H689" s="5">
        <v>3192.6164420429163</v>
      </c>
      <c r="I689" s="5">
        <v>5443.28738505504</v>
      </c>
      <c r="J689" s="5">
        <v>6192.580968331207</v>
      </c>
      <c r="K689" s="5">
        <f t="shared" si="3"/>
        <v>6192.580968</v>
      </c>
      <c r="L689" s="5">
        <f t="shared" si="4"/>
        <v>0</v>
      </c>
      <c r="M689" s="5">
        <v>4793.667991476546</v>
      </c>
      <c r="N689" s="5">
        <f t="shared" si="5"/>
        <v>0</v>
      </c>
      <c r="O689" s="5">
        <f t="shared" si="6"/>
        <v>4793.667991</v>
      </c>
      <c r="P689" s="5">
        <f t="shared" si="9"/>
        <v>61251.40813</v>
      </c>
      <c r="Q689" s="5">
        <f t="shared" si="7"/>
        <v>51866.21072</v>
      </c>
      <c r="R689" s="5">
        <f t="shared" si="8"/>
        <v>9385.19741</v>
      </c>
    </row>
    <row r="690" ht="15.75" customHeight="1">
      <c r="A690" s="4">
        <v>2013.0</v>
      </c>
      <c r="B690" s="4">
        <v>306.0</v>
      </c>
      <c r="C690" s="4" t="s">
        <v>20</v>
      </c>
      <c r="D690" s="5" t="s">
        <v>19</v>
      </c>
      <c r="E690" s="5" t="str">
        <f t="shared" si="1"/>
        <v/>
      </c>
      <c r="F690" s="5" t="str">
        <f t="shared" si="2"/>
        <v/>
      </c>
      <c r="G690" s="5" t="s">
        <v>19</v>
      </c>
      <c r="H690" s="5" t="s">
        <v>19</v>
      </c>
      <c r="I690" s="5" t="s">
        <v>19</v>
      </c>
      <c r="J690" s="5">
        <v>0.0</v>
      </c>
      <c r="K690" s="5">
        <f t="shared" si="3"/>
        <v>0</v>
      </c>
      <c r="L690" s="5">
        <f t="shared" si="4"/>
        <v>0</v>
      </c>
      <c r="M690" s="5">
        <v>4223.715791640076</v>
      </c>
      <c r="N690" s="5">
        <f t="shared" si="5"/>
        <v>0</v>
      </c>
      <c r="O690" s="5">
        <f t="shared" si="6"/>
        <v>4223.715792</v>
      </c>
      <c r="P690" s="5">
        <f t="shared" si="9"/>
        <v>4223.715792</v>
      </c>
      <c r="Q690" s="5">
        <f t="shared" si="7"/>
        <v>4223.715792</v>
      </c>
      <c r="R690" s="5">
        <f t="shared" si="8"/>
        <v>0</v>
      </c>
    </row>
    <row r="691" ht="15.75" customHeight="1">
      <c r="A691" s="4">
        <v>2013.0</v>
      </c>
      <c r="B691" s="4">
        <v>307.0</v>
      </c>
      <c r="C691" s="4" t="s">
        <v>20</v>
      </c>
      <c r="D691" s="5" t="s">
        <v>19</v>
      </c>
      <c r="E691" s="5" t="str">
        <f t="shared" si="1"/>
        <v/>
      </c>
      <c r="F691" s="5" t="str">
        <f t="shared" si="2"/>
        <v/>
      </c>
      <c r="G691" s="5" t="s">
        <v>19</v>
      </c>
      <c r="H691" s="5" t="s">
        <v>19</v>
      </c>
      <c r="I691" s="5" t="s">
        <v>19</v>
      </c>
      <c r="J691" s="5">
        <v>0.0</v>
      </c>
      <c r="K691" s="5">
        <f t="shared" si="3"/>
        <v>0</v>
      </c>
      <c r="L691" s="5">
        <f t="shared" si="4"/>
        <v>0</v>
      </c>
      <c r="M691" s="5">
        <v>259.13216963146135</v>
      </c>
      <c r="N691" s="5">
        <f t="shared" si="5"/>
        <v>0</v>
      </c>
      <c r="O691" s="5">
        <f t="shared" si="6"/>
        <v>259.1321696</v>
      </c>
      <c r="P691" s="5">
        <f t="shared" si="9"/>
        <v>259.1321696</v>
      </c>
      <c r="Q691" s="5">
        <f t="shared" si="7"/>
        <v>259.1321696</v>
      </c>
      <c r="R691" s="5">
        <f t="shared" si="8"/>
        <v>0</v>
      </c>
    </row>
    <row r="692" ht="15.75" customHeight="1">
      <c r="A692" s="4">
        <v>2013.0</v>
      </c>
      <c r="B692" s="4">
        <v>308.0</v>
      </c>
      <c r="C692" s="4" t="s">
        <v>20</v>
      </c>
      <c r="D692" s="5">
        <v>12955.662187866938</v>
      </c>
      <c r="E692" s="5">
        <f t="shared" si="1"/>
        <v>0</v>
      </c>
      <c r="F692" s="5">
        <f t="shared" si="2"/>
        <v>12955.66219</v>
      </c>
      <c r="G692" s="5">
        <v>18712.15905715539</v>
      </c>
      <c r="H692" s="5">
        <v>5880.356478470007</v>
      </c>
      <c r="I692" s="5">
        <v>12831.802578685383</v>
      </c>
      <c r="J692" s="5">
        <v>2066.892715467454</v>
      </c>
      <c r="K692" s="5">
        <f t="shared" si="3"/>
        <v>2066.892715</v>
      </c>
      <c r="L692" s="5">
        <f t="shared" si="4"/>
        <v>0</v>
      </c>
      <c r="M692" s="5">
        <v>8352.785983355934</v>
      </c>
      <c r="N692" s="5">
        <f t="shared" si="5"/>
        <v>0</v>
      </c>
      <c r="O692" s="5">
        <f t="shared" si="6"/>
        <v>8352.785983</v>
      </c>
      <c r="P692" s="5">
        <f t="shared" si="9"/>
        <v>42087.49994</v>
      </c>
      <c r="Q692" s="5">
        <f t="shared" si="7"/>
        <v>34140.25075</v>
      </c>
      <c r="R692" s="5">
        <f t="shared" si="8"/>
        <v>7947.249194</v>
      </c>
    </row>
    <row r="693" ht="15.75" customHeight="1">
      <c r="A693" s="4">
        <v>2013.0</v>
      </c>
      <c r="B693" s="4">
        <v>309.0</v>
      </c>
      <c r="C693" s="4" t="s">
        <v>20</v>
      </c>
      <c r="D693" s="5" t="s">
        <v>19</v>
      </c>
      <c r="E693" s="5" t="str">
        <f t="shared" si="1"/>
        <v/>
      </c>
      <c r="F693" s="5" t="str">
        <f t="shared" si="2"/>
        <v/>
      </c>
      <c r="G693" s="5">
        <v>647.0501687141034</v>
      </c>
      <c r="H693" s="5">
        <v>328.8433049218252</v>
      </c>
      <c r="I693" s="5">
        <v>318.20686379227817</v>
      </c>
      <c r="J693" s="5">
        <v>1371.2395037890878</v>
      </c>
      <c r="K693" s="5">
        <f t="shared" si="3"/>
        <v>1371.239504</v>
      </c>
      <c r="L693" s="5">
        <f t="shared" si="4"/>
        <v>0</v>
      </c>
      <c r="M693" s="5">
        <v>673.4664943363111</v>
      </c>
      <c r="N693" s="5">
        <f t="shared" si="5"/>
        <v>0</v>
      </c>
      <c r="O693" s="5">
        <f t="shared" si="6"/>
        <v>673.4664943</v>
      </c>
      <c r="P693" s="5">
        <f t="shared" si="9"/>
        <v>2691.756167</v>
      </c>
      <c r="Q693" s="5">
        <f t="shared" si="7"/>
        <v>991.6733581</v>
      </c>
      <c r="R693" s="5">
        <f t="shared" si="8"/>
        <v>1700.082809</v>
      </c>
    </row>
    <row r="694" ht="15.75" customHeight="1">
      <c r="A694" s="4">
        <v>2013.0</v>
      </c>
      <c r="B694" s="4">
        <v>310.0</v>
      </c>
      <c r="C694" s="4" t="s">
        <v>20</v>
      </c>
      <c r="D694" s="5" t="s">
        <v>19</v>
      </c>
      <c r="E694" s="5" t="str">
        <f t="shared" si="1"/>
        <v/>
      </c>
      <c r="F694" s="5" t="str">
        <f t="shared" si="2"/>
        <v/>
      </c>
      <c r="G694" s="5" t="s">
        <v>19</v>
      </c>
      <c r="H694" s="5" t="s">
        <v>19</v>
      </c>
      <c r="I694" s="5" t="s">
        <v>19</v>
      </c>
      <c r="J694" s="5">
        <v>10242.93026001117</v>
      </c>
      <c r="K694" s="5">
        <f t="shared" si="3"/>
        <v>10242.93026</v>
      </c>
      <c r="L694" s="5">
        <f t="shared" si="4"/>
        <v>0</v>
      </c>
      <c r="M694" s="5">
        <v>997.728139757498</v>
      </c>
      <c r="N694" s="5">
        <f t="shared" si="5"/>
        <v>0</v>
      </c>
      <c r="O694" s="5">
        <f t="shared" si="6"/>
        <v>997.7281398</v>
      </c>
      <c r="P694" s="5">
        <f t="shared" si="9"/>
        <v>11240.6584</v>
      </c>
      <c r="Q694" s="5">
        <f t="shared" si="7"/>
        <v>997.7281398</v>
      </c>
      <c r="R694" s="5">
        <f t="shared" si="8"/>
        <v>10242.93026</v>
      </c>
    </row>
    <row r="695" ht="15.75" customHeight="1">
      <c r="A695" s="4">
        <v>2013.0</v>
      </c>
      <c r="B695" s="4">
        <v>311.0</v>
      </c>
      <c r="C695" s="4" t="s">
        <v>20</v>
      </c>
      <c r="D695" s="5">
        <v>1241.7583107570192</v>
      </c>
      <c r="E695" s="5">
        <f t="shared" si="1"/>
        <v>0</v>
      </c>
      <c r="F695" s="5">
        <f t="shared" si="2"/>
        <v>1241.758311</v>
      </c>
      <c r="G695" s="5">
        <v>3882.30101228462</v>
      </c>
      <c r="H695" s="5">
        <v>2508.3387293753985</v>
      </c>
      <c r="I695" s="5">
        <v>1373.9622829092214</v>
      </c>
      <c r="J695" s="5">
        <v>9418.144660658905</v>
      </c>
      <c r="K695" s="5">
        <f t="shared" si="3"/>
        <v>9418.144661</v>
      </c>
      <c r="L695" s="5">
        <f t="shared" si="4"/>
        <v>0</v>
      </c>
      <c r="M695" s="5">
        <v>1223.6027047303764</v>
      </c>
      <c r="N695" s="5">
        <f t="shared" si="5"/>
        <v>0</v>
      </c>
      <c r="O695" s="5">
        <f t="shared" si="6"/>
        <v>1223.602705</v>
      </c>
      <c r="P695" s="5">
        <f t="shared" si="9"/>
        <v>15765.80669</v>
      </c>
      <c r="Q695" s="5">
        <f t="shared" si="7"/>
        <v>3839.323298</v>
      </c>
      <c r="R695" s="5">
        <f t="shared" si="8"/>
        <v>11926.48339</v>
      </c>
    </row>
    <row r="696" ht="15.75" customHeight="1">
      <c r="A696" s="4">
        <v>2013.0</v>
      </c>
      <c r="B696" s="4">
        <v>312.0</v>
      </c>
      <c r="C696" s="4" t="s">
        <v>20</v>
      </c>
      <c r="D696" s="5" t="s">
        <v>19</v>
      </c>
      <c r="E696" s="5" t="str">
        <f t="shared" si="1"/>
        <v/>
      </c>
      <c r="F696" s="5" t="str">
        <f t="shared" si="2"/>
        <v/>
      </c>
      <c r="G696" s="5">
        <v>1351.0052974712826</v>
      </c>
      <c r="H696" s="5">
        <v>665.7171228964581</v>
      </c>
      <c r="I696" s="5">
        <v>685.2881745748244</v>
      </c>
      <c r="J696" s="5">
        <v>20671.49712858408</v>
      </c>
      <c r="K696" s="5">
        <f t="shared" si="3"/>
        <v>20671.49713</v>
      </c>
      <c r="L696" s="5">
        <f t="shared" si="4"/>
        <v>0</v>
      </c>
      <c r="M696" s="5">
        <v>485.0067346043393</v>
      </c>
      <c r="N696" s="5">
        <f t="shared" si="5"/>
        <v>0</v>
      </c>
      <c r="O696" s="5">
        <f t="shared" si="6"/>
        <v>485.0067346</v>
      </c>
      <c r="P696" s="5">
        <f t="shared" si="9"/>
        <v>22507.50916</v>
      </c>
      <c r="Q696" s="5">
        <f t="shared" si="7"/>
        <v>1170.294909</v>
      </c>
      <c r="R696" s="5">
        <f t="shared" si="8"/>
        <v>21337.21425</v>
      </c>
    </row>
    <row r="697" ht="15.75" customHeight="1">
      <c r="A697" s="4">
        <v>2013.0</v>
      </c>
      <c r="B697" s="4">
        <v>313.0</v>
      </c>
      <c r="C697" s="4" t="s">
        <v>20</v>
      </c>
      <c r="D697" s="5">
        <v>29625.915427349224</v>
      </c>
      <c r="E697" s="5">
        <f t="shared" si="1"/>
        <v>0</v>
      </c>
      <c r="F697" s="5">
        <f t="shared" si="2"/>
        <v>29625.91543</v>
      </c>
      <c r="G697" s="5">
        <v>1143.8606064733567</v>
      </c>
      <c r="H697" s="5">
        <v>339.3911090419591</v>
      </c>
      <c r="I697" s="5">
        <v>804.4694974313976</v>
      </c>
      <c r="J697" s="5">
        <v>0.0</v>
      </c>
      <c r="K697" s="5">
        <f t="shared" si="3"/>
        <v>0</v>
      </c>
      <c r="L697" s="5">
        <f t="shared" si="4"/>
        <v>0</v>
      </c>
      <c r="M697" s="5">
        <v>5703.679198947033</v>
      </c>
      <c r="N697" s="5">
        <f t="shared" si="5"/>
        <v>0</v>
      </c>
      <c r="O697" s="5">
        <f t="shared" si="6"/>
        <v>5703.679199</v>
      </c>
      <c r="P697" s="5">
        <f t="shared" si="9"/>
        <v>36473.45523</v>
      </c>
      <c r="Q697" s="5">
        <f t="shared" si="7"/>
        <v>36134.06412</v>
      </c>
      <c r="R697" s="5">
        <f t="shared" si="8"/>
        <v>339.391109</v>
      </c>
    </row>
    <row r="698" ht="15.75" customHeight="1">
      <c r="A698" s="4">
        <v>2013.0</v>
      </c>
      <c r="B698" s="4">
        <v>314.0</v>
      </c>
      <c r="C698" s="4" t="s">
        <v>20</v>
      </c>
      <c r="D698" s="5" t="s">
        <v>19</v>
      </c>
      <c r="E698" s="5" t="str">
        <f t="shared" si="1"/>
        <v/>
      </c>
      <c r="F698" s="5" t="str">
        <f t="shared" si="2"/>
        <v/>
      </c>
      <c r="G698" s="5" t="s">
        <v>19</v>
      </c>
      <c r="H698" s="5" t="s">
        <v>19</v>
      </c>
      <c r="I698" s="5" t="s">
        <v>19</v>
      </c>
      <c r="J698" s="5">
        <v>0.0</v>
      </c>
      <c r="K698" s="5">
        <f t="shared" si="3"/>
        <v>0</v>
      </c>
      <c r="L698" s="5">
        <f t="shared" si="4"/>
        <v>0</v>
      </c>
      <c r="M698" s="5">
        <v>2743.75238433312</v>
      </c>
      <c r="N698" s="5">
        <f t="shared" si="5"/>
        <v>0</v>
      </c>
      <c r="O698" s="5">
        <f t="shared" si="6"/>
        <v>2743.752384</v>
      </c>
      <c r="P698" s="5">
        <f t="shared" si="9"/>
        <v>2743.752384</v>
      </c>
      <c r="Q698" s="5">
        <f t="shared" si="7"/>
        <v>2743.752384</v>
      </c>
      <c r="R698" s="5">
        <f t="shared" si="8"/>
        <v>0</v>
      </c>
    </row>
    <row r="699" ht="15.75" customHeight="1">
      <c r="A699" s="4">
        <v>2013.0</v>
      </c>
      <c r="B699" s="4">
        <v>320.0</v>
      </c>
      <c r="C699" s="4" t="s">
        <v>20</v>
      </c>
      <c r="D699" s="5">
        <v>192458.11492845276</v>
      </c>
      <c r="E699" s="5">
        <f t="shared" si="1"/>
        <v>0</v>
      </c>
      <c r="F699" s="5">
        <f t="shared" si="2"/>
        <v>192458.1149</v>
      </c>
      <c r="G699" s="5">
        <v>32432.01583314853</v>
      </c>
      <c r="H699" s="5">
        <v>17937.329775671664</v>
      </c>
      <c r="I699" s="5">
        <v>14494.686057476865</v>
      </c>
      <c r="J699" s="5">
        <v>46344.02266464583</v>
      </c>
      <c r="K699" s="5">
        <f t="shared" si="3"/>
        <v>46344.02266</v>
      </c>
      <c r="L699" s="5">
        <f t="shared" si="4"/>
        <v>0</v>
      </c>
      <c r="M699" s="5">
        <v>70681.41716741782</v>
      </c>
      <c r="N699" s="5">
        <f t="shared" si="5"/>
        <v>0</v>
      </c>
      <c r="O699" s="5">
        <f t="shared" si="6"/>
        <v>70681.41717</v>
      </c>
      <c r="P699" s="5">
        <f t="shared" si="9"/>
        <v>341915.5706</v>
      </c>
      <c r="Q699" s="5">
        <f t="shared" si="7"/>
        <v>277634.2182</v>
      </c>
      <c r="R699" s="5">
        <f t="shared" si="8"/>
        <v>64281.35244</v>
      </c>
    </row>
    <row r="700" ht="15.75" customHeight="1">
      <c r="A700" s="4">
        <v>2013.0</v>
      </c>
      <c r="B700" s="4">
        <v>321.0</v>
      </c>
      <c r="C700" s="4" t="s">
        <v>20</v>
      </c>
      <c r="D700" s="5">
        <v>115766.16010684025</v>
      </c>
      <c r="E700" s="5">
        <f t="shared" si="1"/>
        <v>0</v>
      </c>
      <c r="F700" s="5">
        <f t="shared" si="2"/>
        <v>115766.1601</v>
      </c>
      <c r="G700" s="5">
        <v>17184.057014877155</v>
      </c>
      <c r="H700" s="5">
        <v>8752.372857466496</v>
      </c>
      <c r="I700" s="5">
        <v>8431.684157410658</v>
      </c>
      <c r="J700" s="5">
        <v>18288.53282736519</v>
      </c>
      <c r="K700" s="5">
        <f t="shared" si="3"/>
        <v>18288.53283</v>
      </c>
      <c r="L700" s="5">
        <f t="shared" si="4"/>
        <v>0</v>
      </c>
      <c r="M700" s="5">
        <v>4881.800643821793</v>
      </c>
      <c r="N700" s="5">
        <f t="shared" si="5"/>
        <v>0</v>
      </c>
      <c r="O700" s="5">
        <f t="shared" si="6"/>
        <v>4881.800644</v>
      </c>
      <c r="P700" s="5">
        <f t="shared" si="9"/>
        <v>156120.5506</v>
      </c>
      <c r="Q700" s="5">
        <f t="shared" si="7"/>
        <v>129079.6449</v>
      </c>
      <c r="R700" s="5">
        <f t="shared" si="8"/>
        <v>27040.90568</v>
      </c>
    </row>
    <row r="701" ht="15.75" customHeight="1">
      <c r="A701" s="4">
        <v>2013.0</v>
      </c>
      <c r="B701" s="4">
        <v>322.0</v>
      </c>
      <c r="C701" s="4" t="s">
        <v>20</v>
      </c>
      <c r="D701" s="5">
        <v>3617.9504947750465</v>
      </c>
      <c r="E701" s="5">
        <f t="shared" si="1"/>
        <v>0</v>
      </c>
      <c r="F701" s="5">
        <f t="shared" si="2"/>
        <v>3617.950495</v>
      </c>
      <c r="G701" s="5" t="s">
        <v>19</v>
      </c>
      <c r="H701" s="5" t="s">
        <v>19</v>
      </c>
      <c r="I701" s="5" t="s">
        <v>19</v>
      </c>
      <c r="J701" s="5">
        <v>0.0</v>
      </c>
      <c r="K701" s="5">
        <f t="shared" si="3"/>
        <v>0</v>
      </c>
      <c r="L701" s="5">
        <f t="shared" si="4"/>
        <v>0</v>
      </c>
      <c r="M701" s="5">
        <v>48955.609777492806</v>
      </c>
      <c r="N701" s="5">
        <f t="shared" si="5"/>
        <v>0</v>
      </c>
      <c r="O701" s="5">
        <f t="shared" si="6"/>
        <v>48955.60978</v>
      </c>
      <c r="P701" s="5">
        <f t="shared" si="9"/>
        <v>52573.56027</v>
      </c>
      <c r="Q701" s="5">
        <f t="shared" si="7"/>
        <v>52573.56027</v>
      </c>
      <c r="R701" s="5">
        <f t="shared" si="8"/>
        <v>0</v>
      </c>
    </row>
    <row r="702" ht="15.75" customHeight="1">
      <c r="A702" s="4">
        <v>2013.0</v>
      </c>
      <c r="B702" s="4">
        <v>323.0</v>
      </c>
      <c r="C702" s="4" t="s">
        <v>20</v>
      </c>
      <c r="D702" s="5">
        <v>2428.1546944798965</v>
      </c>
      <c r="E702" s="5">
        <f t="shared" si="1"/>
        <v>0</v>
      </c>
      <c r="F702" s="5">
        <f t="shared" si="2"/>
        <v>2428.154694</v>
      </c>
      <c r="G702" s="5" t="s">
        <v>19</v>
      </c>
      <c r="H702" s="5" t="s">
        <v>19</v>
      </c>
      <c r="I702" s="5" t="s">
        <v>19</v>
      </c>
      <c r="J702" s="5">
        <v>0.0</v>
      </c>
      <c r="K702" s="5">
        <f t="shared" si="3"/>
        <v>0</v>
      </c>
      <c r="L702" s="5">
        <f t="shared" si="4"/>
        <v>0</v>
      </c>
      <c r="M702" s="5">
        <v>124063.69726897968</v>
      </c>
      <c r="N702" s="5">
        <f t="shared" si="5"/>
        <v>0</v>
      </c>
      <c r="O702" s="5">
        <f t="shared" si="6"/>
        <v>124063.6973</v>
      </c>
      <c r="P702" s="5">
        <f t="shared" si="9"/>
        <v>126491.852</v>
      </c>
      <c r="Q702" s="5">
        <f t="shared" si="7"/>
        <v>126491.852</v>
      </c>
      <c r="R702" s="5">
        <f t="shared" si="8"/>
        <v>0</v>
      </c>
    </row>
    <row r="703" ht="15.75" customHeight="1">
      <c r="A703" s="4">
        <v>2013.0</v>
      </c>
      <c r="B703" s="4">
        <v>324.0</v>
      </c>
      <c r="C703" s="4" t="s">
        <v>20</v>
      </c>
      <c r="D703" s="5">
        <v>16531.84842189693</v>
      </c>
      <c r="E703" s="5">
        <f t="shared" si="1"/>
        <v>0</v>
      </c>
      <c r="F703" s="5">
        <f t="shared" si="2"/>
        <v>16531.84842</v>
      </c>
      <c r="G703" s="5">
        <v>7693.6924170389275</v>
      </c>
      <c r="H703" s="5">
        <v>1817.945063058392</v>
      </c>
      <c r="I703" s="5">
        <v>5875.747353980536</v>
      </c>
      <c r="J703" s="5">
        <v>0.0</v>
      </c>
      <c r="K703" s="5">
        <f t="shared" si="3"/>
        <v>0</v>
      </c>
      <c r="L703" s="5">
        <f t="shared" si="4"/>
        <v>0</v>
      </c>
      <c r="M703" s="5">
        <v>98155.3858025207</v>
      </c>
      <c r="N703" s="5">
        <f t="shared" si="5"/>
        <v>0</v>
      </c>
      <c r="O703" s="5">
        <f t="shared" si="6"/>
        <v>98155.3858</v>
      </c>
      <c r="P703" s="5">
        <f t="shared" si="9"/>
        <v>122380.9266</v>
      </c>
      <c r="Q703" s="5">
        <f t="shared" si="7"/>
        <v>120562.9816</v>
      </c>
      <c r="R703" s="5">
        <f t="shared" si="8"/>
        <v>1817.945063</v>
      </c>
    </row>
    <row r="704" ht="15.75" customHeight="1">
      <c r="A704" s="4">
        <v>2013.0</v>
      </c>
      <c r="B704" s="4">
        <v>325.0</v>
      </c>
      <c r="C704" s="4" t="s">
        <v>20</v>
      </c>
      <c r="D704" s="5">
        <v>16542.532302552638</v>
      </c>
      <c r="E704" s="5">
        <f t="shared" si="1"/>
        <v>0</v>
      </c>
      <c r="F704" s="5">
        <f t="shared" si="2"/>
        <v>16542.5323</v>
      </c>
      <c r="G704" s="5" t="s">
        <v>19</v>
      </c>
      <c r="H704" s="5" t="s">
        <v>19</v>
      </c>
      <c r="I704" s="5" t="s">
        <v>19</v>
      </c>
      <c r="J704" s="5">
        <v>0.0</v>
      </c>
      <c r="K704" s="5">
        <f t="shared" si="3"/>
        <v>0</v>
      </c>
      <c r="L704" s="5">
        <f t="shared" si="4"/>
        <v>0</v>
      </c>
      <c r="M704" s="5">
        <v>11693.928091368853</v>
      </c>
      <c r="N704" s="5">
        <f t="shared" si="5"/>
        <v>0</v>
      </c>
      <c r="O704" s="5">
        <f t="shared" si="6"/>
        <v>11693.92809</v>
      </c>
      <c r="P704" s="5">
        <f t="shared" si="9"/>
        <v>28236.46039</v>
      </c>
      <c r="Q704" s="5">
        <f t="shared" si="7"/>
        <v>28236.46039</v>
      </c>
      <c r="R704" s="5">
        <f t="shared" si="8"/>
        <v>0</v>
      </c>
    </row>
    <row r="705" ht="15.75" customHeight="1">
      <c r="A705" s="4">
        <v>2013.0</v>
      </c>
      <c r="B705" s="4">
        <v>326.0</v>
      </c>
      <c r="C705" s="4" t="s">
        <v>20</v>
      </c>
      <c r="D705" s="5" t="s">
        <v>19</v>
      </c>
      <c r="E705" s="5" t="str">
        <f t="shared" si="1"/>
        <v/>
      </c>
      <c r="F705" s="5" t="str">
        <f t="shared" si="2"/>
        <v/>
      </c>
      <c r="G705" s="5" t="s">
        <v>19</v>
      </c>
      <c r="H705" s="5" t="s">
        <v>19</v>
      </c>
      <c r="I705" s="5" t="s">
        <v>19</v>
      </c>
      <c r="J705" s="5">
        <v>0.0</v>
      </c>
      <c r="K705" s="5">
        <f t="shared" si="3"/>
        <v>0</v>
      </c>
      <c r="L705" s="5">
        <f t="shared" si="4"/>
        <v>0</v>
      </c>
      <c r="M705" s="5">
        <v>17863.075182183304</v>
      </c>
      <c r="N705" s="5">
        <f t="shared" si="5"/>
        <v>0</v>
      </c>
      <c r="O705" s="5">
        <f t="shared" si="6"/>
        <v>17863.07518</v>
      </c>
      <c r="P705" s="5">
        <f t="shared" si="9"/>
        <v>17863.07518</v>
      </c>
      <c r="Q705" s="5">
        <f t="shared" si="7"/>
        <v>17863.07518</v>
      </c>
      <c r="R705" s="5">
        <f t="shared" si="8"/>
        <v>0</v>
      </c>
    </row>
    <row r="706" ht="15.75" customHeight="1">
      <c r="A706" s="4">
        <v>2013.0</v>
      </c>
      <c r="B706" s="4">
        <v>327.0</v>
      </c>
      <c r="C706" s="4" t="s">
        <v>20</v>
      </c>
      <c r="D706" s="5">
        <v>111428.26174515192</v>
      </c>
      <c r="E706" s="5">
        <f t="shared" si="1"/>
        <v>0</v>
      </c>
      <c r="F706" s="5">
        <f t="shared" si="2"/>
        <v>111428.2617</v>
      </c>
      <c r="G706" s="5">
        <v>14900.32446735402</v>
      </c>
      <c r="H706" s="5">
        <v>4750.500519483886</v>
      </c>
      <c r="I706" s="5">
        <v>10149.823947870133</v>
      </c>
      <c r="J706" s="5">
        <v>0.0</v>
      </c>
      <c r="K706" s="5">
        <f t="shared" si="3"/>
        <v>0</v>
      </c>
      <c r="L706" s="5">
        <f t="shared" si="4"/>
        <v>0</v>
      </c>
      <c r="M706" s="5">
        <v>28729.858931022638</v>
      </c>
      <c r="N706" s="5">
        <f t="shared" si="5"/>
        <v>0</v>
      </c>
      <c r="O706" s="5">
        <f t="shared" si="6"/>
        <v>28729.85893</v>
      </c>
      <c r="P706" s="5">
        <f t="shared" si="9"/>
        <v>155058.4451</v>
      </c>
      <c r="Q706" s="5">
        <f t="shared" si="7"/>
        <v>150307.9446</v>
      </c>
      <c r="R706" s="5">
        <f t="shared" si="8"/>
        <v>4750.500519</v>
      </c>
    </row>
    <row r="707" ht="15.75" customHeight="1">
      <c r="A707" s="4">
        <v>2013.0</v>
      </c>
      <c r="B707" s="4">
        <v>328.0</v>
      </c>
      <c r="C707" s="4" t="s">
        <v>20</v>
      </c>
      <c r="D707" s="5">
        <v>17424.923718526632</v>
      </c>
      <c r="E707" s="5">
        <f t="shared" si="1"/>
        <v>0</v>
      </c>
      <c r="F707" s="5">
        <f t="shared" si="2"/>
        <v>17424.92372</v>
      </c>
      <c r="G707" s="5">
        <v>847.8129950343011</v>
      </c>
      <c r="H707" s="5">
        <v>315.8136645381302</v>
      </c>
      <c r="I707" s="5">
        <v>531.999330496171</v>
      </c>
      <c r="J707" s="5">
        <v>0.0</v>
      </c>
      <c r="K707" s="5">
        <f t="shared" si="3"/>
        <v>0</v>
      </c>
      <c r="L707" s="5">
        <f t="shared" si="4"/>
        <v>0</v>
      </c>
      <c r="M707" s="5">
        <v>99417.65047266666</v>
      </c>
      <c r="N707" s="5">
        <f t="shared" si="5"/>
        <v>0</v>
      </c>
      <c r="O707" s="5">
        <f t="shared" si="6"/>
        <v>99417.65047</v>
      </c>
      <c r="P707" s="5">
        <f t="shared" si="9"/>
        <v>117690.3872</v>
      </c>
      <c r="Q707" s="5">
        <f t="shared" si="7"/>
        <v>117374.5735</v>
      </c>
      <c r="R707" s="5">
        <f t="shared" si="8"/>
        <v>315.8136645</v>
      </c>
    </row>
    <row r="708" ht="15.75" customHeight="1">
      <c r="A708" s="4">
        <v>2013.0</v>
      </c>
      <c r="B708" s="4">
        <v>331.0</v>
      </c>
      <c r="C708" s="4" t="s">
        <v>20</v>
      </c>
      <c r="D708" s="5">
        <v>193556.1750443905</v>
      </c>
      <c r="E708" s="5">
        <f t="shared" si="1"/>
        <v>0</v>
      </c>
      <c r="F708" s="5">
        <f t="shared" si="2"/>
        <v>193556.175</v>
      </c>
      <c r="G708" s="5">
        <v>249210.79633967573</v>
      </c>
      <c r="H708" s="5">
        <v>60224.17672566329</v>
      </c>
      <c r="I708" s="5">
        <v>188986.61961401242</v>
      </c>
      <c r="J708" s="5">
        <v>4438.45055714263</v>
      </c>
      <c r="K708" s="5">
        <f t="shared" si="3"/>
        <v>4438.450557</v>
      </c>
      <c r="L708" s="5">
        <f t="shared" si="4"/>
        <v>0</v>
      </c>
      <c r="M708" s="5">
        <v>46440.78057189293</v>
      </c>
      <c r="N708" s="5">
        <f t="shared" si="5"/>
        <v>0</v>
      </c>
      <c r="O708" s="5">
        <f t="shared" si="6"/>
        <v>46440.78057</v>
      </c>
      <c r="P708" s="5">
        <f t="shared" si="9"/>
        <v>493646.2025</v>
      </c>
      <c r="Q708" s="5">
        <f t="shared" si="7"/>
        <v>428983.5752</v>
      </c>
      <c r="R708" s="5">
        <f t="shared" si="8"/>
        <v>64662.62728</v>
      </c>
    </row>
    <row r="709" ht="15.75" customHeight="1">
      <c r="A709" s="4">
        <v>2013.0</v>
      </c>
      <c r="B709" s="4">
        <v>332.0</v>
      </c>
      <c r="C709" s="4" t="s">
        <v>20</v>
      </c>
      <c r="D709" s="5">
        <v>5786.2926369455945</v>
      </c>
      <c r="E709" s="5">
        <f t="shared" si="1"/>
        <v>0</v>
      </c>
      <c r="F709" s="5">
        <f t="shared" si="2"/>
        <v>5786.292637</v>
      </c>
      <c r="G709" s="5" t="s">
        <v>19</v>
      </c>
      <c r="H709" s="5" t="s">
        <v>19</v>
      </c>
      <c r="I709" s="5" t="s">
        <v>19</v>
      </c>
      <c r="J709" s="5">
        <v>0.0</v>
      </c>
      <c r="K709" s="5">
        <f t="shared" si="3"/>
        <v>0</v>
      </c>
      <c r="L709" s="5">
        <f t="shared" si="4"/>
        <v>0</v>
      </c>
      <c r="M709" s="5">
        <v>6533.040715120451</v>
      </c>
      <c r="N709" s="5">
        <f t="shared" si="5"/>
        <v>0</v>
      </c>
      <c r="O709" s="5">
        <f t="shared" si="6"/>
        <v>6533.040715</v>
      </c>
      <c r="P709" s="5">
        <f t="shared" si="9"/>
        <v>12319.33335</v>
      </c>
      <c r="Q709" s="5">
        <f t="shared" si="7"/>
        <v>12319.33335</v>
      </c>
      <c r="R709" s="5">
        <f t="shared" si="8"/>
        <v>0</v>
      </c>
    </row>
    <row r="710" ht="15.75" customHeight="1">
      <c r="A710" s="4">
        <v>2013.0</v>
      </c>
      <c r="B710" s="4">
        <v>333.0</v>
      </c>
      <c r="C710" s="4" t="s">
        <v>20</v>
      </c>
      <c r="D710" s="5">
        <v>13247.52638214342</v>
      </c>
      <c r="E710" s="5">
        <f t="shared" si="1"/>
        <v>0</v>
      </c>
      <c r="F710" s="5">
        <f t="shared" si="2"/>
        <v>13247.52638</v>
      </c>
      <c r="G710" s="5" t="s">
        <v>19</v>
      </c>
      <c r="H710" s="5" t="s">
        <v>19</v>
      </c>
      <c r="I710" s="5" t="s">
        <v>19</v>
      </c>
      <c r="J710" s="5">
        <v>151.3820248085514</v>
      </c>
      <c r="K710" s="5">
        <f t="shared" si="3"/>
        <v>151.3820248</v>
      </c>
      <c r="L710" s="5">
        <f t="shared" si="4"/>
        <v>0</v>
      </c>
      <c r="M710" s="5">
        <v>5195.114994376196</v>
      </c>
      <c r="N710" s="5">
        <f t="shared" si="5"/>
        <v>0</v>
      </c>
      <c r="O710" s="5">
        <f t="shared" si="6"/>
        <v>5195.114994</v>
      </c>
      <c r="P710" s="5">
        <f t="shared" si="9"/>
        <v>18594.0234</v>
      </c>
      <c r="Q710" s="5">
        <f t="shared" si="7"/>
        <v>18442.64138</v>
      </c>
      <c r="R710" s="5">
        <f t="shared" si="8"/>
        <v>151.3820248</v>
      </c>
    </row>
    <row r="711" ht="15.75" customHeight="1">
      <c r="A711" s="4">
        <v>2013.0</v>
      </c>
      <c r="B711" s="4">
        <v>400.0</v>
      </c>
      <c r="C711" s="4" t="s">
        <v>21</v>
      </c>
      <c r="D711" s="5">
        <v>294.7257964310783</v>
      </c>
      <c r="E711" s="5">
        <f t="shared" si="1"/>
        <v>0</v>
      </c>
      <c r="F711" s="5">
        <f t="shared" si="2"/>
        <v>294.7257964</v>
      </c>
      <c r="G711" s="5">
        <v>2325.785190650925</v>
      </c>
      <c r="H711" s="5">
        <v>1667.6741218889595</v>
      </c>
      <c r="I711" s="5">
        <v>658.1110687619655</v>
      </c>
      <c r="J711" s="5">
        <v>38287.8883976424</v>
      </c>
      <c r="K711" s="5">
        <f t="shared" si="3"/>
        <v>38287.8884</v>
      </c>
      <c r="L711" s="5">
        <f t="shared" si="4"/>
        <v>0</v>
      </c>
      <c r="M711" s="5">
        <v>254.03866261167855</v>
      </c>
      <c r="N711" s="5">
        <f t="shared" si="5"/>
        <v>0</v>
      </c>
      <c r="O711" s="5">
        <f t="shared" si="6"/>
        <v>254.0386626</v>
      </c>
      <c r="P711" s="5">
        <f t="shared" si="9"/>
        <v>41162.43805</v>
      </c>
      <c r="Q711" s="5">
        <f t="shared" si="7"/>
        <v>1206.875528</v>
      </c>
      <c r="R711" s="5">
        <f t="shared" si="8"/>
        <v>39955.56252</v>
      </c>
    </row>
    <row r="712" ht="15.75" customHeight="1">
      <c r="A712" s="4">
        <v>2013.0</v>
      </c>
      <c r="B712" s="4">
        <v>401.0</v>
      </c>
      <c r="C712" s="4" t="s">
        <v>21</v>
      </c>
      <c r="D712" s="5">
        <v>1564.5713028581677</v>
      </c>
      <c r="E712" s="5">
        <f t="shared" si="1"/>
        <v>0</v>
      </c>
      <c r="F712" s="5">
        <f t="shared" si="2"/>
        <v>1564.571303</v>
      </c>
      <c r="G712" s="5">
        <v>9317.152900542438</v>
      </c>
      <c r="H712" s="5">
        <v>7287.506205475432</v>
      </c>
      <c r="I712" s="5">
        <v>2029.6466950670065</v>
      </c>
      <c r="J712" s="5">
        <v>269686.47995776805</v>
      </c>
      <c r="K712" s="5">
        <f t="shared" si="3"/>
        <v>269686.48</v>
      </c>
      <c r="L712" s="5">
        <f t="shared" si="4"/>
        <v>0</v>
      </c>
      <c r="M712" s="5">
        <v>1027.1656141512449</v>
      </c>
      <c r="N712" s="5">
        <f t="shared" si="5"/>
        <v>0</v>
      </c>
      <c r="O712" s="5">
        <f t="shared" si="6"/>
        <v>1027.165614</v>
      </c>
      <c r="P712" s="5">
        <f t="shared" si="9"/>
        <v>281595.3698</v>
      </c>
      <c r="Q712" s="5">
        <f t="shared" si="7"/>
        <v>4621.383612</v>
      </c>
      <c r="R712" s="5">
        <f t="shared" si="8"/>
        <v>276973.9862</v>
      </c>
    </row>
    <row r="713" ht="15.75" customHeight="1">
      <c r="A713" s="4">
        <v>2013.0</v>
      </c>
      <c r="B713" s="4">
        <v>402.0</v>
      </c>
      <c r="C713" s="4" t="s">
        <v>21</v>
      </c>
      <c r="D713" s="5">
        <v>856.0627286343325</v>
      </c>
      <c r="E713" s="5">
        <f t="shared" si="1"/>
        <v>0</v>
      </c>
      <c r="F713" s="5">
        <f t="shared" si="2"/>
        <v>856.0627286</v>
      </c>
      <c r="G713" s="5">
        <v>5091.643395449904</v>
      </c>
      <c r="H713" s="5">
        <v>3937.4199490721126</v>
      </c>
      <c r="I713" s="5">
        <v>1154.2234463777918</v>
      </c>
      <c r="J713" s="5">
        <v>203247.8571364826</v>
      </c>
      <c r="K713" s="5">
        <f t="shared" si="3"/>
        <v>203247.8571</v>
      </c>
      <c r="L713" s="5">
        <f t="shared" si="4"/>
        <v>0</v>
      </c>
      <c r="M713" s="5">
        <v>1783.1469222080414</v>
      </c>
      <c r="N713" s="5">
        <f t="shared" si="5"/>
        <v>0</v>
      </c>
      <c r="O713" s="5">
        <f t="shared" si="6"/>
        <v>1783.146922</v>
      </c>
      <c r="P713" s="5">
        <f t="shared" si="9"/>
        <v>210978.7102</v>
      </c>
      <c r="Q713" s="5">
        <f t="shared" si="7"/>
        <v>3793.433097</v>
      </c>
      <c r="R713" s="5">
        <f t="shared" si="8"/>
        <v>207185.2771</v>
      </c>
    </row>
    <row r="714" ht="15.75" customHeight="1">
      <c r="A714" s="4">
        <v>2013.0</v>
      </c>
      <c r="B714" s="4">
        <v>403.0</v>
      </c>
      <c r="C714" s="4" t="s">
        <v>21</v>
      </c>
      <c r="D714" s="5">
        <v>3297.7349415722706</v>
      </c>
      <c r="E714" s="5">
        <f t="shared" si="1"/>
        <v>0</v>
      </c>
      <c r="F714" s="5">
        <f t="shared" si="2"/>
        <v>3297.734942</v>
      </c>
      <c r="G714" s="5">
        <v>18544.765942584556</v>
      </c>
      <c r="H714" s="5">
        <v>10044.764173480538</v>
      </c>
      <c r="I714" s="5">
        <v>8500.001769104018</v>
      </c>
      <c r="J714" s="5">
        <v>538025.8256833998</v>
      </c>
      <c r="K714" s="5">
        <f t="shared" si="3"/>
        <v>538025.8257</v>
      </c>
      <c r="L714" s="5">
        <f t="shared" si="4"/>
        <v>0</v>
      </c>
      <c r="M714" s="5">
        <v>24275.903139275688</v>
      </c>
      <c r="N714" s="5">
        <f t="shared" si="5"/>
        <v>0</v>
      </c>
      <c r="O714" s="5">
        <f t="shared" si="6"/>
        <v>24275.90314</v>
      </c>
      <c r="P714" s="5">
        <f t="shared" si="9"/>
        <v>584144.2297</v>
      </c>
      <c r="Q714" s="5">
        <f t="shared" si="7"/>
        <v>36073.63985</v>
      </c>
      <c r="R714" s="5">
        <f t="shared" si="8"/>
        <v>548070.5899</v>
      </c>
    </row>
    <row r="715" ht="15.75" customHeight="1">
      <c r="A715" s="4">
        <v>2013.0</v>
      </c>
      <c r="B715" s="4">
        <v>404.0</v>
      </c>
      <c r="C715" s="4" t="s">
        <v>21</v>
      </c>
      <c r="D715" s="5">
        <v>9032.073806916076</v>
      </c>
      <c r="E715" s="5">
        <f t="shared" si="1"/>
        <v>0</v>
      </c>
      <c r="F715" s="5">
        <f t="shared" si="2"/>
        <v>9032.073807</v>
      </c>
      <c r="G715" s="5">
        <v>14099.151018264198</v>
      </c>
      <c r="H715" s="5">
        <v>6944.470692160817</v>
      </c>
      <c r="I715" s="5">
        <v>7154.680326103381</v>
      </c>
      <c r="J715" s="5">
        <v>255071.16629609096</v>
      </c>
      <c r="K715" s="5">
        <f t="shared" si="3"/>
        <v>255071.1663</v>
      </c>
      <c r="L715" s="5">
        <f t="shared" si="4"/>
        <v>0</v>
      </c>
      <c r="M715" s="5">
        <v>3501.3684834297237</v>
      </c>
      <c r="N715" s="5">
        <f t="shared" si="5"/>
        <v>0</v>
      </c>
      <c r="O715" s="5">
        <f t="shared" si="6"/>
        <v>3501.368483</v>
      </c>
      <c r="P715" s="5">
        <f t="shared" si="9"/>
        <v>281703.7596</v>
      </c>
      <c r="Q715" s="5">
        <f t="shared" si="7"/>
        <v>19688.12262</v>
      </c>
      <c r="R715" s="5">
        <f t="shared" si="8"/>
        <v>262015.637</v>
      </c>
    </row>
    <row r="716" ht="15.75" customHeight="1">
      <c r="A716" s="4">
        <v>2013.0</v>
      </c>
      <c r="B716" s="4">
        <v>405.0</v>
      </c>
      <c r="C716" s="4" t="s">
        <v>21</v>
      </c>
      <c r="D716" s="5">
        <v>6851.753184388956</v>
      </c>
      <c r="E716" s="5">
        <f t="shared" si="1"/>
        <v>0</v>
      </c>
      <c r="F716" s="5">
        <f t="shared" si="2"/>
        <v>6851.753184</v>
      </c>
      <c r="G716" s="5">
        <v>8531.324640076578</v>
      </c>
      <c r="H716" s="5">
        <v>4298.740153860881</v>
      </c>
      <c r="I716" s="5">
        <v>4232.584486215697</v>
      </c>
      <c r="J716" s="5">
        <v>57149.39295068443</v>
      </c>
      <c r="K716" s="5">
        <f t="shared" si="3"/>
        <v>57149.39295</v>
      </c>
      <c r="L716" s="5">
        <f t="shared" si="4"/>
        <v>0</v>
      </c>
      <c r="M716" s="5">
        <v>80.22273556158268</v>
      </c>
      <c r="N716" s="5">
        <f t="shared" si="5"/>
        <v>0</v>
      </c>
      <c r="O716" s="5">
        <f t="shared" si="6"/>
        <v>80.22273556</v>
      </c>
      <c r="P716" s="5">
        <f t="shared" si="9"/>
        <v>72612.69351</v>
      </c>
      <c r="Q716" s="5">
        <f t="shared" si="7"/>
        <v>11164.56041</v>
      </c>
      <c r="R716" s="5">
        <f t="shared" si="8"/>
        <v>61448.1331</v>
      </c>
    </row>
    <row r="717" ht="15.75" customHeight="1">
      <c r="A717" s="4">
        <v>2013.0</v>
      </c>
      <c r="B717" s="4">
        <v>406.0</v>
      </c>
      <c r="C717" s="4" t="s">
        <v>21</v>
      </c>
      <c r="D717" s="5">
        <v>4441.9251279116115</v>
      </c>
      <c r="E717" s="5">
        <f t="shared" si="1"/>
        <v>0</v>
      </c>
      <c r="F717" s="5">
        <f t="shared" si="2"/>
        <v>4441.925128</v>
      </c>
      <c r="G717" s="5">
        <v>8583.422228347159</v>
      </c>
      <c r="H717" s="5">
        <v>6430.220635665602</v>
      </c>
      <c r="I717" s="5">
        <v>2153.2015926815575</v>
      </c>
      <c r="J717" s="5">
        <v>157600.6653073317</v>
      </c>
      <c r="K717" s="5">
        <f t="shared" si="3"/>
        <v>157600.6653</v>
      </c>
      <c r="L717" s="5">
        <f t="shared" si="4"/>
        <v>0</v>
      </c>
      <c r="M717" s="5">
        <v>1108.96134452776</v>
      </c>
      <c r="N717" s="5">
        <f t="shared" si="5"/>
        <v>0</v>
      </c>
      <c r="O717" s="5">
        <f t="shared" si="6"/>
        <v>1108.961345</v>
      </c>
      <c r="P717" s="5">
        <f t="shared" si="9"/>
        <v>171734.974</v>
      </c>
      <c r="Q717" s="5">
        <f t="shared" si="7"/>
        <v>7704.088065</v>
      </c>
      <c r="R717" s="5">
        <f t="shared" si="8"/>
        <v>164030.8859</v>
      </c>
    </row>
    <row r="718" ht="15.75" customHeight="1">
      <c r="A718" s="4">
        <v>2013.0</v>
      </c>
      <c r="B718" s="4">
        <v>407.0</v>
      </c>
      <c r="C718" s="4" t="s">
        <v>21</v>
      </c>
      <c r="D718" s="5">
        <v>788.453663716496</v>
      </c>
      <c r="E718" s="5">
        <f t="shared" si="1"/>
        <v>0</v>
      </c>
      <c r="F718" s="5">
        <f t="shared" si="2"/>
        <v>788.4536637</v>
      </c>
      <c r="G718" s="5">
        <v>6624.8009931269935</v>
      </c>
      <c r="H718" s="5">
        <v>5170.975066901085</v>
      </c>
      <c r="I718" s="5">
        <v>1453.825926225909</v>
      </c>
      <c r="J718" s="5">
        <v>160857.59988442605</v>
      </c>
      <c r="K718" s="5">
        <f t="shared" si="3"/>
        <v>160857.5999</v>
      </c>
      <c r="L718" s="5">
        <f t="shared" si="4"/>
        <v>0</v>
      </c>
      <c r="M718" s="5">
        <v>209.99480779355451</v>
      </c>
      <c r="N718" s="5">
        <f t="shared" si="5"/>
        <v>0</v>
      </c>
      <c r="O718" s="5">
        <f t="shared" si="6"/>
        <v>209.9948078</v>
      </c>
      <c r="P718" s="5">
        <f t="shared" si="9"/>
        <v>168480.8493</v>
      </c>
      <c r="Q718" s="5">
        <f t="shared" si="7"/>
        <v>2452.274398</v>
      </c>
      <c r="R718" s="5">
        <f t="shared" si="8"/>
        <v>166028.575</v>
      </c>
    </row>
    <row r="719" ht="15.75" customHeight="1">
      <c r="A719" s="4">
        <v>2013.0</v>
      </c>
      <c r="B719" s="4">
        <v>408.0</v>
      </c>
      <c r="C719" s="4" t="s">
        <v>21</v>
      </c>
      <c r="D719" s="5" t="s">
        <v>19</v>
      </c>
      <c r="E719" s="5" t="str">
        <f t="shared" si="1"/>
        <v/>
      </c>
      <c r="F719" s="5" t="str">
        <f t="shared" si="2"/>
        <v/>
      </c>
      <c r="G719" s="5">
        <v>2086.108719744735</v>
      </c>
      <c r="H719" s="5">
        <v>1043.9915651640076</v>
      </c>
      <c r="I719" s="5">
        <v>1042.1171545807274</v>
      </c>
      <c r="J719" s="5">
        <v>31547.756298570523</v>
      </c>
      <c r="K719" s="5">
        <f t="shared" si="3"/>
        <v>31547.7563</v>
      </c>
      <c r="L719" s="5">
        <f t="shared" si="4"/>
        <v>0</v>
      </c>
      <c r="M719" s="5">
        <v>139.99653852903646</v>
      </c>
      <c r="N719" s="5">
        <f t="shared" si="5"/>
        <v>0</v>
      </c>
      <c r="O719" s="5">
        <f t="shared" si="6"/>
        <v>139.9965385</v>
      </c>
      <c r="P719" s="5">
        <f t="shared" si="9"/>
        <v>33773.86156</v>
      </c>
      <c r="Q719" s="5">
        <f t="shared" si="7"/>
        <v>1182.113693</v>
      </c>
      <c r="R719" s="5">
        <f t="shared" si="8"/>
        <v>32591.74786</v>
      </c>
    </row>
    <row r="720" ht="15.75" customHeight="1">
      <c r="A720" s="4">
        <v>2013.0</v>
      </c>
      <c r="B720" s="4">
        <v>409.0</v>
      </c>
      <c r="C720" s="4" t="s">
        <v>21</v>
      </c>
      <c r="D720" s="5" t="s">
        <v>19</v>
      </c>
      <c r="E720" s="5" t="str">
        <f t="shared" si="1"/>
        <v/>
      </c>
      <c r="F720" s="5" t="str">
        <f t="shared" si="2"/>
        <v/>
      </c>
      <c r="G720" s="5">
        <v>2069.661685705169</v>
      </c>
      <c r="H720" s="5">
        <v>1358.0288441608168</v>
      </c>
      <c r="I720" s="5">
        <v>711.6328415443522</v>
      </c>
      <c r="J720" s="5">
        <v>37402.9972931621</v>
      </c>
      <c r="K720" s="5">
        <f t="shared" si="3"/>
        <v>37402.99729</v>
      </c>
      <c r="L720" s="5">
        <f t="shared" si="4"/>
        <v>0</v>
      </c>
      <c r="M720" s="5">
        <v>1151.6681537531913</v>
      </c>
      <c r="N720" s="5">
        <f t="shared" si="5"/>
        <v>0</v>
      </c>
      <c r="O720" s="5">
        <f t="shared" si="6"/>
        <v>1151.668154</v>
      </c>
      <c r="P720" s="5">
        <f t="shared" si="9"/>
        <v>40624.32713</v>
      </c>
      <c r="Q720" s="5">
        <f t="shared" si="7"/>
        <v>1863.300995</v>
      </c>
      <c r="R720" s="5">
        <f t="shared" si="8"/>
        <v>38761.02614</v>
      </c>
    </row>
    <row r="721" ht="15.75" customHeight="1">
      <c r="A721" s="4">
        <v>2013.0</v>
      </c>
      <c r="B721" s="4">
        <v>420.0</v>
      </c>
      <c r="C721" s="4" t="s">
        <v>21</v>
      </c>
      <c r="D721" s="5">
        <v>1295.7607208439688</v>
      </c>
      <c r="E721" s="5">
        <f t="shared" si="1"/>
        <v>0</v>
      </c>
      <c r="F721" s="5">
        <f t="shared" si="2"/>
        <v>1295.760721</v>
      </c>
      <c r="G721" s="5" t="s">
        <v>19</v>
      </c>
      <c r="H721" s="5" t="s">
        <v>19</v>
      </c>
      <c r="I721" s="5" t="s">
        <v>19</v>
      </c>
      <c r="J721" s="5">
        <v>0.0</v>
      </c>
      <c r="K721" s="5">
        <f t="shared" si="3"/>
        <v>0</v>
      </c>
      <c r="L721" s="5">
        <f t="shared" si="4"/>
        <v>0</v>
      </c>
      <c r="M721" s="5">
        <v>12803.3912961471</v>
      </c>
      <c r="N721" s="5">
        <f t="shared" si="5"/>
        <v>0</v>
      </c>
      <c r="O721" s="5">
        <f t="shared" si="6"/>
        <v>12803.3913</v>
      </c>
      <c r="P721" s="5">
        <f t="shared" si="9"/>
        <v>14099.15202</v>
      </c>
      <c r="Q721" s="5">
        <f t="shared" si="7"/>
        <v>14099.15202</v>
      </c>
      <c r="R721" s="5">
        <f t="shared" si="8"/>
        <v>0</v>
      </c>
    </row>
    <row r="722" ht="15.75" customHeight="1">
      <c r="A722" s="4">
        <v>2013.0</v>
      </c>
      <c r="B722" s="4">
        <v>421.0</v>
      </c>
      <c r="C722" s="4" t="s">
        <v>21</v>
      </c>
      <c r="D722" s="5">
        <v>1747.6034814334707</v>
      </c>
      <c r="E722" s="5">
        <f t="shared" si="1"/>
        <v>0</v>
      </c>
      <c r="F722" s="5">
        <f t="shared" si="2"/>
        <v>1747.603481</v>
      </c>
      <c r="G722" s="5">
        <v>298.61933312061257</v>
      </c>
      <c r="H722" s="5">
        <v>214.08709112954688</v>
      </c>
      <c r="I722" s="5">
        <v>84.53224199106569</v>
      </c>
      <c r="J722" s="5">
        <v>1348.6557925175496</v>
      </c>
      <c r="K722" s="5">
        <f t="shared" si="3"/>
        <v>1348.655793</v>
      </c>
      <c r="L722" s="5">
        <f t="shared" si="4"/>
        <v>0</v>
      </c>
      <c r="M722" s="5">
        <v>68127.89977982215</v>
      </c>
      <c r="N722" s="5">
        <f t="shared" si="5"/>
        <v>0</v>
      </c>
      <c r="O722" s="5">
        <f t="shared" si="6"/>
        <v>68127.89978</v>
      </c>
      <c r="P722" s="5">
        <f t="shared" si="9"/>
        <v>71522.77839</v>
      </c>
      <c r="Q722" s="5">
        <f t="shared" si="7"/>
        <v>69960.0355</v>
      </c>
      <c r="R722" s="5">
        <f t="shared" si="8"/>
        <v>1562.742884</v>
      </c>
    </row>
    <row r="723" ht="15.75" customHeight="1">
      <c r="A723" s="4">
        <v>2013.0</v>
      </c>
      <c r="B723" s="4">
        <v>422.0</v>
      </c>
      <c r="C723" s="4" t="s">
        <v>21</v>
      </c>
      <c r="D723" s="5" t="s">
        <v>19</v>
      </c>
      <c r="E723" s="5" t="str">
        <f t="shared" si="1"/>
        <v/>
      </c>
      <c r="F723" s="5" t="str">
        <f t="shared" si="2"/>
        <v/>
      </c>
      <c r="G723" s="5" t="s">
        <v>19</v>
      </c>
      <c r="H723" s="5" t="s">
        <v>19</v>
      </c>
      <c r="I723" s="5" t="s">
        <v>19</v>
      </c>
      <c r="J723" s="5">
        <v>14124.575857789569</v>
      </c>
      <c r="K723" s="5">
        <f t="shared" si="3"/>
        <v>14124.57586</v>
      </c>
      <c r="L723" s="5">
        <f t="shared" si="4"/>
        <v>0</v>
      </c>
      <c r="M723" s="5">
        <v>55902.505428422155</v>
      </c>
      <c r="N723" s="5">
        <f t="shared" si="5"/>
        <v>0</v>
      </c>
      <c r="O723" s="5">
        <f t="shared" si="6"/>
        <v>55902.50543</v>
      </c>
      <c r="P723" s="5">
        <f t="shared" si="9"/>
        <v>70027.08129</v>
      </c>
      <c r="Q723" s="5">
        <f t="shared" si="7"/>
        <v>55902.50543</v>
      </c>
      <c r="R723" s="5">
        <f t="shared" si="8"/>
        <v>14124.57586</v>
      </c>
    </row>
    <row r="724" ht="15.75" customHeight="1">
      <c r="A724" s="4">
        <v>2013.0</v>
      </c>
      <c r="B724" s="4">
        <v>423.0</v>
      </c>
      <c r="C724" s="4" t="s">
        <v>21</v>
      </c>
      <c r="D724" s="5">
        <v>14125.704419148846</v>
      </c>
      <c r="E724" s="5">
        <f t="shared" si="1"/>
        <v>0</v>
      </c>
      <c r="F724" s="5">
        <f t="shared" si="2"/>
        <v>14125.70442</v>
      </c>
      <c r="G724" s="5">
        <v>4281.741822590938</v>
      </c>
      <c r="H724" s="5">
        <v>2256.643329674537</v>
      </c>
      <c r="I724" s="5">
        <v>2025.0984929164006</v>
      </c>
      <c r="J724" s="5">
        <v>34632.44332431797</v>
      </c>
      <c r="K724" s="5">
        <f t="shared" si="3"/>
        <v>34632.44332</v>
      </c>
      <c r="L724" s="5">
        <f t="shared" si="4"/>
        <v>0</v>
      </c>
      <c r="M724" s="5">
        <v>189314.2438479527</v>
      </c>
      <c r="N724" s="5">
        <f t="shared" si="5"/>
        <v>0</v>
      </c>
      <c r="O724" s="5">
        <f t="shared" si="6"/>
        <v>189314.2438</v>
      </c>
      <c r="P724" s="5">
        <f t="shared" si="9"/>
        <v>242354.1334</v>
      </c>
      <c r="Q724" s="5">
        <f t="shared" si="7"/>
        <v>205465.0468</v>
      </c>
      <c r="R724" s="5">
        <f t="shared" si="8"/>
        <v>36889.08665</v>
      </c>
    </row>
    <row r="725" ht="15.75" customHeight="1">
      <c r="A725" s="4">
        <v>2013.0</v>
      </c>
      <c r="B725" s="4">
        <v>424.0</v>
      </c>
      <c r="C725" s="4" t="s">
        <v>21</v>
      </c>
      <c r="D725" s="5" t="s">
        <v>19</v>
      </c>
      <c r="E725" s="5" t="str">
        <f t="shared" si="1"/>
        <v/>
      </c>
      <c r="F725" s="5" t="str">
        <f t="shared" si="2"/>
        <v/>
      </c>
      <c r="G725" s="5" t="s">
        <v>19</v>
      </c>
      <c r="H725" s="5" t="s">
        <v>19</v>
      </c>
      <c r="I725" s="5" t="s">
        <v>19</v>
      </c>
      <c r="J725" s="5">
        <v>7493.684877911616</v>
      </c>
      <c r="K725" s="5">
        <f t="shared" si="3"/>
        <v>7493.684878</v>
      </c>
      <c r="L725" s="5">
        <f t="shared" si="4"/>
        <v>0</v>
      </c>
      <c r="M725" s="5">
        <v>41855.46510671865</v>
      </c>
      <c r="N725" s="5">
        <f t="shared" si="5"/>
        <v>0</v>
      </c>
      <c r="O725" s="5">
        <f t="shared" si="6"/>
        <v>41855.46511</v>
      </c>
      <c r="P725" s="5">
        <f t="shared" si="9"/>
        <v>49349.14998</v>
      </c>
      <c r="Q725" s="5">
        <f t="shared" si="7"/>
        <v>41855.46511</v>
      </c>
      <c r="R725" s="5">
        <f t="shared" si="8"/>
        <v>7493.684878</v>
      </c>
    </row>
    <row r="726" ht="15.75" customHeight="1">
      <c r="A726" s="4">
        <v>2013.0</v>
      </c>
      <c r="B726" s="4">
        <v>425.0</v>
      </c>
      <c r="C726" s="4" t="s">
        <v>21</v>
      </c>
      <c r="D726" s="5">
        <v>1680.6638131979887</v>
      </c>
      <c r="E726" s="5">
        <f t="shared" si="1"/>
        <v>0</v>
      </c>
      <c r="F726" s="5">
        <f t="shared" si="2"/>
        <v>1680.663813</v>
      </c>
      <c r="G726" s="5" t="s">
        <v>19</v>
      </c>
      <c r="H726" s="5" t="s">
        <v>19</v>
      </c>
      <c r="I726" s="5" t="s">
        <v>19</v>
      </c>
      <c r="J726" s="5">
        <v>0.0</v>
      </c>
      <c r="K726" s="5">
        <f t="shared" si="3"/>
        <v>0</v>
      </c>
      <c r="L726" s="5">
        <f t="shared" si="4"/>
        <v>0</v>
      </c>
      <c r="M726" s="5">
        <v>88148.08904221881</v>
      </c>
      <c r="N726" s="5">
        <f t="shared" si="5"/>
        <v>0</v>
      </c>
      <c r="O726" s="5">
        <f t="shared" si="6"/>
        <v>88148.08904</v>
      </c>
      <c r="P726" s="5">
        <f t="shared" si="9"/>
        <v>89828.75286</v>
      </c>
      <c r="Q726" s="5">
        <f t="shared" si="7"/>
        <v>89828.75286</v>
      </c>
      <c r="R726" s="5">
        <f t="shared" si="8"/>
        <v>0</v>
      </c>
    </row>
    <row r="727" ht="15.75" customHeight="1">
      <c r="A727" s="4">
        <v>2013.0</v>
      </c>
      <c r="B727" s="4">
        <v>426.0</v>
      </c>
      <c r="C727" s="4" t="s">
        <v>21</v>
      </c>
      <c r="D727" s="5" t="s">
        <v>19</v>
      </c>
      <c r="E727" s="5" t="str">
        <f t="shared" si="1"/>
        <v/>
      </c>
      <c r="F727" s="5" t="str">
        <f t="shared" si="2"/>
        <v/>
      </c>
      <c r="G727" s="5" t="s">
        <v>19</v>
      </c>
      <c r="H727" s="5" t="s">
        <v>19</v>
      </c>
      <c r="I727" s="5" t="s">
        <v>19</v>
      </c>
      <c r="J727" s="5">
        <v>0.0</v>
      </c>
      <c r="K727" s="5">
        <f t="shared" si="3"/>
        <v>0</v>
      </c>
      <c r="L727" s="5">
        <f t="shared" si="4"/>
        <v>0</v>
      </c>
      <c r="M727" s="5">
        <v>122036.08373213152</v>
      </c>
      <c r="N727" s="5">
        <f t="shared" si="5"/>
        <v>0</v>
      </c>
      <c r="O727" s="5">
        <f t="shared" si="6"/>
        <v>122036.0837</v>
      </c>
      <c r="P727" s="5">
        <f t="shared" si="9"/>
        <v>122036.0837</v>
      </c>
      <c r="Q727" s="5">
        <f t="shared" si="7"/>
        <v>122036.0837</v>
      </c>
      <c r="R727" s="5">
        <f t="shared" si="8"/>
        <v>0</v>
      </c>
    </row>
    <row r="728" ht="15.75" customHeight="1">
      <c r="A728" s="4">
        <v>2013.0</v>
      </c>
      <c r="B728" s="4">
        <v>427.0</v>
      </c>
      <c r="C728" s="4" t="s">
        <v>21</v>
      </c>
      <c r="D728" s="5">
        <v>554.6429653797062</v>
      </c>
      <c r="E728" s="5">
        <f t="shared" si="1"/>
        <v>0</v>
      </c>
      <c r="F728" s="5">
        <f t="shared" si="2"/>
        <v>554.6429654</v>
      </c>
      <c r="G728" s="5" t="s">
        <v>19</v>
      </c>
      <c r="H728" s="5" t="s">
        <v>19</v>
      </c>
      <c r="I728" s="5" t="s">
        <v>19</v>
      </c>
      <c r="J728" s="5">
        <v>0.0</v>
      </c>
      <c r="K728" s="5">
        <f t="shared" si="3"/>
        <v>0</v>
      </c>
      <c r="L728" s="5">
        <f t="shared" si="4"/>
        <v>0</v>
      </c>
      <c r="M728" s="5">
        <v>170058.82893462828</v>
      </c>
      <c r="N728" s="5">
        <f t="shared" si="5"/>
        <v>0</v>
      </c>
      <c r="O728" s="5">
        <f t="shared" si="6"/>
        <v>170058.8289</v>
      </c>
      <c r="P728" s="5">
        <f t="shared" si="9"/>
        <v>170613.4719</v>
      </c>
      <c r="Q728" s="5">
        <f t="shared" si="7"/>
        <v>170613.4719</v>
      </c>
      <c r="R728" s="5">
        <f t="shared" si="8"/>
        <v>0</v>
      </c>
    </row>
    <row r="729" ht="15.75" customHeight="1">
      <c r="A729" s="4">
        <v>2013.0</v>
      </c>
      <c r="B729" s="4">
        <v>428.0</v>
      </c>
      <c r="C729" s="4" t="s">
        <v>21</v>
      </c>
      <c r="D729" s="5" t="s">
        <v>19</v>
      </c>
      <c r="E729" s="5" t="str">
        <f t="shared" si="1"/>
        <v/>
      </c>
      <c r="F729" s="5" t="str">
        <f t="shared" si="2"/>
        <v/>
      </c>
      <c r="G729" s="5" t="s">
        <v>19</v>
      </c>
      <c r="H729" s="5" t="s">
        <v>19</v>
      </c>
      <c r="I729" s="5" t="s">
        <v>19</v>
      </c>
      <c r="J729" s="5">
        <v>99.24723396218891</v>
      </c>
      <c r="K729" s="5">
        <f t="shared" si="3"/>
        <v>99.24723396</v>
      </c>
      <c r="L729" s="5">
        <f t="shared" si="4"/>
        <v>0</v>
      </c>
      <c r="M729" s="5">
        <v>14921.428814454383</v>
      </c>
      <c r="N729" s="5">
        <f t="shared" si="5"/>
        <v>0</v>
      </c>
      <c r="O729" s="5">
        <f t="shared" si="6"/>
        <v>14921.42881</v>
      </c>
      <c r="P729" s="5">
        <f t="shared" si="9"/>
        <v>15020.67605</v>
      </c>
      <c r="Q729" s="5">
        <f t="shared" si="7"/>
        <v>14921.42881</v>
      </c>
      <c r="R729" s="5">
        <f t="shared" si="8"/>
        <v>99.24723396</v>
      </c>
    </row>
    <row r="730" ht="15.75" customHeight="1">
      <c r="A730" s="4">
        <v>2013.0</v>
      </c>
      <c r="B730" s="4">
        <v>429.0</v>
      </c>
      <c r="C730" s="4" t="s">
        <v>21</v>
      </c>
      <c r="D730" s="5">
        <v>9292.660372547061</v>
      </c>
      <c r="E730" s="5">
        <f t="shared" si="1"/>
        <v>0</v>
      </c>
      <c r="F730" s="5">
        <f t="shared" si="2"/>
        <v>9292.660373</v>
      </c>
      <c r="G730" s="5">
        <v>4091.084863752393</v>
      </c>
      <c r="H730" s="5">
        <v>1849.142793554563</v>
      </c>
      <c r="I730" s="5">
        <v>2241.94207019783</v>
      </c>
      <c r="J730" s="5">
        <v>1315.8039206485323</v>
      </c>
      <c r="K730" s="5">
        <f t="shared" si="3"/>
        <v>1315.803921</v>
      </c>
      <c r="L730" s="5">
        <f t="shared" si="4"/>
        <v>0</v>
      </c>
      <c r="M730" s="5">
        <v>6018.278161933635</v>
      </c>
      <c r="N730" s="5">
        <f t="shared" si="5"/>
        <v>0</v>
      </c>
      <c r="O730" s="5">
        <f t="shared" si="6"/>
        <v>6018.278162</v>
      </c>
      <c r="P730" s="5">
        <f t="shared" si="9"/>
        <v>20717.82732</v>
      </c>
      <c r="Q730" s="5">
        <f t="shared" si="7"/>
        <v>17552.8806</v>
      </c>
      <c r="R730" s="5">
        <f t="shared" si="8"/>
        <v>3164.946714</v>
      </c>
    </row>
    <row r="731" ht="15.75" customHeight="1">
      <c r="A731" s="4">
        <v>2013.0</v>
      </c>
      <c r="B731" s="4">
        <v>500.0</v>
      </c>
      <c r="C731" s="4" t="s">
        <v>22</v>
      </c>
      <c r="D731" s="5">
        <v>2913.298754028397</v>
      </c>
      <c r="E731" s="5">
        <f t="shared" si="1"/>
        <v>0</v>
      </c>
      <c r="F731" s="5">
        <f t="shared" si="2"/>
        <v>2913.298754</v>
      </c>
      <c r="G731" s="5">
        <v>17669.026297223994</v>
      </c>
      <c r="H731" s="5">
        <v>9689.233588337587</v>
      </c>
      <c r="I731" s="5">
        <v>7979.792708886407</v>
      </c>
      <c r="J731" s="5">
        <v>56645.26921060347</v>
      </c>
      <c r="K731" s="5">
        <f t="shared" si="3"/>
        <v>56645.26921</v>
      </c>
      <c r="L731" s="5">
        <f t="shared" si="4"/>
        <v>0</v>
      </c>
      <c r="M731" s="5">
        <v>18639.524148962984</v>
      </c>
      <c r="N731" s="5">
        <f t="shared" si="5"/>
        <v>0</v>
      </c>
      <c r="O731" s="5">
        <f t="shared" si="6"/>
        <v>18639.52415</v>
      </c>
      <c r="P731" s="5">
        <f t="shared" si="9"/>
        <v>95867.11841</v>
      </c>
      <c r="Q731" s="5">
        <f t="shared" si="7"/>
        <v>29532.61561</v>
      </c>
      <c r="R731" s="5">
        <f t="shared" si="8"/>
        <v>66334.5028</v>
      </c>
    </row>
    <row r="732" ht="15.75" customHeight="1">
      <c r="A732" s="4">
        <v>2013.0</v>
      </c>
      <c r="B732" s="4">
        <v>501.0</v>
      </c>
      <c r="C732" s="4" t="s">
        <v>22</v>
      </c>
      <c r="D732" s="5">
        <v>2637.912304642628</v>
      </c>
      <c r="E732" s="5">
        <f t="shared" si="1"/>
        <v>0</v>
      </c>
      <c r="F732" s="5">
        <f t="shared" si="2"/>
        <v>2637.912305</v>
      </c>
      <c r="G732" s="5">
        <v>8123.63184903478</v>
      </c>
      <c r="H732" s="5">
        <v>2834.7488859684113</v>
      </c>
      <c r="I732" s="5">
        <v>5288.8829630663695</v>
      </c>
      <c r="J732" s="5">
        <v>61744.92888724833</v>
      </c>
      <c r="K732" s="5">
        <f t="shared" si="3"/>
        <v>61744.92889</v>
      </c>
      <c r="L732" s="5">
        <f t="shared" si="4"/>
        <v>0</v>
      </c>
      <c r="M732" s="5">
        <v>6542.795779790204</v>
      </c>
      <c r="N732" s="5">
        <f t="shared" si="5"/>
        <v>0</v>
      </c>
      <c r="O732" s="5">
        <f t="shared" si="6"/>
        <v>6542.79578</v>
      </c>
      <c r="P732" s="5">
        <f t="shared" si="9"/>
        <v>79049.26882</v>
      </c>
      <c r="Q732" s="5">
        <f t="shared" si="7"/>
        <v>14469.59105</v>
      </c>
      <c r="R732" s="5">
        <f t="shared" si="8"/>
        <v>64579.67777</v>
      </c>
    </row>
    <row r="733" ht="15.75" customHeight="1">
      <c r="A733" s="4">
        <v>2013.0</v>
      </c>
      <c r="B733" s="4">
        <v>502.0</v>
      </c>
      <c r="C733" s="4" t="s">
        <v>22</v>
      </c>
      <c r="D733" s="5">
        <v>1623.3306490108482</v>
      </c>
      <c r="E733" s="5">
        <f t="shared" si="1"/>
        <v>0</v>
      </c>
      <c r="F733" s="5">
        <f t="shared" si="2"/>
        <v>1623.330649</v>
      </c>
      <c r="G733" s="5" t="s">
        <v>19</v>
      </c>
      <c r="H733" s="5" t="s">
        <v>19</v>
      </c>
      <c r="I733" s="5" t="s">
        <v>19</v>
      </c>
      <c r="J733" s="5">
        <v>0.0</v>
      </c>
      <c r="K733" s="5">
        <f t="shared" si="3"/>
        <v>0</v>
      </c>
      <c r="L733" s="5">
        <f t="shared" si="4"/>
        <v>0</v>
      </c>
      <c r="M733" s="5">
        <v>4131.758015395659</v>
      </c>
      <c r="N733" s="5">
        <f t="shared" si="5"/>
        <v>0</v>
      </c>
      <c r="O733" s="5">
        <f t="shared" si="6"/>
        <v>4131.758015</v>
      </c>
      <c r="P733" s="5">
        <f t="shared" si="9"/>
        <v>5755.088664</v>
      </c>
      <c r="Q733" s="5">
        <f t="shared" si="7"/>
        <v>5755.088664</v>
      </c>
      <c r="R733" s="5">
        <f t="shared" si="8"/>
        <v>0</v>
      </c>
    </row>
    <row r="734" ht="15.75" customHeight="1">
      <c r="A734" s="4">
        <v>2013.0</v>
      </c>
      <c r="B734" s="4">
        <v>503.0</v>
      </c>
      <c r="C734" s="4" t="s">
        <v>22</v>
      </c>
      <c r="D734" s="5">
        <v>3104.619866233247</v>
      </c>
      <c r="E734" s="5">
        <f t="shared" si="1"/>
        <v>0</v>
      </c>
      <c r="F734" s="5">
        <f t="shared" si="2"/>
        <v>3104.619866</v>
      </c>
      <c r="G734" s="5" t="s">
        <v>19</v>
      </c>
      <c r="H734" s="5" t="s">
        <v>19</v>
      </c>
      <c r="I734" s="5" t="s">
        <v>19</v>
      </c>
      <c r="J734" s="5">
        <v>8083.991755494177</v>
      </c>
      <c r="K734" s="5">
        <f t="shared" si="3"/>
        <v>8083.991755</v>
      </c>
      <c r="L734" s="5">
        <f t="shared" si="4"/>
        <v>0</v>
      </c>
      <c r="M734" s="5">
        <v>2141.1892554842048</v>
      </c>
      <c r="N734" s="5">
        <f t="shared" si="5"/>
        <v>0</v>
      </c>
      <c r="O734" s="5">
        <f t="shared" si="6"/>
        <v>2141.189255</v>
      </c>
      <c r="P734" s="5">
        <f t="shared" si="9"/>
        <v>13329.80088</v>
      </c>
      <c r="Q734" s="5">
        <f t="shared" si="7"/>
        <v>5245.809122</v>
      </c>
      <c r="R734" s="5">
        <f t="shared" si="8"/>
        <v>8083.991755</v>
      </c>
    </row>
    <row r="735" ht="15.75" customHeight="1">
      <c r="A735" s="4">
        <v>2013.0</v>
      </c>
      <c r="B735" s="4">
        <v>504.0</v>
      </c>
      <c r="C735" s="4" t="s">
        <v>22</v>
      </c>
      <c r="D735" s="5">
        <v>5244.420891372844</v>
      </c>
      <c r="E735" s="5">
        <f t="shared" si="1"/>
        <v>0</v>
      </c>
      <c r="F735" s="5">
        <f t="shared" si="2"/>
        <v>5244.420891</v>
      </c>
      <c r="G735" s="5">
        <v>8973.548412531909</v>
      </c>
      <c r="H735" s="5">
        <v>3845.595303119018</v>
      </c>
      <c r="I735" s="5">
        <v>5127.953109412891</v>
      </c>
      <c r="J735" s="5">
        <v>42793.11420761009</v>
      </c>
      <c r="K735" s="5">
        <f t="shared" si="3"/>
        <v>42793.11421</v>
      </c>
      <c r="L735" s="5">
        <f t="shared" si="4"/>
        <v>0</v>
      </c>
      <c r="M735" s="5">
        <v>45511.964585932496</v>
      </c>
      <c r="N735" s="5">
        <f t="shared" si="5"/>
        <v>0</v>
      </c>
      <c r="O735" s="5">
        <f t="shared" si="6"/>
        <v>45511.96459</v>
      </c>
      <c r="P735" s="5">
        <f t="shared" si="9"/>
        <v>102523.0481</v>
      </c>
      <c r="Q735" s="5">
        <f t="shared" si="7"/>
        <v>55884.33859</v>
      </c>
      <c r="R735" s="5">
        <f t="shared" si="8"/>
        <v>46638.70951</v>
      </c>
    </row>
    <row r="736" ht="15.75" customHeight="1">
      <c r="A736" s="4">
        <v>2013.0</v>
      </c>
      <c r="B736" s="4">
        <v>505.0</v>
      </c>
      <c r="C736" s="4" t="s">
        <v>22</v>
      </c>
      <c r="D736" s="5">
        <v>3510.4525284859596</v>
      </c>
      <c r="E736" s="5">
        <f t="shared" si="1"/>
        <v>0</v>
      </c>
      <c r="F736" s="5">
        <f t="shared" si="2"/>
        <v>3510.452528</v>
      </c>
      <c r="G736" s="5">
        <v>52379.341603741224</v>
      </c>
      <c r="H736" s="5">
        <v>15565.390420333442</v>
      </c>
      <c r="I736" s="5">
        <v>36813.951183407786</v>
      </c>
      <c r="J736" s="5">
        <v>2017.9076594767075</v>
      </c>
      <c r="K736" s="5">
        <f t="shared" si="3"/>
        <v>2017.907659</v>
      </c>
      <c r="L736" s="5">
        <f t="shared" si="4"/>
        <v>0</v>
      </c>
      <c r="M736" s="5">
        <v>43664.247474980046</v>
      </c>
      <c r="N736" s="5">
        <f t="shared" si="5"/>
        <v>0</v>
      </c>
      <c r="O736" s="5">
        <f t="shared" si="6"/>
        <v>43664.24747</v>
      </c>
      <c r="P736" s="5">
        <f t="shared" si="9"/>
        <v>101571.9493</v>
      </c>
      <c r="Q736" s="5">
        <f t="shared" si="7"/>
        <v>83988.65119</v>
      </c>
      <c r="R736" s="5">
        <f t="shared" si="8"/>
        <v>17583.29808</v>
      </c>
    </row>
    <row r="737" ht="15.75" customHeight="1">
      <c r="A737" s="4">
        <v>2013.0</v>
      </c>
      <c r="B737" s="4">
        <v>506.0</v>
      </c>
      <c r="C737" s="4" t="s">
        <v>22</v>
      </c>
      <c r="D737" s="5">
        <v>13486.689008076735</v>
      </c>
      <c r="E737" s="5">
        <f t="shared" si="1"/>
        <v>0</v>
      </c>
      <c r="F737" s="5">
        <f t="shared" si="2"/>
        <v>13486.68901</v>
      </c>
      <c r="G737" s="5">
        <v>21736.616111439056</v>
      </c>
      <c r="H737" s="5">
        <v>7046.177840331844</v>
      </c>
      <c r="I737" s="5">
        <v>14690.438271107212</v>
      </c>
      <c r="J737" s="5">
        <v>22582.50780566369</v>
      </c>
      <c r="K737" s="5">
        <f t="shared" si="3"/>
        <v>22582.50781</v>
      </c>
      <c r="L737" s="5">
        <f t="shared" si="4"/>
        <v>0</v>
      </c>
      <c r="M737" s="5">
        <v>2096.0031068123803</v>
      </c>
      <c r="N737" s="5">
        <f t="shared" si="5"/>
        <v>0</v>
      </c>
      <c r="O737" s="5">
        <f t="shared" si="6"/>
        <v>2096.003107</v>
      </c>
      <c r="P737" s="5">
        <f t="shared" si="9"/>
        <v>59901.81603</v>
      </c>
      <c r="Q737" s="5">
        <f t="shared" si="7"/>
        <v>30273.13039</v>
      </c>
      <c r="R737" s="5">
        <f t="shared" si="8"/>
        <v>29628.68565</v>
      </c>
    </row>
    <row r="738" ht="15.75" customHeight="1">
      <c r="A738" s="4">
        <v>2013.0</v>
      </c>
      <c r="B738" s="4">
        <v>507.0</v>
      </c>
      <c r="C738" s="4" t="s">
        <v>22</v>
      </c>
      <c r="D738" s="5" t="s">
        <v>19</v>
      </c>
      <c r="E738" s="5" t="str">
        <f t="shared" si="1"/>
        <v/>
      </c>
      <c r="F738" s="5" t="str">
        <f t="shared" si="2"/>
        <v/>
      </c>
      <c r="G738" s="5" t="s">
        <v>19</v>
      </c>
      <c r="H738" s="5" t="s">
        <v>19</v>
      </c>
      <c r="I738" s="5" t="s">
        <v>19</v>
      </c>
      <c r="J738" s="5">
        <v>0.0</v>
      </c>
      <c r="K738" s="5">
        <f t="shared" si="3"/>
        <v>0</v>
      </c>
      <c r="L738" s="5">
        <f t="shared" si="4"/>
        <v>0</v>
      </c>
      <c r="M738" s="5">
        <v>0.0</v>
      </c>
      <c r="N738" s="5">
        <f t="shared" si="5"/>
        <v>0</v>
      </c>
      <c r="O738" s="5">
        <f t="shared" si="6"/>
        <v>0</v>
      </c>
      <c r="P738" s="5">
        <f t="shared" si="9"/>
        <v>0</v>
      </c>
      <c r="Q738" s="5">
        <f t="shared" si="7"/>
        <v>0</v>
      </c>
      <c r="R738" s="5">
        <f t="shared" si="8"/>
        <v>0</v>
      </c>
    </row>
    <row r="739" ht="15.75" customHeight="1">
      <c r="A739" s="4">
        <v>2013.0</v>
      </c>
      <c r="B739" s="4">
        <v>508.0</v>
      </c>
      <c r="C739" s="4" t="s">
        <v>22</v>
      </c>
      <c r="D739" s="5">
        <v>5357.957409979258</v>
      </c>
      <c r="E739" s="5">
        <f t="shared" si="1"/>
        <v>0</v>
      </c>
      <c r="F739" s="5">
        <f t="shared" si="2"/>
        <v>5357.95741</v>
      </c>
      <c r="G739" s="5">
        <v>18557.281488313656</v>
      </c>
      <c r="H739" s="5">
        <v>4882.401128350351</v>
      </c>
      <c r="I739" s="5">
        <v>13674.880359963305</v>
      </c>
      <c r="J739" s="5">
        <v>5635.953033304085</v>
      </c>
      <c r="K739" s="5">
        <f t="shared" si="3"/>
        <v>5635.953033</v>
      </c>
      <c r="L739" s="5">
        <f t="shared" si="4"/>
        <v>0</v>
      </c>
      <c r="M739" s="5">
        <v>95474.36844631462</v>
      </c>
      <c r="N739" s="5">
        <f t="shared" si="5"/>
        <v>0</v>
      </c>
      <c r="O739" s="5">
        <f t="shared" si="6"/>
        <v>95474.36845</v>
      </c>
      <c r="P739" s="5">
        <f t="shared" si="9"/>
        <v>125025.5604</v>
      </c>
      <c r="Q739" s="5">
        <f t="shared" si="7"/>
        <v>114507.2062</v>
      </c>
      <c r="R739" s="5">
        <f t="shared" si="8"/>
        <v>10518.35416</v>
      </c>
    </row>
    <row r="740" ht="15.75" customHeight="1">
      <c r="A740" s="4">
        <v>2013.0</v>
      </c>
      <c r="B740" s="4">
        <v>520.0</v>
      </c>
      <c r="C740" s="4" t="s">
        <v>22</v>
      </c>
      <c r="D740" s="5">
        <v>4557.887304395339</v>
      </c>
      <c r="E740" s="5">
        <f t="shared" si="1"/>
        <v>0</v>
      </c>
      <c r="F740" s="5">
        <f t="shared" si="2"/>
        <v>4557.887304</v>
      </c>
      <c r="G740" s="5">
        <v>17009.001418103857</v>
      </c>
      <c r="H740" s="5">
        <v>5297.483749160017</v>
      </c>
      <c r="I740" s="5">
        <v>11711.51766894384</v>
      </c>
      <c r="J740" s="5">
        <v>39041.1746412496</v>
      </c>
      <c r="K740" s="5">
        <f t="shared" si="3"/>
        <v>39041.17464</v>
      </c>
      <c r="L740" s="5">
        <f t="shared" si="4"/>
        <v>0</v>
      </c>
      <c r="M740" s="5">
        <v>407676.45698873687</v>
      </c>
      <c r="N740" s="5">
        <f t="shared" si="5"/>
        <v>0</v>
      </c>
      <c r="O740" s="5">
        <f t="shared" si="6"/>
        <v>407676.457</v>
      </c>
      <c r="P740" s="5">
        <f t="shared" si="9"/>
        <v>468284.5204</v>
      </c>
      <c r="Q740" s="5">
        <f t="shared" si="7"/>
        <v>423945.862</v>
      </c>
      <c r="R740" s="5">
        <f t="shared" si="8"/>
        <v>44338.65839</v>
      </c>
    </row>
    <row r="741" ht="15.75" customHeight="1">
      <c r="A741" s="4">
        <v>2013.0</v>
      </c>
      <c r="B741" s="4">
        <v>521.0</v>
      </c>
      <c r="C741" s="4" t="s">
        <v>22</v>
      </c>
      <c r="D741" s="5">
        <v>5722.723671884969</v>
      </c>
      <c r="E741" s="5">
        <f t="shared" si="1"/>
        <v>0</v>
      </c>
      <c r="F741" s="5">
        <f t="shared" si="2"/>
        <v>5722.723672</v>
      </c>
      <c r="G741" s="5">
        <v>3154.853330807275</v>
      </c>
      <c r="H741" s="5">
        <v>1806.0726974313975</v>
      </c>
      <c r="I741" s="5">
        <v>1348.7806333758776</v>
      </c>
      <c r="J741" s="5">
        <v>15435.273787332484</v>
      </c>
      <c r="K741" s="5">
        <f t="shared" si="3"/>
        <v>15435.27379</v>
      </c>
      <c r="L741" s="5">
        <f t="shared" si="4"/>
        <v>0</v>
      </c>
      <c r="M741" s="5">
        <v>7136.7161760170675</v>
      </c>
      <c r="N741" s="5">
        <f t="shared" si="5"/>
        <v>0</v>
      </c>
      <c r="O741" s="5">
        <f t="shared" si="6"/>
        <v>7136.716176</v>
      </c>
      <c r="P741" s="5">
        <f t="shared" si="9"/>
        <v>31449.56697</v>
      </c>
      <c r="Q741" s="5">
        <f t="shared" si="7"/>
        <v>14208.22048</v>
      </c>
      <c r="R741" s="5">
        <f t="shared" si="8"/>
        <v>17241.34648</v>
      </c>
    </row>
    <row r="742" ht="15.75" customHeight="1">
      <c r="A742" s="4">
        <v>2013.0</v>
      </c>
      <c r="B742" s="4">
        <v>522.0</v>
      </c>
      <c r="C742" s="4" t="s">
        <v>22</v>
      </c>
      <c r="D742" s="5" t="s">
        <v>19</v>
      </c>
      <c r="E742" s="5" t="str">
        <f t="shared" si="1"/>
        <v/>
      </c>
      <c r="F742" s="5" t="str">
        <f t="shared" si="2"/>
        <v/>
      </c>
      <c r="G742" s="5" t="s">
        <v>19</v>
      </c>
      <c r="H742" s="5" t="s">
        <v>19</v>
      </c>
      <c r="I742" s="5" t="s">
        <v>19</v>
      </c>
      <c r="J742" s="5">
        <v>0.0</v>
      </c>
      <c r="K742" s="5">
        <f t="shared" si="3"/>
        <v>0</v>
      </c>
      <c r="L742" s="5">
        <f t="shared" si="4"/>
        <v>0</v>
      </c>
      <c r="M742" s="5">
        <v>4395.518285327057</v>
      </c>
      <c r="N742" s="5">
        <f t="shared" si="5"/>
        <v>0</v>
      </c>
      <c r="O742" s="5">
        <f t="shared" si="6"/>
        <v>4395.518285</v>
      </c>
      <c r="P742" s="5">
        <f t="shared" si="9"/>
        <v>4395.518285</v>
      </c>
      <c r="Q742" s="5">
        <f t="shared" si="7"/>
        <v>4395.518285</v>
      </c>
      <c r="R742" s="5">
        <f t="shared" si="8"/>
        <v>0</v>
      </c>
    </row>
    <row r="743" ht="15.75" customHeight="1">
      <c r="A743" s="4">
        <v>2013.0</v>
      </c>
      <c r="B743" s="4">
        <v>523.0</v>
      </c>
      <c r="C743" s="4" t="s">
        <v>22</v>
      </c>
      <c r="D743" s="5">
        <v>1497.7157773611993</v>
      </c>
      <c r="E743" s="5">
        <f t="shared" si="1"/>
        <v>0</v>
      </c>
      <c r="F743" s="5">
        <f t="shared" si="2"/>
        <v>1497.715777</v>
      </c>
      <c r="G743" s="5" t="s">
        <v>19</v>
      </c>
      <c r="H743" s="5" t="s">
        <v>19</v>
      </c>
      <c r="I743" s="5" t="s">
        <v>19</v>
      </c>
      <c r="J743" s="5">
        <v>0.0</v>
      </c>
      <c r="K743" s="5">
        <f t="shared" si="3"/>
        <v>0</v>
      </c>
      <c r="L743" s="5">
        <f t="shared" si="4"/>
        <v>0</v>
      </c>
      <c r="M743" s="5">
        <v>49118.45344150445</v>
      </c>
      <c r="N743" s="5">
        <f t="shared" si="5"/>
        <v>0</v>
      </c>
      <c r="O743" s="5">
        <f t="shared" si="6"/>
        <v>49118.45344</v>
      </c>
      <c r="P743" s="5">
        <f t="shared" si="9"/>
        <v>50616.16922</v>
      </c>
      <c r="Q743" s="5">
        <f t="shared" si="7"/>
        <v>50616.16922</v>
      </c>
      <c r="R743" s="5">
        <f t="shared" si="8"/>
        <v>0</v>
      </c>
    </row>
    <row r="744" ht="15.75" customHeight="1">
      <c r="A744" s="4">
        <v>2013.0</v>
      </c>
      <c r="B744" s="4">
        <v>524.0</v>
      </c>
      <c r="C744" s="4" t="s">
        <v>22</v>
      </c>
      <c r="D744" s="5">
        <v>4421.160347945914</v>
      </c>
      <c r="E744" s="5">
        <f t="shared" si="1"/>
        <v>0</v>
      </c>
      <c r="F744" s="5">
        <f t="shared" si="2"/>
        <v>4421.160348</v>
      </c>
      <c r="G744" s="5">
        <v>21181.860789286853</v>
      </c>
      <c r="H744" s="5">
        <v>11273.127010202617</v>
      </c>
      <c r="I744" s="5">
        <v>9908.733779084236</v>
      </c>
      <c r="J744" s="5">
        <v>5773.000206555122</v>
      </c>
      <c r="K744" s="5">
        <f t="shared" si="3"/>
        <v>5773.000207</v>
      </c>
      <c r="L744" s="5">
        <f t="shared" si="4"/>
        <v>0</v>
      </c>
      <c r="M744" s="5">
        <v>318861.5755693087</v>
      </c>
      <c r="N744" s="5">
        <f t="shared" si="5"/>
        <v>0</v>
      </c>
      <c r="O744" s="5">
        <f t="shared" si="6"/>
        <v>318861.5756</v>
      </c>
      <c r="P744" s="5">
        <f t="shared" si="9"/>
        <v>350237.5969</v>
      </c>
      <c r="Q744" s="5">
        <f t="shared" si="7"/>
        <v>333191.4697</v>
      </c>
      <c r="R744" s="5">
        <f t="shared" si="8"/>
        <v>17046.12722</v>
      </c>
    </row>
    <row r="745" ht="15.75" customHeight="1">
      <c r="A745" s="4">
        <v>2013.0</v>
      </c>
      <c r="B745" s="4">
        <v>525.0</v>
      </c>
      <c r="C745" s="4" t="s">
        <v>22</v>
      </c>
      <c r="D745" s="5" t="s">
        <v>19</v>
      </c>
      <c r="E745" s="5" t="str">
        <f t="shared" si="1"/>
        <v/>
      </c>
      <c r="F745" s="5" t="str">
        <f t="shared" si="2"/>
        <v/>
      </c>
      <c r="G745" s="5">
        <v>6637.663596442246</v>
      </c>
      <c r="H745" s="5">
        <v>3625.078907785578</v>
      </c>
      <c r="I745" s="5">
        <v>3012.584688656668</v>
      </c>
      <c r="J745" s="5">
        <v>0.0</v>
      </c>
      <c r="K745" s="5">
        <f t="shared" si="3"/>
        <v>0</v>
      </c>
      <c r="L745" s="5">
        <f t="shared" si="4"/>
        <v>0</v>
      </c>
      <c r="M745" s="5">
        <v>31818.976059468725</v>
      </c>
      <c r="N745" s="5">
        <f t="shared" si="5"/>
        <v>0</v>
      </c>
      <c r="O745" s="5">
        <f t="shared" si="6"/>
        <v>31818.97606</v>
      </c>
      <c r="P745" s="5">
        <f t="shared" si="9"/>
        <v>38456.63966</v>
      </c>
      <c r="Q745" s="5">
        <f t="shared" si="7"/>
        <v>34831.56075</v>
      </c>
      <c r="R745" s="5">
        <f t="shared" si="8"/>
        <v>3625.078908</v>
      </c>
    </row>
    <row r="746" ht="15.75" customHeight="1">
      <c r="A746" s="4">
        <v>2013.0</v>
      </c>
      <c r="B746" s="4">
        <v>526.0</v>
      </c>
      <c r="C746" s="4" t="s">
        <v>22</v>
      </c>
      <c r="D746" s="5" t="s">
        <v>19</v>
      </c>
      <c r="E746" s="5" t="str">
        <f t="shared" si="1"/>
        <v/>
      </c>
      <c r="F746" s="5" t="str">
        <f t="shared" si="2"/>
        <v/>
      </c>
      <c r="G746" s="5" t="s">
        <v>19</v>
      </c>
      <c r="H746" s="5" t="s">
        <v>19</v>
      </c>
      <c r="I746" s="5" t="s">
        <v>19</v>
      </c>
      <c r="J746" s="5">
        <v>0.0</v>
      </c>
      <c r="K746" s="5">
        <f t="shared" si="3"/>
        <v>0</v>
      </c>
      <c r="L746" s="5">
        <f t="shared" si="4"/>
        <v>0</v>
      </c>
      <c r="M746" s="5">
        <v>6734.797274672941</v>
      </c>
      <c r="N746" s="5">
        <f t="shared" si="5"/>
        <v>0</v>
      </c>
      <c r="O746" s="5">
        <f t="shared" si="6"/>
        <v>6734.797275</v>
      </c>
      <c r="P746" s="5">
        <f t="shared" si="9"/>
        <v>6734.797275</v>
      </c>
      <c r="Q746" s="5">
        <f t="shared" si="7"/>
        <v>6734.797275</v>
      </c>
      <c r="R746" s="5">
        <f t="shared" si="8"/>
        <v>0</v>
      </c>
    </row>
    <row r="747" ht="15.75" customHeight="1">
      <c r="A747" s="4">
        <v>2013.0</v>
      </c>
      <c r="B747" s="4">
        <v>527.0</v>
      </c>
      <c r="C747" s="4" t="s">
        <v>22</v>
      </c>
      <c r="D747" s="5" t="s">
        <v>19</v>
      </c>
      <c r="E747" s="5" t="str">
        <f t="shared" si="1"/>
        <v/>
      </c>
      <c r="F747" s="5" t="str">
        <f t="shared" si="2"/>
        <v/>
      </c>
      <c r="G747" s="5" t="s">
        <v>19</v>
      </c>
      <c r="H747" s="5" t="s">
        <v>19</v>
      </c>
      <c r="I747" s="5" t="s">
        <v>19</v>
      </c>
      <c r="J747" s="5">
        <v>0.0</v>
      </c>
      <c r="K747" s="5">
        <f t="shared" si="3"/>
        <v>0</v>
      </c>
      <c r="L747" s="5">
        <f t="shared" si="4"/>
        <v>0</v>
      </c>
      <c r="M747" s="5">
        <v>0.0</v>
      </c>
      <c r="N747" s="5">
        <f t="shared" si="5"/>
        <v>0</v>
      </c>
      <c r="O747" s="5">
        <f t="shared" si="6"/>
        <v>0</v>
      </c>
      <c r="P747" s="5">
        <f t="shared" si="9"/>
        <v>0</v>
      </c>
      <c r="Q747" s="5">
        <f t="shared" si="7"/>
        <v>0</v>
      </c>
      <c r="R747" s="5">
        <f t="shared" si="8"/>
        <v>0</v>
      </c>
    </row>
    <row r="748" ht="15.75" customHeight="1">
      <c r="A748" s="4">
        <v>2013.0</v>
      </c>
      <c r="B748" s="4">
        <v>528.0</v>
      </c>
      <c r="C748" s="4" t="s">
        <v>22</v>
      </c>
      <c r="D748" s="5" t="s">
        <v>19</v>
      </c>
      <c r="E748" s="5" t="str">
        <f t="shared" si="1"/>
        <v/>
      </c>
      <c r="F748" s="5" t="str">
        <f t="shared" si="2"/>
        <v/>
      </c>
      <c r="G748" s="5" t="s">
        <v>19</v>
      </c>
      <c r="H748" s="5" t="s">
        <v>19</v>
      </c>
      <c r="I748" s="5" t="s">
        <v>19</v>
      </c>
      <c r="J748" s="5">
        <v>0.0</v>
      </c>
      <c r="K748" s="5">
        <f t="shared" si="3"/>
        <v>0</v>
      </c>
      <c r="L748" s="5">
        <f t="shared" si="4"/>
        <v>0</v>
      </c>
      <c r="M748" s="5">
        <v>27169.242087192877</v>
      </c>
      <c r="N748" s="5">
        <f t="shared" si="5"/>
        <v>0</v>
      </c>
      <c r="O748" s="5">
        <f t="shared" si="6"/>
        <v>27169.24209</v>
      </c>
      <c r="P748" s="5">
        <f t="shared" si="9"/>
        <v>27169.24209</v>
      </c>
      <c r="Q748" s="5">
        <f t="shared" si="7"/>
        <v>27169.24209</v>
      </c>
      <c r="R748" s="5">
        <f t="shared" si="8"/>
        <v>0</v>
      </c>
    </row>
    <row r="749" ht="15.75" customHeight="1">
      <c r="A749" s="4">
        <v>2012.0</v>
      </c>
      <c r="B749" s="4">
        <v>100.0</v>
      </c>
      <c r="C749" s="4" t="s">
        <v>18</v>
      </c>
      <c r="D749" s="5">
        <v>9785.540849947593</v>
      </c>
      <c r="E749" s="5">
        <f t="shared" si="1"/>
        <v>0</v>
      </c>
      <c r="F749" s="5">
        <f t="shared" si="2"/>
        <v>9785.54085</v>
      </c>
      <c r="G749" s="5">
        <v>6530.972364745288</v>
      </c>
      <c r="H749" s="5">
        <v>4518.944331645808</v>
      </c>
      <c r="I749" s="5">
        <v>2012.0280330994801</v>
      </c>
      <c r="J749" s="5">
        <v>49583.78182329326</v>
      </c>
      <c r="K749" s="5">
        <f t="shared" si="3"/>
        <v>49583.78182</v>
      </c>
      <c r="L749" s="5">
        <f t="shared" si="4"/>
        <v>0</v>
      </c>
      <c r="M749" s="5">
        <v>109521.6050810875</v>
      </c>
      <c r="N749" s="5">
        <f t="shared" si="5"/>
        <v>0</v>
      </c>
      <c r="O749" s="5">
        <f t="shared" si="6"/>
        <v>109521.6051</v>
      </c>
      <c r="P749" s="5">
        <f t="shared" si="9"/>
        <v>175421.9001</v>
      </c>
      <c r="Q749" s="5">
        <f t="shared" si="7"/>
        <v>121319.174</v>
      </c>
      <c r="R749" s="5">
        <f t="shared" si="8"/>
        <v>54102.72615</v>
      </c>
    </row>
    <row r="750" ht="15.75" customHeight="1">
      <c r="A750" s="4">
        <v>2012.0</v>
      </c>
      <c r="B750" s="4">
        <v>101.0</v>
      </c>
      <c r="C750" s="4" t="s">
        <v>18</v>
      </c>
      <c r="D750" s="5">
        <v>13510.886946330878</v>
      </c>
      <c r="E750" s="5">
        <f t="shared" si="1"/>
        <v>0</v>
      </c>
      <c r="F750" s="5">
        <f t="shared" si="2"/>
        <v>13510.88695</v>
      </c>
      <c r="G750" s="5">
        <v>5600.749061126523</v>
      </c>
      <c r="H750" s="5">
        <v>2703.9437484018663</v>
      </c>
      <c r="I750" s="5">
        <v>2896.8053127246567</v>
      </c>
      <c r="J750" s="5">
        <v>498636.1131653759</v>
      </c>
      <c r="K750" s="5">
        <f t="shared" si="3"/>
        <v>498636.1132</v>
      </c>
      <c r="L750" s="5">
        <f t="shared" si="4"/>
        <v>0</v>
      </c>
      <c r="M750" s="5">
        <v>199373.60097284627</v>
      </c>
      <c r="N750" s="5">
        <f t="shared" si="5"/>
        <v>0</v>
      </c>
      <c r="O750" s="5">
        <f t="shared" si="6"/>
        <v>199373.601</v>
      </c>
      <c r="P750" s="5">
        <f t="shared" si="9"/>
        <v>717121.3501</v>
      </c>
      <c r="Q750" s="5">
        <f t="shared" si="7"/>
        <v>215781.2932</v>
      </c>
      <c r="R750" s="5">
        <f t="shared" si="8"/>
        <v>501340.0569</v>
      </c>
    </row>
    <row r="751" ht="15.75" customHeight="1">
      <c r="A751" s="4">
        <v>2012.0</v>
      </c>
      <c r="B751" s="4">
        <v>102.0</v>
      </c>
      <c r="C751" s="4" t="s">
        <v>18</v>
      </c>
      <c r="D751" s="5">
        <v>16367.580817175256</v>
      </c>
      <c r="E751" s="5">
        <f t="shared" si="1"/>
        <v>0</v>
      </c>
      <c r="F751" s="5">
        <f t="shared" si="2"/>
        <v>16367.58082</v>
      </c>
      <c r="G751" s="5">
        <v>11984.02184789265</v>
      </c>
      <c r="H751" s="5">
        <v>3440.6427331812674</v>
      </c>
      <c r="I751" s="5">
        <v>8543.379114711384</v>
      </c>
      <c r="J751" s="5">
        <v>40369.485454218615</v>
      </c>
      <c r="K751" s="5">
        <f t="shared" si="3"/>
        <v>40369.48545</v>
      </c>
      <c r="L751" s="5">
        <f t="shared" si="4"/>
        <v>0</v>
      </c>
      <c r="M751" s="5">
        <v>50509.05427863468</v>
      </c>
      <c r="N751" s="5">
        <f t="shared" si="5"/>
        <v>0</v>
      </c>
      <c r="O751" s="5">
        <f t="shared" si="6"/>
        <v>50509.05428</v>
      </c>
      <c r="P751" s="5">
        <f t="shared" si="9"/>
        <v>119230.1424</v>
      </c>
      <c r="Q751" s="5">
        <f t="shared" si="7"/>
        <v>75420.01421</v>
      </c>
      <c r="R751" s="5">
        <f t="shared" si="8"/>
        <v>43810.12819</v>
      </c>
    </row>
    <row r="752" ht="15.75" customHeight="1">
      <c r="A752" s="4">
        <v>2012.0</v>
      </c>
      <c r="B752" s="4">
        <v>103.0</v>
      </c>
      <c r="C752" s="4" t="s">
        <v>18</v>
      </c>
      <c r="D752" s="5">
        <v>11295.748323705886</v>
      </c>
      <c r="E752" s="5">
        <f t="shared" si="1"/>
        <v>0</v>
      </c>
      <c r="F752" s="5">
        <f t="shared" si="2"/>
        <v>11295.74832</v>
      </c>
      <c r="G752" s="5">
        <v>4092.509139839303</v>
      </c>
      <c r="H752" s="5">
        <v>2644.8639172102007</v>
      </c>
      <c r="I752" s="5">
        <v>1447.6452226291021</v>
      </c>
      <c r="J752" s="5">
        <v>4900.09738712451</v>
      </c>
      <c r="K752" s="5">
        <f t="shared" si="3"/>
        <v>4900.097387</v>
      </c>
      <c r="L752" s="5">
        <f t="shared" si="4"/>
        <v>0</v>
      </c>
      <c r="M752" s="5">
        <v>3619.7523985656444</v>
      </c>
      <c r="N752" s="5">
        <f t="shared" si="5"/>
        <v>0</v>
      </c>
      <c r="O752" s="5">
        <f t="shared" si="6"/>
        <v>3619.752399</v>
      </c>
      <c r="P752" s="5">
        <f t="shared" si="9"/>
        <v>23908.10725</v>
      </c>
      <c r="Q752" s="5">
        <f t="shared" si="7"/>
        <v>16363.14594</v>
      </c>
      <c r="R752" s="5">
        <f t="shared" si="8"/>
        <v>7544.961304</v>
      </c>
    </row>
    <row r="753" ht="15.75" customHeight="1">
      <c r="A753" s="4">
        <v>2012.0</v>
      </c>
      <c r="B753" s="4">
        <v>104.0</v>
      </c>
      <c r="C753" s="4" t="s">
        <v>18</v>
      </c>
      <c r="D753" s="5">
        <v>687.0752403509848</v>
      </c>
      <c r="E753" s="5">
        <f t="shared" si="1"/>
        <v>0</v>
      </c>
      <c r="F753" s="5">
        <f t="shared" si="2"/>
        <v>687.0752404</v>
      </c>
      <c r="G753" s="5" t="s">
        <v>19</v>
      </c>
      <c r="H753" s="5" t="s">
        <v>19</v>
      </c>
      <c r="I753" s="5" t="s">
        <v>19</v>
      </c>
      <c r="J753" s="5">
        <v>12444.850036989912</v>
      </c>
      <c r="K753" s="5">
        <f t="shared" si="3"/>
        <v>12444.85004</v>
      </c>
      <c r="L753" s="5">
        <f t="shared" si="4"/>
        <v>0</v>
      </c>
      <c r="M753" s="5">
        <v>15997.850757729691</v>
      </c>
      <c r="N753" s="5">
        <f t="shared" si="5"/>
        <v>0</v>
      </c>
      <c r="O753" s="5">
        <f t="shared" si="6"/>
        <v>15997.85076</v>
      </c>
      <c r="P753" s="5">
        <f t="shared" si="9"/>
        <v>29129.77604</v>
      </c>
      <c r="Q753" s="5">
        <f t="shared" si="7"/>
        <v>16684.926</v>
      </c>
      <c r="R753" s="5">
        <f t="shared" si="8"/>
        <v>12444.85004</v>
      </c>
    </row>
    <row r="754" ht="15.75" customHeight="1">
      <c r="A754" s="4">
        <v>2012.0</v>
      </c>
      <c r="B754" s="4">
        <v>105.0</v>
      </c>
      <c r="C754" s="4" t="s">
        <v>18</v>
      </c>
      <c r="D754" s="5">
        <v>14325.97144632266</v>
      </c>
      <c r="E754" s="5">
        <f t="shared" si="1"/>
        <v>0</v>
      </c>
      <c r="F754" s="5">
        <f t="shared" si="2"/>
        <v>14325.97145</v>
      </c>
      <c r="G754" s="5">
        <v>2188.0366968579824</v>
      </c>
      <c r="H754" s="5">
        <v>784.1332723227092</v>
      </c>
      <c r="I754" s="5">
        <v>1403.9034245352732</v>
      </c>
      <c r="J754" s="5">
        <v>39677.076789516475</v>
      </c>
      <c r="K754" s="5">
        <f t="shared" si="3"/>
        <v>39677.07679</v>
      </c>
      <c r="L754" s="5">
        <f t="shared" si="4"/>
        <v>0</v>
      </c>
      <c r="M754" s="5">
        <v>22390.68408713396</v>
      </c>
      <c r="N754" s="5">
        <f t="shared" si="5"/>
        <v>0</v>
      </c>
      <c r="O754" s="5">
        <f t="shared" si="6"/>
        <v>22390.68409</v>
      </c>
      <c r="P754" s="5">
        <f t="shared" si="9"/>
        <v>78581.76902</v>
      </c>
      <c r="Q754" s="5">
        <f t="shared" si="7"/>
        <v>38120.55896</v>
      </c>
      <c r="R754" s="5">
        <f t="shared" si="8"/>
        <v>40461.21006</v>
      </c>
    </row>
    <row r="755" ht="15.75" customHeight="1">
      <c r="A755" s="4">
        <v>2012.0</v>
      </c>
      <c r="B755" s="4">
        <v>106.0</v>
      </c>
      <c r="C755" s="4" t="s">
        <v>18</v>
      </c>
      <c r="D755" s="5">
        <v>26279.873468417467</v>
      </c>
      <c r="E755" s="5">
        <f t="shared" si="1"/>
        <v>0</v>
      </c>
      <c r="F755" s="5">
        <f t="shared" si="2"/>
        <v>26279.87347</v>
      </c>
      <c r="G755" s="5">
        <v>6110.596642804595</v>
      </c>
      <c r="H755" s="5">
        <v>3416.3101745013664</v>
      </c>
      <c r="I755" s="5">
        <v>2694.2864683032285</v>
      </c>
      <c r="J755" s="5">
        <v>109496.99851869637</v>
      </c>
      <c r="K755" s="5">
        <f t="shared" si="3"/>
        <v>109496.9985</v>
      </c>
      <c r="L755" s="5">
        <f t="shared" si="4"/>
        <v>0</v>
      </c>
      <c r="M755" s="5">
        <v>74996.75411711895</v>
      </c>
      <c r="N755" s="5">
        <f t="shared" si="5"/>
        <v>0</v>
      </c>
      <c r="O755" s="5">
        <f t="shared" si="6"/>
        <v>74996.75412</v>
      </c>
      <c r="P755" s="5">
        <f t="shared" si="9"/>
        <v>216884.2227</v>
      </c>
      <c r="Q755" s="5">
        <f t="shared" si="7"/>
        <v>103970.9141</v>
      </c>
      <c r="R755" s="5">
        <f t="shared" si="8"/>
        <v>112913.3087</v>
      </c>
    </row>
    <row r="756" ht="15.75" customHeight="1">
      <c r="A756" s="4">
        <v>2012.0</v>
      </c>
      <c r="B756" s="4">
        <v>107.0</v>
      </c>
      <c r="C756" s="4" t="s">
        <v>18</v>
      </c>
      <c r="D756" s="5">
        <v>14593.055599050605</v>
      </c>
      <c r="E756" s="5">
        <f t="shared" si="1"/>
        <v>0</v>
      </c>
      <c r="F756" s="5">
        <f t="shared" si="2"/>
        <v>14593.0556</v>
      </c>
      <c r="G756" s="5">
        <v>2794.9304756056963</v>
      </c>
      <c r="H756" s="5">
        <v>1793.9817971469083</v>
      </c>
      <c r="I756" s="5">
        <v>1000.948678458788</v>
      </c>
      <c r="J756" s="5">
        <v>30578.19412826172</v>
      </c>
      <c r="K756" s="5">
        <f t="shared" si="3"/>
        <v>30578.19413</v>
      </c>
      <c r="L756" s="5">
        <f t="shared" si="4"/>
        <v>0</v>
      </c>
      <c r="M756" s="5">
        <v>23588.744088884778</v>
      </c>
      <c r="N756" s="5">
        <f t="shared" si="5"/>
        <v>0</v>
      </c>
      <c r="O756" s="5">
        <f t="shared" si="6"/>
        <v>23588.74409</v>
      </c>
      <c r="P756" s="5">
        <f t="shared" si="9"/>
        <v>71554.92429</v>
      </c>
      <c r="Q756" s="5">
        <f t="shared" si="7"/>
        <v>39182.74837</v>
      </c>
      <c r="R756" s="5">
        <f t="shared" si="8"/>
        <v>32372.17593</v>
      </c>
    </row>
    <row r="757" ht="15.75" customHeight="1">
      <c r="A757" s="4">
        <v>2012.0</v>
      </c>
      <c r="B757" s="4">
        <v>108.0</v>
      </c>
      <c r="C757" s="4" t="s">
        <v>18</v>
      </c>
      <c r="D757" s="5">
        <v>10215.591604340047</v>
      </c>
      <c r="E757" s="5">
        <f t="shared" si="1"/>
        <v>0</v>
      </c>
      <c r="F757" s="5">
        <f t="shared" si="2"/>
        <v>10215.5916</v>
      </c>
      <c r="G757" s="5">
        <v>3304.304661200501</v>
      </c>
      <c r="H757" s="5">
        <v>1581.4269557602286</v>
      </c>
      <c r="I757" s="5">
        <v>1722.8777054402724</v>
      </c>
      <c r="J757" s="5">
        <v>14277.525531931862</v>
      </c>
      <c r="K757" s="5">
        <f t="shared" si="3"/>
        <v>14277.52553</v>
      </c>
      <c r="L757" s="5">
        <f t="shared" si="4"/>
        <v>0</v>
      </c>
      <c r="M757" s="5">
        <v>50888.665194916044</v>
      </c>
      <c r="N757" s="5">
        <f t="shared" si="5"/>
        <v>0</v>
      </c>
      <c r="O757" s="5">
        <f t="shared" si="6"/>
        <v>50888.66519</v>
      </c>
      <c r="P757" s="5">
        <f t="shared" si="9"/>
        <v>78686.08699</v>
      </c>
      <c r="Q757" s="5">
        <f t="shared" si="7"/>
        <v>62827.1345</v>
      </c>
      <c r="R757" s="5">
        <f t="shared" si="8"/>
        <v>15858.95249</v>
      </c>
    </row>
    <row r="758" ht="15.75" customHeight="1">
      <c r="A758" s="4">
        <v>2012.0</v>
      </c>
      <c r="B758" s="4">
        <v>120.0</v>
      </c>
      <c r="C758" s="4" t="s">
        <v>18</v>
      </c>
      <c r="D758" s="5">
        <v>13581.05312204754</v>
      </c>
      <c r="E758" s="5">
        <f t="shared" si="1"/>
        <v>0</v>
      </c>
      <c r="F758" s="5">
        <f t="shared" si="2"/>
        <v>13581.05312</v>
      </c>
      <c r="G758" s="5">
        <v>4557.857489690319</v>
      </c>
      <c r="H758" s="5">
        <v>2434.0133017232806</v>
      </c>
      <c r="I758" s="5">
        <v>2123.8441879670386</v>
      </c>
      <c r="J758" s="5">
        <v>6605.475646154164</v>
      </c>
      <c r="K758" s="5">
        <f t="shared" si="3"/>
        <v>6605.475646</v>
      </c>
      <c r="L758" s="5">
        <f t="shared" si="4"/>
        <v>0</v>
      </c>
      <c r="M758" s="5">
        <v>128635.23333994206</v>
      </c>
      <c r="N758" s="5">
        <f t="shared" si="5"/>
        <v>0</v>
      </c>
      <c r="O758" s="5">
        <f t="shared" si="6"/>
        <v>128635.2333</v>
      </c>
      <c r="P758" s="5">
        <f t="shared" si="9"/>
        <v>153379.6196</v>
      </c>
      <c r="Q758" s="5">
        <f t="shared" si="7"/>
        <v>144340.1306</v>
      </c>
      <c r="R758" s="5">
        <f t="shared" si="8"/>
        <v>9039.488948</v>
      </c>
    </row>
    <row r="759" ht="15.75" customHeight="1">
      <c r="A759" s="4">
        <v>2012.0</v>
      </c>
      <c r="B759" s="4">
        <v>121.0</v>
      </c>
      <c r="C759" s="4" t="s">
        <v>18</v>
      </c>
      <c r="D759" s="5">
        <v>26017.416762403453</v>
      </c>
      <c r="E759" s="5">
        <f t="shared" si="1"/>
        <v>0</v>
      </c>
      <c r="F759" s="5">
        <f t="shared" si="2"/>
        <v>26017.41676</v>
      </c>
      <c r="G759" s="5">
        <v>13781.033379972463</v>
      </c>
      <c r="H759" s="5">
        <v>7364.433508944371</v>
      </c>
      <c r="I759" s="5">
        <v>6416.599871028092</v>
      </c>
      <c r="J759" s="5">
        <v>81736.7457748943</v>
      </c>
      <c r="K759" s="5">
        <f t="shared" si="3"/>
        <v>81736.74577</v>
      </c>
      <c r="L759" s="5">
        <f t="shared" si="4"/>
        <v>0</v>
      </c>
      <c r="M759" s="5">
        <v>1536675.628812572</v>
      </c>
      <c r="N759" s="5">
        <f t="shared" si="5"/>
        <v>0</v>
      </c>
      <c r="O759" s="5">
        <f t="shared" si="6"/>
        <v>1536675.629</v>
      </c>
      <c r="P759" s="5">
        <f t="shared" si="9"/>
        <v>1658210.825</v>
      </c>
      <c r="Q759" s="5">
        <f t="shared" si="7"/>
        <v>1569109.645</v>
      </c>
      <c r="R759" s="5">
        <f t="shared" si="8"/>
        <v>89101.17928</v>
      </c>
    </row>
    <row r="760" ht="15.75" customHeight="1">
      <c r="A760" s="4">
        <v>2012.0</v>
      </c>
      <c r="B760" s="4">
        <v>122.0</v>
      </c>
      <c r="C760" s="4" t="s">
        <v>18</v>
      </c>
      <c r="D760" s="5">
        <v>53858.44991676629</v>
      </c>
      <c r="E760" s="5">
        <f t="shared" si="1"/>
        <v>0</v>
      </c>
      <c r="F760" s="5">
        <f t="shared" si="2"/>
        <v>53858.44992</v>
      </c>
      <c r="G760" s="5">
        <v>12939.666521182828</v>
      </c>
      <c r="H760" s="5">
        <v>3581.7242339163636</v>
      </c>
      <c r="I760" s="5">
        <v>9357.942287266464</v>
      </c>
      <c r="J760" s="5">
        <v>6656.2473760845005</v>
      </c>
      <c r="K760" s="5">
        <f t="shared" si="3"/>
        <v>6656.247376</v>
      </c>
      <c r="L760" s="5">
        <f t="shared" si="4"/>
        <v>0</v>
      </c>
      <c r="M760" s="5">
        <v>206659.97082445887</v>
      </c>
      <c r="N760" s="5">
        <f t="shared" si="5"/>
        <v>0</v>
      </c>
      <c r="O760" s="5">
        <f t="shared" si="6"/>
        <v>206659.9708</v>
      </c>
      <c r="P760" s="5">
        <f t="shared" si="9"/>
        <v>280114.3346</v>
      </c>
      <c r="Q760" s="5">
        <f t="shared" si="7"/>
        <v>269876.363</v>
      </c>
      <c r="R760" s="5">
        <f t="shared" si="8"/>
        <v>10237.97161</v>
      </c>
    </row>
    <row r="761" ht="15.75" customHeight="1">
      <c r="A761" s="4">
        <v>2012.0</v>
      </c>
      <c r="B761" s="4">
        <v>123.0</v>
      </c>
      <c r="C761" s="4" t="s">
        <v>18</v>
      </c>
      <c r="D761" s="5" t="s">
        <v>19</v>
      </c>
      <c r="E761" s="5" t="str">
        <f t="shared" si="1"/>
        <v/>
      </c>
      <c r="F761" s="5" t="str">
        <f t="shared" si="2"/>
        <v/>
      </c>
      <c r="G761" s="5" t="s">
        <v>19</v>
      </c>
      <c r="H761" s="5" t="s">
        <v>19</v>
      </c>
      <c r="I761" s="5" t="s">
        <v>19</v>
      </c>
      <c r="J761" s="5">
        <v>0.0</v>
      </c>
      <c r="K761" s="5">
        <f t="shared" si="3"/>
        <v>0</v>
      </c>
      <c r="L761" s="5">
        <f t="shared" si="4"/>
        <v>0</v>
      </c>
      <c r="M761" s="5">
        <v>6990.935834149146</v>
      </c>
      <c r="N761" s="5">
        <f t="shared" si="5"/>
        <v>0</v>
      </c>
      <c r="O761" s="5">
        <f t="shared" si="6"/>
        <v>6990.935834</v>
      </c>
      <c r="P761" s="5">
        <f t="shared" si="9"/>
        <v>6990.935834</v>
      </c>
      <c r="Q761" s="5">
        <f t="shared" si="7"/>
        <v>6990.935834</v>
      </c>
      <c r="R761" s="5">
        <f t="shared" si="8"/>
        <v>0</v>
      </c>
    </row>
    <row r="762" ht="15.75" customHeight="1">
      <c r="A762" s="4">
        <v>2012.0</v>
      </c>
      <c r="B762" s="4">
        <v>124.0</v>
      </c>
      <c r="C762" s="4" t="s">
        <v>18</v>
      </c>
      <c r="D762" s="5" t="s">
        <v>19</v>
      </c>
      <c r="E762" s="5" t="str">
        <f t="shared" si="1"/>
        <v/>
      </c>
      <c r="F762" s="5" t="str">
        <f t="shared" si="2"/>
        <v/>
      </c>
      <c r="G762" s="5" t="s">
        <v>19</v>
      </c>
      <c r="H762" s="5" t="s">
        <v>19</v>
      </c>
      <c r="I762" s="5" t="s">
        <v>19</v>
      </c>
      <c r="J762" s="5">
        <v>0.0</v>
      </c>
      <c r="K762" s="5">
        <f t="shared" si="3"/>
        <v>0</v>
      </c>
      <c r="L762" s="5">
        <f t="shared" si="4"/>
        <v>0</v>
      </c>
      <c r="M762" s="5">
        <v>18466.447958859913</v>
      </c>
      <c r="N762" s="5">
        <f t="shared" si="5"/>
        <v>0</v>
      </c>
      <c r="O762" s="5">
        <f t="shared" si="6"/>
        <v>18466.44796</v>
      </c>
      <c r="P762" s="5">
        <f t="shared" si="9"/>
        <v>18466.44796</v>
      </c>
      <c r="Q762" s="5">
        <f t="shared" si="7"/>
        <v>18466.44796</v>
      </c>
      <c r="R762" s="5">
        <f t="shared" si="8"/>
        <v>0</v>
      </c>
    </row>
    <row r="763" ht="15.75" customHeight="1">
      <c r="A763" s="4">
        <v>2012.0</v>
      </c>
      <c r="B763" s="4">
        <v>125.0</v>
      </c>
      <c r="C763" s="4" t="s">
        <v>18</v>
      </c>
      <c r="D763" s="5">
        <v>8301.74000145901</v>
      </c>
      <c r="E763" s="5">
        <f t="shared" si="1"/>
        <v>0</v>
      </c>
      <c r="F763" s="5">
        <f t="shared" si="2"/>
        <v>8301.740001</v>
      </c>
      <c r="G763" s="5">
        <v>2218.3340461870416</v>
      </c>
      <c r="H763" s="5">
        <v>1005.2092432081871</v>
      </c>
      <c r="I763" s="5">
        <v>1213.1248029788544</v>
      </c>
      <c r="J763" s="5">
        <v>4888.4346056839895</v>
      </c>
      <c r="K763" s="5">
        <f t="shared" si="3"/>
        <v>4888.434606</v>
      </c>
      <c r="L763" s="5">
        <f t="shared" si="4"/>
        <v>0</v>
      </c>
      <c r="M763" s="5">
        <v>431948.26418244466</v>
      </c>
      <c r="N763" s="5">
        <f t="shared" si="5"/>
        <v>0</v>
      </c>
      <c r="O763" s="5">
        <f t="shared" si="6"/>
        <v>431948.2642</v>
      </c>
      <c r="P763" s="5">
        <f t="shared" si="9"/>
        <v>447356.7728</v>
      </c>
      <c r="Q763" s="5">
        <f t="shared" si="7"/>
        <v>441463.129</v>
      </c>
      <c r="R763" s="5">
        <f t="shared" si="8"/>
        <v>5893.643849</v>
      </c>
    </row>
    <row r="764" ht="15.75" customHeight="1">
      <c r="A764" s="4">
        <v>2012.0</v>
      </c>
      <c r="B764" s="4">
        <v>126.0</v>
      </c>
      <c r="C764" s="4" t="s">
        <v>18</v>
      </c>
      <c r="D764" s="5">
        <v>12866.81678141914</v>
      </c>
      <c r="E764" s="5">
        <f t="shared" si="1"/>
        <v>0</v>
      </c>
      <c r="F764" s="5">
        <f t="shared" si="2"/>
        <v>12866.81678</v>
      </c>
      <c r="G764" s="5">
        <v>1507.5298271623205</v>
      </c>
      <c r="H764" s="5">
        <v>444.2348845373281</v>
      </c>
      <c r="I764" s="5">
        <v>1063.2949426249925</v>
      </c>
      <c r="J764" s="5">
        <v>2117.6226313988045</v>
      </c>
      <c r="K764" s="5">
        <f t="shared" si="3"/>
        <v>2117.622631</v>
      </c>
      <c r="L764" s="5">
        <f t="shared" si="4"/>
        <v>0</v>
      </c>
      <c r="M764" s="5">
        <v>353302.92578704515</v>
      </c>
      <c r="N764" s="5">
        <f t="shared" si="5"/>
        <v>0</v>
      </c>
      <c r="O764" s="5">
        <f t="shared" si="6"/>
        <v>353302.9258</v>
      </c>
      <c r="P764" s="5">
        <f t="shared" si="9"/>
        <v>369794.895</v>
      </c>
      <c r="Q764" s="5">
        <f t="shared" si="7"/>
        <v>367233.0375</v>
      </c>
      <c r="R764" s="5">
        <f t="shared" si="8"/>
        <v>2561.857516</v>
      </c>
    </row>
    <row r="765" ht="15.75" customHeight="1">
      <c r="A765" s="4">
        <v>2012.0</v>
      </c>
      <c r="B765" s="4">
        <v>127.0</v>
      </c>
      <c r="C765" s="4" t="s">
        <v>18</v>
      </c>
      <c r="D765" s="5">
        <v>3927.796890117746</v>
      </c>
      <c r="E765" s="5">
        <f t="shared" si="1"/>
        <v>0</v>
      </c>
      <c r="F765" s="5">
        <f t="shared" si="2"/>
        <v>3927.79689</v>
      </c>
      <c r="G765" s="5" t="s">
        <v>19</v>
      </c>
      <c r="H765" s="5" t="s">
        <v>19</v>
      </c>
      <c r="I765" s="5" t="s">
        <v>19</v>
      </c>
      <c r="J765" s="5">
        <v>0.0</v>
      </c>
      <c r="K765" s="5">
        <f t="shared" si="3"/>
        <v>0</v>
      </c>
      <c r="L765" s="5">
        <f t="shared" si="4"/>
        <v>0</v>
      </c>
      <c r="M765" s="5">
        <v>137074.12313329638</v>
      </c>
      <c r="N765" s="5">
        <f t="shared" si="5"/>
        <v>0</v>
      </c>
      <c r="O765" s="5">
        <f t="shared" si="6"/>
        <v>137074.1231</v>
      </c>
      <c r="P765" s="5">
        <f t="shared" si="9"/>
        <v>141001.92</v>
      </c>
      <c r="Q765" s="5">
        <f t="shared" si="7"/>
        <v>141001.92</v>
      </c>
      <c r="R765" s="5">
        <f t="shared" si="8"/>
        <v>0</v>
      </c>
    </row>
    <row r="766" ht="15.75" customHeight="1">
      <c r="A766" s="4">
        <v>2012.0</v>
      </c>
      <c r="B766" s="4">
        <v>128.0</v>
      </c>
      <c r="C766" s="4" t="s">
        <v>18</v>
      </c>
      <c r="D766" s="5">
        <v>4723.013548239933</v>
      </c>
      <c r="E766" s="5">
        <f t="shared" si="1"/>
        <v>0</v>
      </c>
      <c r="F766" s="5">
        <f t="shared" si="2"/>
        <v>4723.013548</v>
      </c>
      <c r="G766" s="5">
        <v>3525.3806320859794</v>
      </c>
      <c r="H766" s="5">
        <v>2195.705713406901</v>
      </c>
      <c r="I766" s="5">
        <v>1329.6749186790785</v>
      </c>
      <c r="J766" s="5">
        <v>0.0</v>
      </c>
      <c r="K766" s="5">
        <f t="shared" si="3"/>
        <v>0</v>
      </c>
      <c r="L766" s="5">
        <f t="shared" si="4"/>
        <v>0</v>
      </c>
      <c r="M766" s="5">
        <v>64577.315586519515</v>
      </c>
      <c r="N766" s="5">
        <f t="shared" si="5"/>
        <v>0</v>
      </c>
      <c r="O766" s="5">
        <f t="shared" si="6"/>
        <v>64577.31559</v>
      </c>
      <c r="P766" s="5">
        <f t="shared" si="9"/>
        <v>72825.70977</v>
      </c>
      <c r="Q766" s="5">
        <f t="shared" si="7"/>
        <v>70630.00405</v>
      </c>
      <c r="R766" s="5">
        <f t="shared" si="8"/>
        <v>2195.705713</v>
      </c>
    </row>
    <row r="767" ht="15.75" customHeight="1">
      <c r="A767" s="4">
        <v>2012.0</v>
      </c>
      <c r="B767" s="4">
        <v>300.0</v>
      </c>
      <c r="C767" s="4" t="s">
        <v>20</v>
      </c>
      <c r="D767" s="5" t="s">
        <v>19</v>
      </c>
      <c r="E767" s="5" t="str">
        <f t="shared" si="1"/>
        <v/>
      </c>
      <c r="F767" s="5" t="str">
        <f t="shared" si="2"/>
        <v/>
      </c>
      <c r="G767" s="5">
        <v>15280.501966494052</v>
      </c>
      <c r="H767" s="5">
        <v>8083.383485247519</v>
      </c>
      <c r="I767" s="5">
        <v>7197.118481246533</v>
      </c>
      <c r="J767" s="5">
        <v>222999.37531258253</v>
      </c>
      <c r="K767" s="5">
        <f t="shared" si="3"/>
        <v>222999.3753</v>
      </c>
      <c r="L767" s="5">
        <f t="shared" si="4"/>
        <v>0</v>
      </c>
      <c r="M767" s="5">
        <v>4584.008764083595</v>
      </c>
      <c r="N767" s="5">
        <f t="shared" si="5"/>
        <v>0</v>
      </c>
      <c r="O767" s="5">
        <f t="shared" si="6"/>
        <v>4584.008764</v>
      </c>
      <c r="P767" s="5">
        <f t="shared" si="9"/>
        <v>242863.886</v>
      </c>
      <c r="Q767" s="5">
        <f t="shared" si="7"/>
        <v>11781.12725</v>
      </c>
      <c r="R767" s="5">
        <f t="shared" si="8"/>
        <v>231082.7588</v>
      </c>
    </row>
    <row r="768" ht="15.75" customHeight="1">
      <c r="A768" s="4">
        <v>2012.0</v>
      </c>
      <c r="B768" s="4">
        <v>301.0</v>
      </c>
      <c r="C768" s="4" t="s">
        <v>20</v>
      </c>
      <c r="D768" s="5" t="s">
        <v>19</v>
      </c>
      <c r="E768" s="5" t="str">
        <f t="shared" si="1"/>
        <v/>
      </c>
      <c r="F768" s="5" t="str">
        <f t="shared" si="2"/>
        <v/>
      </c>
      <c r="G768" s="5">
        <v>4842.102250436677</v>
      </c>
      <c r="H768" s="5">
        <v>2755.7466584961885</v>
      </c>
      <c r="I768" s="5">
        <v>2086.355591940489</v>
      </c>
      <c r="J768" s="5">
        <v>6689.3953931323595</v>
      </c>
      <c r="K768" s="5">
        <f t="shared" si="3"/>
        <v>6689.395393</v>
      </c>
      <c r="L768" s="5">
        <f t="shared" si="4"/>
        <v>0</v>
      </c>
      <c r="M768" s="5">
        <v>154.21391973367855</v>
      </c>
      <c r="N768" s="5">
        <f t="shared" si="5"/>
        <v>0</v>
      </c>
      <c r="O768" s="5">
        <f t="shared" si="6"/>
        <v>154.2139197</v>
      </c>
      <c r="P768" s="5">
        <f t="shared" si="9"/>
        <v>11685.71156</v>
      </c>
      <c r="Q768" s="5">
        <f t="shared" si="7"/>
        <v>2240.569512</v>
      </c>
      <c r="R768" s="5">
        <f t="shared" si="8"/>
        <v>9445.142052</v>
      </c>
    </row>
    <row r="769" ht="15.75" customHeight="1">
      <c r="A769" s="4">
        <v>2012.0</v>
      </c>
      <c r="B769" s="4">
        <v>302.0</v>
      </c>
      <c r="C769" s="4" t="s">
        <v>20</v>
      </c>
      <c r="D769" s="5">
        <v>9790.031680726626</v>
      </c>
      <c r="E769" s="5">
        <f t="shared" si="1"/>
        <v>0</v>
      </c>
      <c r="F769" s="5">
        <f t="shared" si="2"/>
        <v>9790.031681</v>
      </c>
      <c r="G769" s="5">
        <v>4018.264425312866</v>
      </c>
      <c r="H769" s="5">
        <v>1927.8901122742125</v>
      </c>
      <c r="I769" s="5">
        <v>2090.374313038654</v>
      </c>
      <c r="J769" s="5">
        <v>109889.97026758647</v>
      </c>
      <c r="K769" s="5">
        <f t="shared" si="3"/>
        <v>109889.9703</v>
      </c>
      <c r="L769" s="5">
        <f t="shared" si="4"/>
        <v>0</v>
      </c>
      <c r="M769" s="5">
        <v>913.0035210899448</v>
      </c>
      <c r="N769" s="5">
        <f t="shared" si="5"/>
        <v>0</v>
      </c>
      <c r="O769" s="5">
        <f t="shared" si="6"/>
        <v>913.0035211</v>
      </c>
      <c r="P769" s="5">
        <f t="shared" si="9"/>
        <v>124611.2699</v>
      </c>
      <c r="Q769" s="5">
        <f t="shared" si="7"/>
        <v>12793.40951</v>
      </c>
      <c r="R769" s="5">
        <f t="shared" si="8"/>
        <v>111817.8604</v>
      </c>
    </row>
    <row r="770" ht="15.75" customHeight="1">
      <c r="A770" s="4">
        <v>2012.0</v>
      </c>
      <c r="B770" s="4">
        <v>303.0</v>
      </c>
      <c r="C770" s="4" t="s">
        <v>20</v>
      </c>
      <c r="D770" s="5">
        <v>9556.339961502574</v>
      </c>
      <c r="E770" s="5">
        <f t="shared" si="1"/>
        <v>0</v>
      </c>
      <c r="F770" s="5">
        <f t="shared" si="2"/>
        <v>9556.339962</v>
      </c>
      <c r="G770" s="5">
        <v>2607.601985286563</v>
      </c>
      <c r="H770" s="5">
        <v>1365.4518276719482</v>
      </c>
      <c r="I770" s="5">
        <v>1242.1501576146147</v>
      </c>
      <c r="J770" s="5">
        <v>12443.218621466003</v>
      </c>
      <c r="K770" s="5">
        <f t="shared" si="3"/>
        <v>12443.21862</v>
      </c>
      <c r="L770" s="5">
        <f t="shared" si="4"/>
        <v>0</v>
      </c>
      <c r="M770" s="5">
        <v>5235.919551624436</v>
      </c>
      <c r="N770" s="5">
        <f t="shared" si="5"/>
        <v>0</v>
      </c>
      <c r="O770" s="5">
        <f t="shared" si="6"/>
        <v>5235.919552</v>
      </c>
      <c r="P770" s="5">
        <f t="shared" si="9"/>
        <v>29843.08012</v>
      </c>
      <c r="Q770" s="5">
        <f t="shared" si="7"/>
        <v>16034.40967</v>
      </c>
      <c r="R770" s="5">
        <f t="shared" si="8"/>
        <v>13808.67045</v>
      </c>
    </row>
    <row r="771" ht="15.75" customHeight="1">
      <c r="A771" s="4">
        <v>2012.0</v>
      </c>
      <c r="B771" s="4">
        <v>304.0</v>
      </c>
      <c r="C771" s="4" t="s">
        <v>20</v>
      </c>
      <c r="D771" s="5">
        <v>14392.307358892784</v>
      </c>
      <c r="E771" s="5">
        <f t="shared" si="1"/>
        <v>0</v>
      </c>
      <c r="F771" s="5">
        <f t="shared" si="2"/>
        <v>14392.30736</v>
      </c>
      <c r="G771" s="5">
        <v>7611.3664253539655</v>
      </c>
      <c r="H771" s="5">
        <v>4766.477226134846</v>
      </c>
      <c r="I771" s="5">
        <v>2844.8891992191193</v>
      </c>
      <c r="J771" s="5">
        <v>1289.6312702052896</v>
      </c>
      <c r="K771" s="5">
        <f t="shared" si="3"/>
        <v>1289.63127</v>
      </c>
      <c r="L771" s="5">
        <f t="shared" si="4"/>
        <v>0</v>
      </c>
      <c r="M771" s="5">
        <v>2648.1956994266693</v>
      </c>
      <c r="N771" s="5">
        <f t="shared" si="5"/>
        <v>0</v>
      </c>
      <c r="O771" s="5">
        <f t="shared" si="6"/>
        <v>2648.195699</v>
      </c>
      <c r="P771" s="5">
        <f t="shared" si="9"/>
        <v>25941.50075</v>
      </c>
      <c r="Q771" s="5">
        <f t="shared" si="7"/>
        <v>19885.39226</v>
      </c>
      <c r="R771" s="5">
        <f t="shared" si="8"/>
        <v>6056.108496</v>
      </c>
    </row>
    <row r="772" ht="15.75" customHeight="1">
      <c r="A772" s="4">
        <v>2012.0</v>
      </c>
      <c r="B772" s="4">
        <v>305.0</v>
      </c>
      <c r="C772" s="4" t="s">
        <v>20</v>
      </c>
      <c r="D772" s="5">
        <v>29463.671811976223</v>
      </c>
      <c r="E772" s="5">
        <f t="shared" si="1"/>
        <v>0</v>
      </c>
      <c r="F772" s="5">
        <f t="shared" si="2"/>
        <v>29463.67181</v>
      </c>
      <c r="G772" s="5">
        <v>3914.5996878942938</v>
      </c>
      <c r="H772" s="5">
        <v>2174.310783248053</v>
      </c>
      <c r="I772" s="5">
        <v>1740.2889046462406</v>
      </c>
      <c r="J772" s="5">
        <v>2287.96186249923</v>
      </c>
      <c r="K772" s="5">
        <f t="shared" si="3"/>
        <v>2287.961862</v>
      </c>
      <c r="L772" s="5">
        <f t="shared" si="4"/>
        <v>0</v>
      </c>
      <c r="M772" s="5">
        <v>7964.006628913139</v>
      </c>
      <c r="N772" s="5">
        <f t="shared" si="5"/>
        <v>0</v>
      </c>
      <c r="O772" s="5">
        <f t="shared" si="6"/>
        <v>7964.006629</v>
      </c>
      <c r="P772" s="5">
        <f t="shared" si="9"/>
        <v>43630.23999</v>
      </c>
      <c r="Q772" s="5">
        <f t="shared" si="7"/>
        <v>39167.96735</v>
      </c>
      <c r="R772" s="5">
        <f t="shared" si="8"/>
        <v>4462.272646</v>
      </c>
    </row>
    <row r="773" ht="15.75" customHeight="1">
      <c r="A773" s="4">
        <v>2012.0</v>
      </c>
      <c r="B773" s="4">
        <v>306.0</v>
      </c>
      <c r="C773" s="4" t="s">
        <v>20</v>
      </c>
      <c r="D773" s="5" t="s">
        <v>19</v>
      </c>
      <c r="E773" s="5" t="str">
        <f t="shared" si="1"/>
        <v/>
      </c>
      <c r="F773" s="5" t="str">
        <f t="shared" si="2"/>
        <v/>
      </c>
      <c r="G773" s="5" t="s">
        <v>19</v>
      </c>
      <c r="H773" s="5" t="s">
        <v>19</v>
      </c>
      <c r="I773" s="5" t="s">
        <v>19</v>
      </c>
      <c r="J773" s="5">
        <v>0.0</v>
      </c>
      <c r="K773" s="5">
        <f t="shared" si="3"/>
        <v>0</v>
      </c>
      <c r="L773" s="5">
        <f t="shared" si="4"/>
        <v>0</v>
      </c>
      <c r="M773" s="5">
        <v>1550.2782653227296</v>
      </c>
      <c r="N773" s="5">
        <f t="shared" si="5"/>
        <v>0</v>
      </c>
      <c r="O773" s="5">
        <f t="shared" si="6"/>
        <v>1550.278265</v>
      </c>
      <c r="P773" s="5">
        <f t="shared" si="9"/>
        <v>1550.278265</v>
      </c>
      <c r="Q773" s="5">
        <f t="shared" si="7"/>
        <v>1550.278265</v>
      </c>
      <c r="R773" s="5">
        <f t="shared" si="8"/>
        <v>0</v>
      </c>
    </row>
    <row r="774" ht="15.75" customHeight="1">
      <c r="A774" s="4">
        <v>2012.0</v>
      </c>
      <c r="B774" s="4">
        <v>307.0</v>
      </c>
      <c r="C774" s="4" t="s">
        <v>20</v>
      </c>
      <c r="D774" s="5" t="s">
        <v>19</v>
      </c>
      <c r="E774" s="5" t="str">
        <f t="shared" si="1"/>
        <v/>
      </c>
      <c r="F774" s="5" t="str">
        <f t="shared" si="2"/>
        <v/>
      </c>
      <c r="G774" s="5" t="s">
        <v>19</v>
      </c>
      <c r="H774" s="5" t="s">
        <v>19</v>
      </c>
      <c r="I774" s="5" t="s">
        <v>19</v>
      </c>
      <c r="J774" s="5">
        <v>0.0</v>
      </c>
      <c r="K774" s="5">
        <f t="shared" si="3"/>
        <v>0</v>
      </c>
      <c r="L774" s="5">
        <f t="shared" si="4"/>
        <v>0</v>
      </c>
      <c r="M774" s="5">
        <v>191.33949300289743</v>
      </c>
      <c r="N774" s="5">
        <f t="shared" si="5"/>
        <v>0</v>
      </c>
      <c r="O774" s="5">
        <f t="shared" si="6"/>
        <v>191.339493</v>
      </c>
      <c r="P774" s="5">
        <f t="shared" si="9"/>
        <v>191.339493</v>
      </c>
      <c r="Q774" s="5">
        <f t="shared" si="7"/>
        <v>191.339493</v>
      </c>
      <c r="R774" s="5">
        <f t="shared" si="8"/>
        <v>0</v>
      </c>
    </row>
    <row r="775" ht="15.75" customHeight="1">
      <c r="A775" s="4">
        <v>2012.0</v>
      </c>
      <c r="B775" s="4">
        <v>308.0</v>
      </c>
      <c r="C775" s="4" t="s">
        <v>20</v>
      </c>
      <c r="D775" s="5">
        <v>16390.446619838473</v>
      </c>
      <c r="E775" s="5">
        <f t="shared" si="1"/>
        <v>0</v>
      </c>
      <c r="F775" s="5">
        <f t="shared" si="2"/>
        <v>16390.44662</v>
      </c>
      <c r="G775" s="5">
        <v>22315.36458340218</v>
      </c>
      <c r="H775" s="5">
        <v>7272.980975431439</v>
      </c>
      <c r="I775" s="5">
        <v>15042.383607970742</v>
      </c>
      <c r="J775" s="5">
        <v>3302.9796667283154</v>
      </c>
      <c r="K775" s="5">
        <f t="shared" si="3"/>
        <v>3302.979667</v>
      </c>
      <c r="L775" s="5">
        <f t="shared" si="4"/>
        <v>0</v>
      </c>
      <c r="M775" s="5">
        <v>6228.386078577152</v>
      </c>
      <c r="N775" s="5">
        <f t="shared" si="5"/>
        <v>0</v>
      </c>
      <c r="O775" s="5">
        <f t="shared" si="6"/>
        <v>6228.386079</v>
      </c>
      <c r="P775" s="5">
        <f t="shared" si="9"/>
        <v>48237.17695</v>
      </c>
      <c r="Q775" s="5">
        <f t="shared" si="7"/>
        <v>37661.21631</v>
      </c>
      <c r="R775" s="5">
        <f t="shared" si="8"/>
        <v>10575.96064</v>
      </c>
    </row>
    <row r="776" ht="15.75" customHeight="1">
      <c r="A776" s="4">
        <v>2012.0</v>
      </c>
      <c r="B776" s="4">
        <v>309.0</v>
      </c>
      <c r="C776" s="4" t="s">
        <v>20</v>
      </c>
      <c r="D776" s="5" t="s">
        <v>19</v>
      </c>
      <c r="E776" s="5" t="str">
        <f t="shared" si="1"/>
        <v/>
      </c>
      <c r="F776" s="5" t="str">
        <f t="shared" si="2"/>
        <v/>
      </c>
      <c r="G776" s="5" t="s">
        <v>19</v>
      </c>
      <c r="H776" s="5" t="s">
        <v>19</v>
      </c>
      <c r="I776" s="5" t="s">
        <v>19</v>
      </c>
      <c r="J776" s="5">
        <v>94.31902398125888</v>
      </c>
      <c r="K776" s="5">
        <f t="shared" si="3"/>
        <v>94.31902398</v>
      </c>
      <c r="L776" s="5">
        <f t="shared" si="4"/>
        <v>0</v>
      </c>
      <c r="M776" s="5">
        <v>1676.3624237716544</v>
      </c>
      <c r="N776" s="5">
        <f t="shared" si="5"/>
        <v>0</v>
      </c>
      <c r="O776" s="5">
        <f t="shared" si="6"/>
        <v>1676.362424</v>
      </c>
      <c r="P776" s="5">
        <f t="shared" si="9"/>
        <v>1770.681448</v>
      </c>
      <c r="Q776" s="5">
        <f t="shared" si="7"/>
        <v>1676.362424</v>
      </c>
      <c r="R776" s="5">
        <f t="shared" si="8"/>
        <v>94.31902398</v>
      </c>
    </row>
    <row r="777" ht="15.75" customHeight="1">
      <c r="A777" s="4">
        <v>2012.0</v>
      </c>
      <c r="B777" s="4">
        <v>310.0</v>
      </c>
      <c r="C777" s="4" t="s">
        <v>20</v>
      </c>
      <c r="D777" s="5">
        <v>6675.976929696069</v>
      </c>
      <c r="E777" s="5">
        <f t="shared" si="1"/>
        <v>0</v>
      </c>
      <c r="F777" s="5">
        <f t="shared" si="2"/>
        <v>6675.97693</v>
      </c>
      <c r="G777" s="5">
        <v>1561.8211540595526</v>
      </c>
      <c r="H777" s="5">
        <v>1137.11540163985</v>
      </c>
      <c r="I777" s="5">
        <v>424.70575241970255</v>
      </c>
      <c r="J777" s="5">
        <v>4274.828379212134</v>
      </c>
      <c r="K777" s="5">
        <f t="shared" si="3"/>
        <v>4274.828379</v>
      </c>
      <c r="L777" s="5">
        <f t="shared" si="4"/>
        <v>0</v>
      </c>
      <c r="M777" s="5">
        <v>1897.687956722767</v>
      </c>
      <c r="N777" s="5">
        <f t="shared" si="5"/>
        <v>0</v>
      </c>
      <c r="O777" s="5">
        <f t="shared" si="6"/>
        <v>1897.687957</v>
      </c>
      <c r="P777" s="5">
        <f t="shared" si="9"/>
        <v>14410.31442</v>
      </c>
      <c r="Q777" s="5">
        <f t="shared" si="7"/>
        <v>8998.370639</v>
      </c>
      <c r="R777" s="5">
        <f t="shared" si="8"/>
        <v>5411.943781</v>
      </c>
    </row>
    <row r="778" ht="15.75" customHeight="1">
      <c r="A778" s="4">
        <v>2012.0</v>
      </c>
      <c r="B778" s="4">
        <v>311.0</v>
      </c>
      <c r="C778" s="4" t="s">
        <v>20</v>
      </c>
      <c r="D778" s="5">
        <v>9634.504086861882</v>
      </c>
      <c r="E778" s="5">
        <f t="shared" si="1"/>
        <v>0</v>
      </c>
      <c r="F778" s="5">
        <f t="shared" si="2"/>
        <v>9634.504087</v>
      </c>
      <c r="G778" s="5">
        <v>8075.483044906809</v>
      </c>
      <c r="H778" s="5">
        <v>3974.3507638583733</v>
      </c>
      <c r="I778" s="5">
        <v>4101.132281048435</v>
      </c>
      <c r="J778" s="5">
        <v>2515.0530510079534</v>
      </c>
      <c r="K778" s="5">
        <f t="shared" si="3"/>
        <v>2515.053051</v>
      </c>
      <c r="L778" s="5">
        <f t="shared" si="4"/>
        <v>0</v>
      </c>
      <c r="M778" s="5">
        <v>441.93711257012524</v>
      </c>
      <c r="N778" s="5">
        <f t="shared" si="5"/>
        <v>0</v>
      </c>
      <c r="O778" s="5">
        <f t="shared" si="6"/>
        <v>441.9371126</v>
      </c>
      <c r="P778" s="5">
        <f t="shared" si="9"/>
        <v>20666.9773</v>
      </c>
      <c r="Q778" s="5">
        <f t="shared" si="7"/>
        <v>14177.57348</v>
      </c>
      <c r="R778" s="5">
        <f t="shared" si="8"/>
        <v>6489.403815</v>
      </c>
    </row>
    <row r="779" ht="15.75" customHeight="1">
      <c r="A779" s="4">
        <v>2012.0</v>
      </c>
      <c r="B779" s="4">
        <v>312.0</v>
      </c>
      <c r="C779" s="4" t="s">
        <v>20</v>
      </c>
      <c r="D779" s="5">
        <v>3079.0260136736306</v>
      </c>
      <c r="E779" s="5">
        <f t="shared" si="1"/>
        <v>0</v>
      </c>
      <c r="F779" s="5">
        <f t="shared" si="2"/>
        <v>3079.026014</v>
      </c>
      <c r="G779" s="5" t="s">
        <v>19</v>
      </c>
      <c r="H779" s="5" t="s">
        <v>19</v>
      </c>
      <c r="I779" s="5" t="s">
        <v>19</v>
      </c>
      <c r="J779" s="5">
        <v>37687.705390049945</v>
      </c>
      <c r="K779" s="5">
        <f t="shared" si="3"/>
        <v>37687.70539</v>
      </c>
      <c r="L779" s="5">
        <f t="shared" si="4"/>
        <v>0</v>
      </c>
      <c r="M779" s="5">
        <v>2186.125102891314</v>
      </c>
      <c r="N779" s="5">
        <f t="shared" si="5"/>
        <v>0</v>
      </c>
      <c r="O779" s="5">
        <f t="shared" si="6"/>
        <v>2186.125103</v>
      </c>
      <c r="P779" s="5">
        <f t="shared" si="9"/>
        <v>42952.85651</v>
      </c>
      <c r="Q779" s="5">
        <f t="shared" si="7"/>
        <v>5265.151117</v>
      </c>
      <c r="R779" s="5">
        <f t="shared" si="8"/>
        <v>37687.70539</v>
      </c>
    </row>
    <row r="780" ht="15.75" customHeight="1">
      <c r="A780" s="4">
        <v>2012.0</v>
      </c>
      <c r="B780" s="4">
        <v>313.0</v>
      </c>
      <c r="C780" s="4" t="s">
        <v>20</v>
      </c>
      <c r="D780" s="5">
        <v>31467.815999325954</v>
      </c>
      <c r="E780" s="5">
        <f t="shared" si="1"/>
        <v>0</v>
      </c>
      <c r="F780" s="5">
        <f t="shared" si="2"/>
        <v>31467.816</v>
      </c>
      <c r="G780" s="5">
        <v>2226.736826665023</v>
      </c>
      <c r="H780" s="5">
        <v>1179.6773114522327</v>
      </c>
      <c r="I780" s="5">
        <v>1047.05951521279</v>
      </c>
      <c r="J780" s="5">
        <v>0.0</v>
      </c>
      <c r="K780" s="5">
        <f t="shared" si="3"/>
        <v>0</v>
      </c>
      <c r="L780" s="5">
        <f t="shared" si="4"/>
        <v>0</v>
      </c>
      <c r="M780" s="5">
        <v>4868.304980925961</v>
      </c>
      <c r="N780" s="5">
        <f t="shared" si="5"/>
        <v>0</v>
      </c>
      <c r="O780" s="5">
        <f t="shared" si="6"/>
        <v>4868.304981</v>
      </c>
      <c r="P780" s="5">
        <f t="shared" si="9"/>
        <v>38562.85781</v>
      </c>
      <c r="Q780" s="5">
        <f t="shared" si="7"/>
        <v>37383.1805</v>
      </c>
      <c r="R780" s="5">
        <f t="shared" si="8"/>
        <v>1179.677311</v>
      </c>
    </row>
    <row r="781" ht="15.75" customHeight="1">
      <c r="A781" s="4">
        <v>2012.0</v>
      </c>
      <c r="B781" s="4">
        <v>314.0</v>
      </c>
      <c r="C781" s="4" t="s">
        <v>20</v>
      </c>
      <c r="D781" s="5" t="s">
        <v>19</v>
      </c>
      <c r="E781" s="5" t="str">
        <f t="shared" si="1"/>
        <v/>
      </c>
      <c r="F781" s="5" t="str">
        <f t="shared" si="2"/>
        <v/>
      </c>
      <c r="G781" s="5">
        <v>1185.0660511065903</v>
      </c>
      <c r="H781" s="5">
        <v>421.96571530731774</v>
      </c>
      <c r="I781" s="5">
        <v>763.1003357992726</v>
      </c>
      <c r="J781" s="5">
        <v>293.84003624930654</v>
      </c>
      <c r="K781" s="5">
        <f t="shared" si="3"/>
        <v>293.8400362</v>
      </c>
      <c r="L781" s="5">
        <f t="shared" si="4"/>
        <v>0</v>
      </c>
      <c r="M781" s="5">
        <v>1792.0228635719127</v>
      </c>
      <c r="N781" s="5">
        <f t="shared" si="5"/>
        <v>0</v>
      </c>
      <c r="O781" s="5">
        <f t="shared" si="6"/>
        <v>1792.022864</v>
      </c>
      <c r="P781" s="5">
        <f t="shared" si="9"/>
        <v>3270.928951</v>
      </c>
      <c r="Q781" s="5">
        <f t="shared" si="7"/>
        <v>2555.123199</v>
      </c>
      <c r="R781" s="5">
        <f t="shared" si="8"/>
        <v>715.8057516</v>
      </c>
    </row>
    <row r="782" ht="15.75" customHeight="1">
      <c r="A782" s="4">
        <v>2012.0</v>
      </c>
      <c r="B782" s="4">
        <v>320.0</v>
      </c>
      <c r="C782" s="4" t="s">
        <v>20</v>
      </c>
      <c r="D782" s="5">
        <v>167658.6461040864</v>
      </c>
      <c r="E782" s="5">
        <f t="shared" si="1"/>
        <v>0</v>
      </c>
      <c r="F782" s="5">
        <f t="shared" si="2"/>
        <v>167658.6461</v>
      </c>
      <c r="G782" s="5">
        <v>57765.50807058957</v>
      </c>
      <c r="H782" s="5">
        <v>35339.08978302242</v>
      </c>
      <c r="I782" s="5">
        <v>22426.418287567147</v>
      </c>
      <c r="J782" s="5">
        <v>43000.151862698985</v>
      </c>
      <c r="K782" s="5">
        <f t="shared" si="3"/>
        <v>43000.15186</v>
      </c>
      <c r="L782" s="5">
        <f t="shared" si="4"/>
        <v>0</v>
      </c>
      <c r="M782" s="5">
        <v>73806.78198453857</v>
      </c>
      <c r="N782" s="5">
        <f t="shared" si="5"/>
        <v>0</v>
      </c>
      <c r="O782" s="5">
        <f t="shared" si="6"/>
        <v>73806.78198</v>
      </c>
      <c r="P782" s="5">
        <f t="shared" si="9"/>
        <v>342231.088</v>
      </c>
      <c r="Q782" s="5">
        <f t="shared" si="7"/>
        <v>263891.8464</v>
      </c>
      <c r="R782" s="5">
        <f t="shared" si="8"/>
        <v>78339.24165</v>
      </c>
    </row>
    <row r="783" ht="15.75" customHeight="1">
      <c r="A783" s="4">
        <v>2012.0</v>
      </c>
      <c r="B783" s="4">
        <v>321.0</v>
      </c>
      <c r="C783" s="4" t="s">
        <v>20</v>
      </c>
      <c r="D783" s="5">
        <v>95729.78611747111</v>
      </c>
      <c r="E783" s="5">
        <f t="shared" si="1"/>
        <v>0</v>
      </c>
      <c r="F783" s="5">
        <f t="shared" si="2"/>
        <v>95729.78612</v>
      </c>
      <c r="G783" s="5">
        <v>22574.709096089435</v>
      </c>
      <c r="H783" s="5">
        <v>13808.87370071718</v>
      </c>
      <c r="I783" s="5">
        <v>8765.835395372254</v>
      </c>
      <c r="J783" s="5">
        <v>10191.170541175023</v>
      </c>
      <c r="K783" s="5">
        <f t="shared" si="3"/>
        <v>10191.17054</v>
      </c>
      <c r="L783" s="5">
        <f t="shared" si="4"/>
        <v>0</v>
      </c>
      <c r="M783" s="5">
        <v>8253.300519080203</v>
      </c>
      <c r="N783" s="5">
        <f t="shared" si="5"/>
        <v>0</v>
      </c>
      <c r="O783" s="5">
        <f t="shared" si="6"/>
        <v>8253.300519</v>
      </c>
      <c r="P783" s="5">
        <f t="shared" si="9"/>
        <v>136748.9663</v>
      </c>
      <c r="Q783" s="5">
        <f t="shared" si="7"/>
        <v>112748.922</v>
      </c>
      <c r="R783" s="5">
        <f t="shared" si="8"/>
        <v>24000.04424</v>
      </c>
    </row>
    <row r="784" ht="15.75" customHeight="1">
      <c r="A784" s="4">
        <v>2012.0</v>
      </c>
      <c r="B784" s="4">
        <v>322.0</v>
      </c>
      <c r="C784" s="4" t="s">
        <v>20</v>
      </c>
      <c r="D784" s="5">
        <v>13301.912806025104</v>
      </c>
      <c r="E784" s="5">
        <f t="shared" si="1"/>
        <v>0</v>
      </c>
      <c r="F784" s="5">
        <f t="shared" si="2"/>
        <v>13301.91281</v>
      </c>
      <c r="G784" s="5" t="s">
        <v>19</v>
      </c>
      <c r="H784" s="5" t="s">
        <v>19</v>
      </c>
      <c r="I784" s="5" t="s">
        <v>19</v>
      </c>
      <c r="J784" s="5">
        <v>0.0</v>
      </c>
      <c r="K784" s="5">
        <f t="shared" si="3"/>
        <v>0</v>
      </c>
      <c r="L784" s="5">
        <f t="shared" si="4"/>
        <v>0</v>
      </c>
      <c r="M784" s="5">
        <v>48474.14706428704</v>
      </c>
      <c r="N784" s="5">
        <f t="shared" si="5"/>
        <v>0</v>
      </c>
      <c r="O784" s="5">
        <f t="shared" si="6"/>
        <v>48474.14706</v>
      </c>
      <c r="P784" s="5">
        <f t="shared" si="9"/>
        <v>61776.05987</v>
      </c>
      <c r="Q784" s="5">
        <f t="shared" si="7"/>
        <v>61776.05987</v>
      </c>
      <c r="R784" s="5">
        <f t="shared" si="8"/>
        <v>0</v>
      </c>
    </row>
    <row r="785" ht="15.75" customHeight="1">
      <c r="A785" s="4">
        <v>2012.0</v>
      </c>
      <c r="B785" s="4">
        <v>323.0</v>
      </c>
      <c r="C785" s="4" t="s">
        <v>20</v>
      </c>
      <c r="D785" s="5">
        <v>4418.625012309144</v>
      </c>
      <c r="E785" s="5">
        <f t="shared" si="1"/>
        <v>0</v>
      </c>
      <c r="F785" s="5">
        <f t="shared" si="2"/>
        <v>4418.625012</v>
      </c>
      <c r="G785" s="5" t="s">
        <v>19</v>
      </c>
      <c r="H785" s="5" t="s">
        <v>19</v>
      </c>
      <c r="I785" s="5" t="s">
        <v>19</v>
      </c>
      <c r="J785" s="5">
        <v>0.0</v>
      </c>
      <c r="K785" s="5">
        <f t="shared" si="3"/>
        <v>0</v>
      </c>
      <c r="L785" s="5">
        <f t="shared" si="4"/>
        <v>0</v>
      </c>
      <c r="M785" s="5">
        <v>183022.33649779425</v>
      </c>
      <c r="N785" s="5">
        <f t="shared" si="5"/>
        <v>0</v>
      </c>
      <c r="O785" s="5">
        <f t="shared" si="6"/>
        <v>183022.3365</v>
      </c>
      <c r="P785" s="5">
        <f t="shared" si="9"/>
        <v>187440.9615</v>
      </c>
      <c r="Q785" s="5">
        <f t="shared" si="7"/>
        <v>187440.9615</v>
      </c>
      <c r="R785" s="5">
        <f t="shared" si="8"/>
        <v>0</v>
      </c>
    </row>
    <row r="786" ht="15.75" customHeight="1">
      <c r="A786" s="4">
        <v>2012.0</v>
      </c>
      <c r="B786" s="4">
        <v>324.0</v>
      </c>
      <c r="C786" s="4" t="s">
        <v>20</v>
      </c>
      <c r="D786" s="5">
        <v>17261.160948424873</v>
      </c>
      <c r="E786" s="5">
        <f t="shared" si="1"/>
        <v>0</v>
      </c>
      <c r="F786" s="5">
        <f t="shared" si="2"/>
        <v>17261.16095</v>
      </c>
      <c r="G786" s="5" t="s">
        <v>19</v>
      </c>
      <c r="H786" s="5" t="s">
        <v>19</v>
      </c>
      <c r="I786" s="5" t="s">
        <v>19</v>
      </c>
      <c r="J786" s="5">
        <v>0.0</v>
      </c>
      <c r="K786" s="5">
        <f t="shared" si="3"/>
        <v>0</v>
      </c>
      <c r="L786" s="5">
        <f t="shared" si="4"/>
        <v>0</v>
      </c>
      <c r="M786" s="5">
        <v>155427.78318891558</v>
      </c>
      <c r="N786" s="5">
        <f t="shared" si="5"/>
        <v>0</v>
      </c>
      <c r="O786" s="5">
        <f t="shared" si="6"/>
        <v>155427.7832</v>
      </c>
      <c r="P786" s="5">
        <f t="shared" si="9"/>
        <v>172688.9441</v>
      </c>
      <c r="Q786" s="5">
        <f t="shared" si="7"/>
        <v>172688.9441</v>
      </c>
      <c r="R786" s="5">
        <f t="shared" si="8"/>
        <v>0</v>
      </c>
    </row>
    <row r="787" ht="15.75" customHeight="1">
      <c r="A787" s="4">
        <v>2012.0</v>
      </c>
      <c r="B787" s="4">
        <v>325.0</v>
      </c>
      <c r="C787" s="4" t="s">
        <v>20</v>
      </c>
      <c r="D787" s="5">
        <v>13693.233843355312</v>
      </c>
      <c r="E787" s="5">
        <f t="shared" si="1"/>
        <v>0</v>
      </c>
      <c r="F787" s="5">
        <f t="shared" si="2"/>
        <v>13693.23384</v>
      </c>
      <c r="G787" s="5" t="s">
        <v>19</v>
      </c>
      <c r="H787" s="5" t="s">
        <v>19</v>
      </c>
      <c r="I787" s="5" t="s">
        <v>19</v>
      </c>
      <c r="J787" s="5">
        <v>0.0</v>
      </c>
      <c r="K787" s="5">
        <f t="shared" si="3"/>
        <v>0</v>
      </c>
      <c r="L787" s="5">
        <f t="shared" si="4"/>
        <v>0</v>
      </c>
      <c r="M787" s="5">
        <v>8221.17261913569</v>
      </c>
      <c r="N787" s="5">
        <f t="shared" si="5"/>
        <v>0</v>
      </c>
      <c r="O787" s="5">
        <f t="shared" si="6"/>
        <v>8221.172619</v>
      </c>
      <c r="P787" s="5">
        <f t="shared" si="9"/>
        <v>21914.40646</v>
      </c>
      <c r="Q787" s="5">
        <f t="shared" si="7"/>
        <v>21914.40646</v>
      </c>
      <c r="R787" s="5">
        <f t="shared" si="8"/>
        <v>0</v>
      </c>
    </row>
    <row r="788" ht="15.75" customHeight="1">
      <c r="A788" s="4">
        <v>2012.0</v>
      </c>
      <c r="B788" s="4">
        <v>326.0</v>
      </c>
      <c r="C788" s="4" t="s">
        <v>20</v>
      </c>
      <c r="D788" s="5" t="s">
        <v>19</v>
      </c>
      <c r="E788" s="5" t="str">
        <f t="shared" si="1"/>
        <v/>
      </c>
      <c r="F788" s="5" t="str">
        <f t="shared" si="2"/>
        <v/>
      </c>
      <c r="G788" s="5" t="s">
        <v>19</v>
      </c>
      <c r="H788" s="5" t="s">
        <v>19</v>
      </c>
      <c r="I788" s="5" t="s">
        <v>19</v>
      </c>
      <c r="J788" s="5">
        <v>0.0</v>
      </c>
      <c r="K788" s="5">
        <f t="shared" si="3"/>
        <v>0</v>
      </c>
      <c r="L788" s="5">
        <f t="shared" si="4"/>
        <v>0</v>
      </c>
      <c r="M788" s="5">
        <v>175937.22069976327</v>
      </c>
      <c r="N788" s="5">
        <f t="shared" si="5"/>
        <v>0</v>
      </c>
      <c r="O788" s="5">
        <f t="shared" si="6"/>
        <v>175937.2207</v>
      </c>
      <c r="P788" s="5">
        <f t="shared" si="9"/>
        <v>175937.2207</v>
      </c>
      <c r="Q788" s="5">
        <f t="shared" si="7"/>
        <v>175937.2207</v>
      </c>
      <c r="R788" s="5">
        <f t="shared" si="8"/>
        <v>0</v>
      </c>
    </row>
    <row r="789" ht="15.75" customHeight="1">
      <c r="A789" s="4">
        <v>2012.0</v>
      </c>
      <c r="B789" s="4">
        <v>327.0</v>
      </c>
      <c r="C789" s="4" t="s">
        <v>20</v>
      </c>
      <c r="D789" s="5">
        <v>87797.02813246197</v>
      </c>
      <c r="E789" s="5">
        <f t="shared" si="1"/>
        <v>0</v>
      </c>
      <c r="F789" s="5">
        <f t="shared" si="2"/>
        <v>87797.02813</v>
      </c>
      <c r="G789" s="5">
        <v>14554.16379528595</v>
      </c>
      <c r="H789" s="5">
        <v>5847.878539822865</v>
      </c>
      <c r="I789" s="5">
        <v>8706.285255463084</v>
      </c>
      <c r="J789" s="5">
        <v>74.36692275445412</v>
      </c>
      <c r="K789" s="5">
        <f t="shared" si="3"/>
        <v>74.36692275</v>
      </c>
      <c r="L789" s="5">
        <f t="shared" si="4"/>
        <v>0</v>
      </c>
      <c r="M789" s="5">
        <v>22032.4570379508</v>
      </c>
      <c r="N789" s="5">
        <f t="shared" si="5"/>
        <v>0</v>
      </c>
      <c r="O789" s="5">
        <f t="shared" si="6"/>
        <v>22032.45704</v>
      </c>
      <c r="P789" s="5">
        <f t="shared" si="9"/>
        <v>124458.0159</v>
      </c>
      <c r="Q789" s="5">
        <f t="shared" si="7"/>
        <v>118535.7704</v>
      </c>
      <c r="R789" s="5">
        <f t="shared" si="8"/>
        <v>5922.245463</v>
      </c>
    </row>
    <row r="790" ht="15.75" customHeight="1">
      <c r="A790" s="4">
        <v>2012.0</v>
      </c>
      <c r="B790" s="4">
        <v>328.0</v>
      </c>
      <c r="C790" s="4" t="s">
        <v>20</v>
      </c>
      <c r="D790" s="5">
        <v>6947.199438945396</v>
      </c>
      <c r="E790" s="5">
        <f t="shared" si="1"/>
        <v>0</v>
      </c>
      <c r="F790" s="5">
        <f t="shared" si="2"/>
        <v>6947.199439</v>
      </c>
      <c r="G790" s="5" t="s">
        <v>19</v>
      </c>
      <c r="H790" s="5" t="s">
        <v>19</v>
      </c>
      <c r="I790" s="5" t="s">
        <v>19</v>
      </c>
      <c r="J790" s="5">
        <v>0.0</v>
      </c>
      <c r="K790" s="5">
        <f t="shared" si="3"/>
        <v>0</v>
      </c>
      <c r="L790" s="5">
        <f t="shared" si="4"/>
        <v>0</v>
      </c>
      <c r="M790" s="5">
        <v>130047.38479074655</v>
      </c>
      <c r="N790" s="5">
        <f t="shared" si="5"/>
        <v>0</v>
      </c>
      <c r="O790" s="5">
        <f t="shared" si="6"/>
        <v>130047.3848</v>
      </c>
      <c r="P790" s="5">
        <f t="shared" si="9"/>
        <v>136994.5842</v>
      </c>
      <c r="Q790" s="5">
        <f t="shared" si="7"/>
        <v>136994.5842</v>
      </c>
      <c r="R790" s="5">
        <f t="shared" si="8"/>
        <v>0</v>
      </c>
    </row>
    <row r="791" ht="15.75" customHeight="1">
      <c r="A791" s="4">
        <v>2012.0</v>
      </c>
      <c r="B791" s="4">
        <v>331.0</v>
      </c>
      <c r="C791" s="4" t="s">
        <v>20</v>
      </c>
      <c r="D791" s="5">
        <v>199528.0415566828</v>
      </c>
      <c r="E791" s="5">
        <f t="shared" si="1"/>
        <v>0</v>
      </c>
      <c r="F791" s="5">
        <f t="shared" si="2"/>
        <v>199528.0416</v>
      </c>
      <c r="G791" s="5">
        <v>242934.33908661208</v>
      </c>
      <c r="H791" s="5">
        <v>61553.7646472318</v>
      </c>
      <c r="I791" s="5">
        <v>181380.57443938026</v>
      </c>
      <c r="J791" s="5">
        <v>3742.1072764564456</v>
      </c>
      <c r="K791" s="5">
        <f t="shared" si="3"/>
        <v>3742.107276</v>
      </c>
      <c r="L791" s="5">
        <f t="shared" si="4"/>
        <v>0</v>
      </c>
      <c r="M791" s="5">
        <v>64662.68189299671</v>
      </c>
      <c r="N791" s="5">
        <f t="shared" si="5"/>
        <v>0</v>
      </c>
      <c r="O791" s="5">
        <f t="shared" si="6"/>
        <v>64662.68189</v>
      </c>
      <c r="P791" s="5">
        <f t="shared" si="9"/>
        <v>510867.1698</v>
      </c>
      <c r="Q791" s="5">
        <f t="shared" si="7"/>
        <v>445571.2979</v>
      </c>
      <c r="R791" s="5">
        <f t="shared" si="8"/>
        <v>65295.87192</v>
      </c>
    </row>
    <row r="792" ht="15.75" customHeight="1">
      <c r="A792" s="4">
        <v>2012.0</v>
      </c>
      <c r="B792" s="4">
        <v>332.0</v>
      </c>
      <c r="C792" s="4" t="s">
        <v>20</v>
      </c>
      <c r="D792" s="5">
        <v>3057.5083607258066</v>
      </c>
      <c r="E792" s="5">
        <f t="shared" si="1"/>
        <v>0</v>
      </c>
      <c r="F792" s="5">
        <f t="shared" si="2"/>
        <v>3057.508361</v>
      </c>
      <c r="G792" s="5" t="s">
        <v>19</v>
      </c>
      <c r="H792" s="5" t="s">
        <v>19</v>
      </c>
      <c r="I792" s="5" t="s">
        <v>19</v>
      </c>
      <c r="J792" s="5">
        <v>0.0</v>
      </c>
      <c r="K792" s="5">
        <f t="shared" si="3"/>
        <v>0</v>
      </c>
      <c r="L792" s="5">
        <f t="shared" si="4"/>
        <v>0</v>
      </c>
      <c r="M792" s="5">
        <v>10108.15127587695</v>
      </c>
      <c r="N792" s="5">
        <f t="shared" si="5"/>
        <v>0</v>
      </c>
      <c r="O792" s="5">
        <f t="shared" si="6"/>
        <v>10108.15128</v>
      </c>
      <c r="P792" s="5">
        <f t="shared" si="9"/>
        <v>13165.65964</v>
      </c>
      <c r="Q792" s="5">
        <f t="shared" si="7"/>
        <v>13165.65964</v>
      </c>
      <c r="R792" s="5">
        <f t="shared" si="8"/>
        <v>0</v>
      </c>
    </row>
    <row r="793" ht="15.75" customHeight="1">
      <c r="A793" s="4">
        <v>2012.0</v>
      </c>
      <c r="B793" s="4">
        <v>333.0</v>
      </c>
      <c r="C793" s="4" t="s">
        <v>20</v>
      </c>
      <c r="D793" s="5">
        <v>10921.459897355273</v>
      </c>
      <c r="E793" s="5">
        <f t="shared" si="1"/>
        <v>0</v>
      </c>
      <c r="F793" s="5">
        <f t="shared" si="2"/>
        <v>10921.4599</v>
      </c>
      <c r="G793" s="5">
        <v>748.9434773852826</v>
      </c>
      <c r="H793" s="5">
        <v>452.5627963956189</v>
      </c>
      <c r="I793" s="5">
        <v>296.3806809896637</v>
      </c>
      <c r="J793" s="5">
        <v>0.0</v>
      </c>
      <c r="K793" s="5">
        <f t="shared" si="3"/>
        <v>0</v>
      </c>
      <c r="L793" s="5">
        <f t="shared" si="4"/>
        <v>0</v>
      </c>
      <c r="M793" s="5">
        <v>2491.4115476974293</v>
      </c>
      <c r="N793" s="5">
        <f t="shared" si="5"/>
        <v>0</v>
      </c>
      <c r="O793" s="5">
        <f t="shared" si="6"/>
        <v>2491.411548</v>
      </c>
      <c r="P793" s="5">
        <f t="shared" si="9"/>
        <v>14161.81492</v>
      </c>
      <c r="Q793" s="5">
        <f t="shared" si="7"/>
        <v>13709.25213</v>
      </c>
      <c r="R793" s="5">
        <f t="shared" si="8"/>
        <v>452.5627964</v>
      </c>
    </row>
    <row r="794" ht="15.75" customHeight="1">
      <c r="A794" s="4">
        <v>2012.0</v>
      </c>
      <c r="B794" s="4">
        <v>400.0</v>
      </c>
      <c r="C794" s="4" t="s">
        <v>21</v>
      </c>
      <c r="D794" s="5">
        <v>640.9924471693068</v>
      </c>
      <c r="E794" s="5">
        <f t="shared" si="1"/>
        <v>0</v>
      </c>
      <c r="F794" s="5">
        <f t="shared" si="2"/>
        <v>640.9924472</v>
      </c>
      <c r="G794" s="5">
        <v>4443.484995973122</v>
      </c>
      <c r="H794" s="5">
        <v>3033.436890277049</v>
      </c>
      <c r="I794" s="5">
        <v>1410.048105696073</v>
      </c>
      <c r="J794" s="5">
        <v>74533.05930891316</v>
      </c>
      <c r="K794" s="5">
        <f t="shared" si="3"/>
        <v>74533.05931</v>
      </c>
      <c r="L794" s="5">
        <f t="shared" si="4"/>
        <v>0</v>
      </c>
      <c r="M794" s="5">
        <v>887.4246957647501</v>
      </c>
      <c r="N794" s="5">
        <f t="shared" si="5"/>
        <v>0</v>
      </c>
      <c r="O794" s="5">
        <f t="shared" si="6"/>
        <v>887.4246958</v>
      </c>
      <c r="P794" s="5">
        <f t="shared" si="9"/>
        <v>80504.96145</v>
      </c>
      <c r="Q794" s="5">
        <f t="shared" si="7"/>
        <v>2938.465249</v>
      </c>
      <c r="R794" s="5">
        <f t="shared" si="8"/>
        <v>77566.4962</v>
      </c>
    </row>
    <row r="795" ht="15.75" customHeight="1">
      <c r="A795" s="4">
        <v>2012.0</v>
      </c>
      <c r="B795" s="4">
        <v>401.0</v>
      </c>
      <c r="C795" s="4" t="s">
        <v>21</v>
      </c>
      <c r="D795" s="5">
        <v>322.7133381213651</v>
      </c>
      <c r="E795" s="5">
        <f t="shared" si="1"/>
        <v>0</v>
      </c>
      <c r="F795" s="5">
        <f t="shared" si="2"/>
        <v>322.7133381</v>
      </c>
      <c r="G795" s="5">
        <v>14474.937358824569</v>
      </c>
      <c r="H795" s="5">
        <v>9968.036223537061</v>
      </c>
      <c r="I795" s="5">
        <v>4506.901135287508</v>
      </c>
      <c r="J795" s="5">
        <v>227093.24134967348</v>
      </c>
      <c r="K795" s="5">
        <f t="shared" si="3"/>
        <v>227093.2413</v>
      </c>
      <c r="L795" s="5">
        <f t="shared" si="4"/>
        <v>0</v>
      </c>
      <c r="M795" s="5">
        <v>3391.664248196783</v>
      </c>
      <c r="N795" s="5">
        <f t="shared" si="5"/>
        <v>0</v>
      </c>
      <c r="O795" s="5">
        <f t="shared" si="6"/>
        <v>3391.664248</v>
      </c>
      <c r="P795" s="5">
        <f t="shared" si="9"/>
        <v>245282.5563</v>
      </c>
      <c r="Q795" s="5">
        <f t="shared" si="7"/>
        <v>8221.278722</v>
      </c>
      <c r="R795" s="5">
        <f t="shared" si="8"/>
        <v>237061.2776</v>
      </c>
    </row>
    <row r="796" ht="15.75" customHeight="1">
      <c r="A796" s="4">
        <v>2012.0</v>
      </c>
      <c r="B796" s="4">
        <v>402.0</v>
      </c>
      <c r="C796" s="4" t="s">
        <v>21</v>
      </c>
      <c r="D796" s="5">
        <v>844.9669845467804</v>
      </c>
      <c r="E796" s="5">
        <f t="shared" si="1"/>
        <v>0</v>
      </c>
      <c r="F796" s="5">
        <f t="shared" si="2"/>
        <v>844.9669845</v>
      </c>
      <c r="G796" s="5">
        <v>29349.089634667813</v>
      </c>
      <c r="H796" s="5">
        <v>22768.18345105957</v>
      </c>
      <c r="I796" s="5">
        <v>6580.906183608244</v>
      </c>
      <c r="J796" s="5">
        <v>233551.42906661658</v>
      </c>
      <c r="K796" s="5">
        <f t="shared" si="3"/>
        <v>233551.4291</v>
      </c>
      <c r="L796" s="5">
        <f t="shared" si="4"/>
        <v>0</v>
      </c>
      <c r="M796" s="5">
        <v>960.3637118550041</v>
      </c>
      <c r="N796" s="5">
        <f t="shared" si="5"/>
        <v>0</v>
      </c>
      <c r="O796" s="5">
        <f t="shared" si="6"/>
        <v>960.3637119</v>
      </c>
      <c r="P796" s="5">
        <f t="shared" si="9"/>
        <v>264705.8494</v>
      </c>
      <c r="Q796" s="5">
        <f t="shared" si="7"/>
        <v>8386.23688</v>
      </c>
      <c r="R796" s="5">
        <f t="shared" si="8"/>
        <v>256319.6125</v>
      </c>
    </row>
    <row r="797" ht="15.75" customHeight="1">
      <c r="A797" s="4">
        <v>2012.0</v>
      </c>
      <c r="B797" s="4">
        <v>403.0</v>
      </c>
      <c r="C797" s="4" t="s">
        <v>21</v>
      </c>
      <c r="D797" s="5">
        <v>4998.607896046275</v>
      </c>
      <c r="E797" s="5">
        <f t="shared" si="1"/>
        <v>0</v>
      </c>
      <c r="F797" s="5">
        <f t="shared" si="2"/>
        <v>4998.607896</v>
      </c>
      <c r="G797" s="5">
        <v>28297.676933732815</v>
      </c>
      <c r="H797" s="5">
        <v>17794.049849509647</v>
      </c>
      <c r="I797" s="5">
        <v>10503.627084223168</v>
      </c>
      <c r="J797" s="5">
        <v>654363.078047867</v>
      </c>
      <c r="K797" s="5">
        <f t="shared" si="3"/>
        <v>654363.078</v>
      </c>
      <c r="L797" s="5">
        <f t="shared" si="4"/>
        <v>0</v>
      </c>
      <c r="M797" s="5">
        <v>37943.01394384689</v>
      </c>
      <c r="N797" s="5">
        <f t="shared" si="5"/>
        <v>0</v>
      </c>
      <c r="O797" s="5">
        <f t="shared" si="6"/>
        <v>37943.01394</v>
      </c>
      <c r="P797" s="5">
        <f t="shared" si="9"/>
        <v>725602.3768</v>
      </c>
      <c r="Q797" s="5">
        <f t="shared" si="7"/>
        <v>53445.24892</v>
      </c>
      <c r="R797" s="5">
        <f t="shared" si="8"/>
        <v>672157.1279</v>
      </c>
    </row>
    <row r="798" ht="15.75" customHeight="1">
      <c r="A798" s="4">
        <v>2012.0</v>
      </c>
      <c r="B798" s="4">
        <v>404.0</v>
      </c>
      <c r="C798" s="4" t="s">
        <v>21</v>
      </c>
      <c r="D798" s="5">
        <v>3960.505600745944</v>
      </c>
      <c r="E798" s="5">
        <f t="shared" si="1"/>
        <v>0</v>
      </c>
      <c r="F798" s="5">
        <f t="shared" si="2"/>
        <v>3960.505601</v>
      </c>
      <c r="G798" s="5">
        <v>19073.838288934097</v>
      </c>
      <c r="H798" s="5">
        <v>9012.94068970347</v>
      </c>
      <c r="I798" s="5">
        <v>10060.897599230628</v>
      </c>
      <c r="J798" s="5">
        <v>217890.2525863367</v>
      </c>
      <c r="K798" s="5">
        <f t="shared" si="3"/>
        <v>217890.2526</v>
      </c>
      <c r="L798" s="5">
        <f t="shared" si="4"/>
        <v>0</v>
      </c>
      <c r="M798" s="5">
        <v>1274.001481043093</v>
      </c>
      <c r="N798" s="5">
        <f t="shared" si="5"/>
        <v>0</v>
      </c>
      <c r="O798" s="5">
        <f t="shared" si="6"/>
        <v>1274.001481</v>
      </c>
      <c r="P798" s="5">
        <f t="shared" si="9"/>
        <v>242198.598</v>
      </c>
      <c r="Q798" s="5">
        <f t="shared" si="7"/>
        <v>15295.40468</v>
      </c>
      <c r="R798" s="5">
        <f t="shared" si="8"/>
        <v>226903.1933</v>
      </c>
    </row>
    <row r="799" ht="15.75" customHeight="1">
      <c r="A799" s="4">
        <v>2012.0</v>
      </c>
      <c r="B799" s="4">
        <v>405.0</v>
      </c>
      <c r="C799" s="4" t="s">
        <v>21</v>
      </c>
      <c r="D799" s="5">
        <v>2855.1508311653597</v>
      </c>
      <c r="E799" s="5">
        <f t="shared" si="1"/>
        <v>0</v>
      </c>
      <c r="F799" s="5">
        <f t="shared" si="2"/>
        <v>2855.150831</v>
      </c>
      <c r="G799" s="5">
        <v>1754.4058845858253</v>
      </c>
      <c r="H799" s="5">
        <v>1114.942455309373</v>
      </c>
      <c r="I799" s="5">
        <v>639.4634292764524</v>
      </c>
      <c r="J799" s="5">
        <v>46696.57410159588</v>
      </c>
      <c r="K799" s="5">
        <f t="shared" si="3"/>
        <v>46696.5741</v>
      </c>
      <c r="L799" s="5">
        <f t="shared" si="4"/>
        <v>0</v>
      </c>
      <c r="M799" s="5">
        <v>0.0</v>
      </c>
      <c r="N799" s="5">
        <f t="shared" si="5"/>
        <v>0</v>
      </c>
      <c r="O799" s="5">
        <f t="shared" si="6"/>
        <v>0</v>
      </c>
      <c r="P799" s="5">
        <f t="shared" si="9"/>
        <v>51306.13082</v>
      </c>
      <c r="Q799" s="5">
        <f t="shared" si="7"/>
        <v>3494.61426</v>
      </c>
      <c r="R799" s="5">
        <f t="shared" si="8"/>
        <v>47811.51656</v>
      </c>
    </row>
    <row r="800" ht="15.75" customHeight="1">
      <c r="A800" s="4">
        <v>2012.0</v>
      </c>
      <c r="B800" s="4">
        <v>406.0</v>
      </c>
      <c r="C800" s="4" t="s">
        <v>21</v>
      </c>
      <c r="D800" s="5">
        <v>638.0362944536914</v>
      </c>
      <c r="E800" s="5">
        <f t="shared" si="1"/>
        <v>0</v>
      </c>
      <c r="F800" s="5">
        <f t="shared" si="2"/>
        <v>638.0362945</v>
      </c>
      <c r="G800" s="5">
        <v>7869.452450573124</v>
      </c>
      <c r="H800" s="5">
        <v>5596.829341557075</v>
      </c>
      <c r="I800" s="5">
        <v>2272.623109016049</v>
      </c>
      <c r="J800" s="5">
        <v>124819.0160352905</v>
      </c>
      <c r="K800" s="5">
        <f t="shared" si="3"/>
        <v>124819.016</v>
      </c>
      <c r="L800" s="5">
        <f t="shared" si="4"/>
        <v>0</v>
      </c>
      <c r="M800" s="5">
        <v>1125.692148326244</v>
      </c>
      <c r="N800" s="5">
        <f t="shared" si="5"/>
        <v>0</v>
      </c>
      <c r="O800" s="5">
        <f t="shared" si="6"/>
        <v>1125.692148</v>
      </c>
      <c r="P800" s="5">
        <f t="shared" si="9"/>
        <v>134452.1969</v>
      </c>
      <c r="Q800" s="5">
        <f t="shared" si="7"/>
        <v>4036.351552</v>
      </c>
      <c r="R800" s="5">
        <f t="shared" si="8"/>
        <v>130415.8454</v>
      </c>
    </row>
    <row r="801" ht="15.75" customHeight="1">
      <c r="A801" s="4">
        <v>2012.0</v>
      </c>
      <c r="B801" s="4">
        <v>407.0</v>
      </c>
      <c r="C801" s="4" t="s">
        <v>21</v>
      </c>
      <c r="D801" s="5">
        <v>3691.6435112607087</v>
      </c>
      <c r="E801" s="5">
        <f t="shared" si="1"/>
        <v>0</v>
      </c>
      <c r="F801" s="5">
        <f t="shared" si="2"/>
        <v>3691.643511</v>
      </c>
      <c r="G801" s="5">
        <v>13775.920702273186</v>
      </c>
      <c r="H801" s="5">
        <v>10172.884176688161</v>
      </c>
      <c r="I801" s="5">
        <v>3603.0365255850247</v>
      </c>
      <c r="J801" s="5">
        <v>151230.84441679064</v>
      </c>
      <c r="K801" s="5">
        <f t="shared" si="3"/>
        <v>151230.8444</v>
      </c>
      <c r="L801" s="5">
        <f t="shared" si="4"/>
        <v>0</v>
      </c>
      <c r="M801" s="5">
        <v>336.3299075272796</v>
      </c>
      <c r="N801" s="5">
        <f t="shared" si="5"/>
        <v>0</v>
      </c>
      <c r="O801" s="5">
        <f t="shared" si="6"/>
        <v>336.3299075</v>
      </c>
      <c r="P801" s="5">
        <f t="shared" si="9"/>
        <v>169034.7385</v>
      </c>
      <c r="Q801" s="5">
        <f t="shared" si="7"/>
        <v>7631.009944</v>
      </c>
      <c r="R801" s="5">
        <f t="shared" si="8"/>
        <v>161403.7286</v>
      </c>
    </row>
    <row r="802" ht="15.75" customHeight="1">
      <c r="A802" s="4">
        <v>2012.0</v>
      </c>
      <c r="B802" s="4">
        <v>408.0</v>
      </c>
      <c r="C802" s="4" t="s">
        <v>21</v>
      </c>
      <c r="D802" s="5" t="s">
        <v>19</v>
      </c>
      <c r="E802" s="5" t="str">
        <f t="shared" si="1"/>
        <v/>
      </c>
      <c r="F802" s="5" t="str">
        <f t="shared" si="2"/>
        <v/>
      </c>
      <c r="G802" s="5">
        <v>2311.3090369405913</v>
      </c>
      <c r="H802" s="5">
        <v>1576.3710855909417</v>
      </c>
      <c r="I802" s="5">
        <v>734.9379513496497</v>
      </c>
      <c r="J802" s="5">
        <v>76494.35433279454</v>
      </c>
      <c r="K802" s="5">
        <f t="shared" si="3"/>
        <v>76494.35433</v>
      </c>
      <c r="L802" s="5">
        <f t="shared" si="4"/>
        <v>0</v>
      </c>
      <c r="M802" s="5">
        <v>323.3629713334569</v>
      </c>
      <c r="N802" s="5">
        <f t="shared" si="5"/>
        <v>0</v>
      </c>
      <c r="O802" s="5">
        <f t="shared" si="6"/>
        <v>323.3629713</v>
      </c>
      <c r="P802" s="5">
        <f t="shared" si="9"/>
        <v>79129.02634</v>
      </c>
      <c r="Q802" s="5">
        <f t="shared" si="7"/>
        <v>1058.300923</v>
      </c>
      <c r="R802" s="5">
        <f t="shared" si="8"/>
        <v>78070.72542</v>
      </c>
    </row>
    <row r="803" ht="15.75" customHeight="1">
      <c r="A803" s="4">
        <v>2012.0</v>
      </c>
      <c r="B803" s="4">
        <v>409.0</v>
      </c>
      <c r="C803" s="4" t="s">
        <v>21</v>
      </c>
      <c r="D803" s="5">
        <v>2631.4686090171167</v>
      </c>
      <c r="E803" s="5">
        <f t="shared" si="1"/>
        <v>0</v>
      </c>
      <c r="F803" s="5">
        <f t="shared" si="2"/>
        <v>2631.468609</v>
      </c>
      <c r="G803" s="5">
        <v>4206.1241998232745</v>
      </c>
      <c r="H803" s="5">
        <v>3113.526039644083</v>
      </c>
      <c r="I803" s="5">
        <v>1092.5981601791914</v>
      </c>
      <c r="J803" s="5">
        <v>55055.72958682121</v>
      </c>
      <c r="K803" s="5">
        <f t="shared" si="3"/>
        <v>55055.72959</v>
      </c>
      <c r="L803" s="5">
        <f t="shared" si="4"/>
        <v>0</v>
      </c>
      <c r="M803" s="5">
        <v>1380.5734878860749</v>
      </c>
      <c r="N803" s="5">
        <f t="shared" si="5"/>
        <v>0</v>
      </c>
      <c r="O803" s="5">
        <f t="shared" si="6"/>
        <v>1380.573488</v>
      </c>
      <c r="P803" s="5">
        <f t="shared" si="9"/>
        <v>63273.89588</v>
      </c>
      <c r="Q803" s="5">
        <f t="shared" si="7"/>
        <v>5104.640257</v>
      </c>
      <c r="R803" s="5">
        <f t="shared" si="8"/>
        <v>58169.25563</v>
      </c>
    </row>
    <row r="804" ht="15.75" customHeight="1">
      <c r="A804" s="4">
        <v>2012.0</v>
      </c>
      <c r="B804" s="4">
        <v>420.0</v>
      </c>
      <c r="C804" s="4" t="s">
        <v>21</v>
      </c>
      <c r="D804" s="5">
        <v>889.3092752810137</v>
      </c>
      <c r="E804" s="5">
        <f t="shared" si="1"/>
        <v>0</v>
      </c>
      <c r="F804" s="5">
        <f t="shared" si="2"/>
        <v>889.3092753</v>
      </c>
      <c r="G804" s="5" t="s">
        <v>19</v>
      </c>
      <c r="H804" s="5" t="s">
        <v>19</v>
      </c>
      <c r="I804" s="5" t="s">
        <v>19</v>
      </c>
      <c r="J804" s="5">
        <v>0.0</v>
      </c>
      <c r="K804" s="5">
        <f t="shared" si="3"/>
        <v>0</v>
      </c>
      <c r="L804" s="5">
        <f t="shared" si="4"/>
        <v>0</v>
      </c>
      <c r="M804" s="5">
        <v>12619.26021712595</v>
      </c>
      <c r="N804" s="5">
        <f t="shared" si="5"/>
        <v>0</v>
      </c>
      <c r="O804" s="5">
        <f t="shared" si="6"/>
        <v>12619.26022</v>
      </c>
      <c r="P804" s="5">
        <f t="shared" si="9"/>
        <v>13508.56949</v>
      </c>
      <c r="Q804" s="5">
        <f t="shared" si="7"/>
        <v>13508.56949</v>
      </c>
      <c r="R804" s="5">
        <f t="shared" si="8"/>
        <v>0</v>
      </c>
    </row>
    <row r="805" ht="15.75" customHeight="1">
      <c r="A805" s="4">
        <v>2012.0</v>
      </c>
      <c r="B805" s="4">
        <v>421.0</v>
      </c>
      <c r="C805" s="4" t="s">
        <v>21</v>
      </c>
      <c r="D805" s="5">
        <v>1975.6953982697312</v>
      </c>
      <c r="E805" s="5">
        <f t="shared" si="1"/>
        <v>0</v>
      </c>
      <c r="F805" s="5">
        <f t="shared" si="2"/>
        <v>1975.695398</v>
      </c>
      <c r="G805" s="5" t="s">
        <v>19</v>
      </c>
      <c r="H805" s="5" t="s">
        <v>19</v>
      </c>
      <c r="I805" s="5" t="s">
        <v>19</v>
      </c>
      <c r="J805" s="5">
        <v>267.2500986375686</v>
      </c>
      <c r="K805" s="5">
        <f t="shared" si="3"/>
        <v>267.2500986</v>
      </c>
      <c r="L805" s="5">
        <f t="shared" si="4"/>
        <v>0</v>
      </c>
      <c r="M805" s="5">
        <v>81844.22160806373</v>
      </c>
      <c r="N805" s="5">
        <f t="shared" si="5"/>
        <v>0</v>
      </c>
      <c r="O805" s="5">
        <f t="shared" si="6"/>
        <v>81844.22161</v>
      </c>
      <c r="P805" s="5">
        <f t="shared" si="9"/>
        <v>84087.1671</v>
      </c>
      <c r="Q805" s="5">
        <f t="shared" si="7"/>
        <v>83819.91701</v>
      </c>
      <c r="R805" s="5">
        <f t="shared" si="8"/>
        <v>267.2500986</v>
      </c>
    </row>
    <row r="806" ht="15.75" customHeight="1">
      <c r="A806" s="4">
        <v>2012.0</v>
      </c>
      <c r="B806" s="4">
        <v>422.0</v>
      </c>
      <c r="C806" s="4" t="s">
        <v>21</v>
      </c>
      <c r="D806" s="5">
        <v>384.2998530300226</v>
      </c>
      <c r="E806" s="5">
        <f t="shared" si="1"/>
        <v>0</v>
      </c>
      <c r="F806" s="5">
        <f t="shared" si="2"/>
        <v>384.299853</v>
      </c>
      <c r="G806" s="5">
        <v>1630.849506853256</v>
      </c>
      <c r="H806" s="5">
        <v>638.6113163265726</v>
      </c>
      <c r="I806" s="5">
        <v>992.2381905266833</v>
      </c>
      <c r="J806" s="5">
        <v>1236.4771230298174</v>
      </c>
      <c r="K806" s="5">
        <f t="shared" si="3"/>
        <v>1236.477123</v>
      </c>
      <c r="L806" s="5">
        <f t="shared" si="4"/>
        <v>0</v>
      </c>
      <c r="M806" s="5">
        <v>59551.62699034589</v>
      </c>
      <c r="N806" s="5">
        <f t="shared" si="5"/>
        <v>0</v>
      </c>
      <c r="O806" s="5">
        <f t="shared" si="6"/>
        <v>59551.62699</v>
      </c>
      <c r="P806" s="5">
        <f t="shared" si="9"/>
        <v>62803.25347</v>
      </c>
      <c r="Q806" s="5">
        <f t="shared" si="7"/>
        <v>60928.16503</v>
      </c>
      <c r="R806" s="5">
        <f t="shared" si="8"/>
        <v>1875.088439</v>
      </c>
    </row>
    <row r="807" ht="15.75" customHeight="1">
      <c r="A807" s="4">
        <v>2012.0</v>
      </c>
      <c r="B807" s="4">
        <v>423.0</v>
      </c>
      <c r="C807" s="4" t="s">
        <v>21</v>
      </c>
      <c r="D807" s="5">
        <v>8377.490449994857</v>
      </c>
      <c r="E807" s="5">
        <f t="shared" si="1"/>
        <v>0</v>
      </c>
      <c r="F807" s="5">
        <f t="shared" si="2"/>
        <v>8377.49045</v>
      </c>
      <c r="G807" s="5">
        <v>11483.405489838278</v>
      </c>
      <c r="H807" s="5">
        <v>4012.1264849006448</v>
      </c>
      <c r="I807" s="5">
        <v>7471.2790049376335</v>
      </c>
      <c r="J807" s="5">
        <v>48572.812327417545</v>
      </c>
      <c r="K807" s="5">
        <f t="shared" si="3"/>
        <v>48572.81233</v>
      </c>
      <c r="L807" s="5">
        <f t="shared" si="4"/>
        <v>0</v>
      </c>
      <c r="M807" s="5">
        <v>172300.06919417426</v>
      </c>
      <c r="N807" s="5">
        <f t="shared" si="5"/>
        <v>0</v>
      </c>
      <c r="O807" s="5">
        <f t="shared" si="6"/>
        <v>172300.0692</v>
      </c>
      <c r="P807" s="5">
        <f t="shared" si="9"/>
        <v>240733.7775</v>
      </c>
      <c r="Q807" s="5">
        <f t="shared" si="7"/>
        <v>188148.8386</v>
      </c>
      <c r="R807" s="5">
        <f t="shared" si="8"/>
        <v>52584.93881</v>
      </c>
    </row>
    <row r="808" ht="15.75" customHeight="1">
      <c r="A808" s="4">
        <v>2012.0</v>
      </c>
      <c r="B808" s="4">
        <v>424.0</v>
      </c>
      <c r="C808" s="4" t="s">
        <v>21</v>
      </c>
      <c r="D808" s="5">
        <v>3208.903772800688</v>
      </c>
      <c r="E808" s="5">
        <f t="shared" si="1"/>
        <v>0</v>
      </c>
      <c r="F808" s="5">
        <f t="shared" si="2"/>
        <v>3208.903773</v>
      </c>
      <c r="G808" s="5">
        <v>3434.0625276238616</v>
      </c>
      <c r="H808" s="5">
        <v>2052.4371227671127</v>
      </c>
      <c r="I808" s="5">
        <v>1381.625404856749</v>
      </c>
      <c r="J808" s="5">
        <v>2694.344227770997</v>
      </c>
      <c r="K808" s="5">
        <f t="shared" si="3"/>
        <v>2694.344228</v>
      </c>
      <c r="L808" s="5">
        <f t="shared" si="4"/>
        <v>0</v>
      </c>
      <c r="M808" s="5">
        <v>30551.074192861124</v>
      </c>
      <c r="N808" s="5">
        <f t="shared" si="5"/>
        <v>0</v>
      </c>
      <c r="O808" s="5">
        <f t="shared" si="6"/>
        <v>30551.07419</v>
      </c>
      <c r="P808" s="5">
        <f t="shared" si="9"/>
        <v>39888.38472</v>
      </c>
      <c r="Q808" s="5">
        <f t="shared" si="7"/>
        <v>35141.60337</v>
      </c>
      <c r="R808" s="5">
        <f t="shared" si="8"/>
        <v>4746.781351</v>
      </c>
    </row>
    <row r="809" ht="15.75" customHeight="1">
      <c r="A809" s="4">
        <v>2012.0</v>
      </c>
      <c r="B809" s="4">
        <v>425.0</v>
      </c>
      <c r="C809" s="4" t="s">
        <v>21</v>
      </c>
      <c r="D809" s="5">
        <v>5014.1276978032565</v>
      </c>
      <c r="E809" s="5">
        <f t="shared" si="1"/>
        <v>0</v>
      </c>
      <c r="F809" s="5">
        <f t="shared" si="2"/>
        <v>5014.127698</v>
      </c>
      <c r="G809" s="5" t="s">
        <v>19</v>
      </c>
      <c r="H809" s="5" t="s">
        <v>19</v>
      </c>
      <c r="I809" s="5" t="s">
        <v>19</v>
      </c>
      <c r="J809" s="5">
        <v>0.0</v>
      </c>
      <c r="K809" s="5">
        <f t="shared" si="3"/>
        <v>0</v>
      </c>
      <c r="L809" s="5">
        <f t="shared" si="4"/>
        <v>0</v>
      </c>
      <c r="M809" s="5">
        <v>163870.92042571492</v>
      </c>
      <c r="N809" s="5">
        <f t="shared" si="5"/>
        <v>0</v>
      </c>
      <c r="O809" s="5">
        <f t="shared" si="6"/>
        <v>163870.9204</v>
      </c>
      <c r="P809" s="5">
        <f t="shared" si="9"/>
        <v>168885.0481</v>
      </c>
      <c r="Q809" s="5">
        <f t="shared" si="7"/>
        <v>168885.0481</v>
      </c>
      <c r="R809" s="5">
        <f t="shared" si="8"/>
        <v>0</v>
      </c>
    </row>
    <row r="810" ht="15.75" customHeight="1">
      <c r="A810" s="4">
        <v>2012.0</v>
      </c>
      <c r="B810" s="4">
        <v>426.0</v>
      </c>
      <c r="C810" s="4" t="s">
        <v>21</v>
      </c>
      <c r="D810" s="5">
        <v>1391.8552369356587</v>
      </c>
      <c r="E810" s="5">
        <f t="shared" si="1"/>
        <v>0</v>
      </c>
      <c r="F810" s="5">
        <f t="shared" si="2"/>
        <v>1391.855237</v>
      </c>
      <c r="G810" s="5" t="s">
        <v>19</v>
      </c>
      <c r="H810" s="5" t="s">
        <v>19</v>
      </c>
      <c r="I810" s="5" t="s">
        <v>19</v>
      </c>
      <c r="J810" s="5">
        <v>0.0</v>
      </c>
      <c r="K810" s="5">
        <f t="shared" si="3"/>
        <v>0</v>
      </c>
      <c r="L810" s="5">
        <f t="shared" si="4"/>
        <v>0</v>
      </c>
      <c r="M810" s="5">
        <v>129199.10789282422</v>
      </c>
      <c r="N810" s="5">
        <f t="shared" si="5"/>
        <v>0</v>
      </c>
      <c r="O810" s="5">
        <f t="shared" si="6"/>
        <v>129199.1079</v>
      </c>
      <c r="P810" s="5">
        <f t="shared" si="9"/>
        <v>130590.9631</v>
      </c>
      <c r="Q810" s="5">
        <f t="shared" si="7"/>
        <v>130590.9631</v>
      </c>
      <c r="R810" s="5">
        <f t="shared" si="8"/>
        <v>0</v>
      </c>
    </row>
    <row r="811" ht="15.75" customHeight="1">
      <c r="A811" s="4">
        <v>2012.0</v>
      </c>
      <c r="B811" s="4">
        <v>427.0</v>
      </c>
      <c r="C811" s="4" t="s">
        <v>21</v>
      </c>
      <c r="D811" s="5">
        <v>1421.4167640918145</v>
      </c>
      <c r="E811" s="5">
        <f t="shared" si="1"/>
        <v>0</v>
      </c>
      <c r="F811" s="5">
        <f t="shared" si="2"/>
        <v>1421.416764</v>
      </c>
      <c r="G811" s="5" t="s">
        <v>19</v>
      </c>
      <c r="H811" s="5" t="s">
        <v>19</v>
      </c>
      <c r="I811" s="5" t="s">
        <v>19</v>
      </c>
      <c r="J811" s="5">
        <v>0.0</v>
      </c>
      <c r="K811" s="5">
        <f t="shared" si="3"/>
        <v>0</v>
      </c>
      <c r="L811" s="5">
        <f t="shared" si="4"/>
        <v>0</v>
      </c>
      <c r="M811" s="5">
        <v>139895.57408078434</v>
      </c>
      <c r="N811" s="5">
        <f t="shared" si="5"/>
        <v>0</v>
      </c>
      <c r="O811" s="5">
        <f t="shared" si="6"/>
        <v>139895.5741</v>
      </c>
      <c r="P811" s="5">
        <f t="shared" si="9"/>
        <v>141316.9908</v>
      </c>
      <c r="Q811" s="5">
        <f t="shared" si="7"/>
        <v>141316.9908</v>
      </c>
      <c r="R811" s="5">
        <f t="shared" si="8"/>
        <v>0</v>
      </c>
    </row>
    <row r="812" ht="15.75" customHeight="1">
      <c r="A812" s="4">
        <v>2012.0</v>
      </c>
      <c r="B812" s="4">
        <v>428.0</v>
      </c>
      <c r="C812" s="4" t="s">
        <v>21</v>
      </c>
      <c r="D812" s="5" t="s">
        <v>19</v>
      </c>
      <c r="E812" s="5" t="str">
        <f t="shared" si="1"/>
        <v/>
      </c>
      <c r="F812" s="5" t="str">
        <f t="shared" si="2"/>
        <v/>
      </c>
      <c r="G812" s="5" t="s">
        <v>19</v>
      </c>
      <c r="H812" s="5" t="s">
        <v>19</v>
      </c>
      <c r="I812" s="5" t="s">
        <v>19</v>
      </c>
      <c r="J812" s="5">
        <v>0.0</v>
      </c>
      <c r="K812" s="5">
        <f t="shared" si="3"/>
        <v>0</v>
      </c>
      <c r="L812" s="5">
        <f t="shared" si="4"/>
        <v>0</v>
      </c>
      <c r="M812" s="5">
        <v>17607.478484187173</v>
      </c>
      <c r="N812" s="5">
        <f t="shared" si="5"/>
        <v>0</v>
      </c>
      <c r="O812" s="5">
        <f t="shared" si="6"/>
        <v>17607.47848</v>
      </c>
      <c r="P812" s="5">
        <f t="shared" si="9"/>
        <v>17607.47848</v>
      </c>
      <c r="Q812" s="5">
        <f t="shared" si="7"/>
        <v>17607.47848</v>
      </c>
      <c r="R812" s="5">
        <f t="shared" si="8"/>
        <v>0</v>
      </c>
    </row>
    <row r="813" ht="15.75" customHeight="1">
      <c r="A813" s="4">
        <v>2012.0</v>
      </c>
      <c r="B813" s="4">
        <v>429.0</v>
      </c>
      <c r="C813" s="4" t="s">
        <v>21</v>
      </c>
      <c r="D813" s="5">
        <v>9242.904157491314</v>
      </c>
      <c r="E813" s="5">
        <f t="shared" si="1"/>
        <v>0</v>
      </c>
      <c r="F813" s="5">
        <f t="shared" si="2"/>
        <v>9242.904157</v>
      </c>
      <c r="G813" s="5">
        <v>5720.991666276226</v>
      </c>
      <c r="H813" s="5">
        <v>3828.3541253765698</v>
      </c>
      <c r="I813" s="5">
        <v>1892.6375408996564</v>
      </c>
      <c r="J813" s="5">
        <v>486.39517952037494</v>
      </c>
      <c r="K813" s="5">
        <f t="shared" si="3"/>
        <v>486.3951795</v>
      </c>
      <c r="L813" s="5">
        <f t="shared" si="4"/>
        <v>0</v>
      </c>
      <c r="M813" s="5">
        <v>10134.065852228596</v>
      </c>
      <c r="N813" s="5">
        <f t="shared" si="5"/>
        <v>0</v>
      </c>
      <c r="O813" s="5">
        <f t="shared" si="6"/>
        <v>10134.06585</v>
      </c>
      <c r="P813" s="5">
        <f t="shared" si="9"/>
        <v>25584.35686</v>
      </c>
      <c r="Q813" s="5">
        <f t="shared" si="7"/>
        <v>21269.60755</v>
      </c>
      <c r="R813" s="5">
        <f t="shared" si="8"/>
        <v>4314.749305</v>
      </c>
    </row>
    <row r="814" ht="15.75" customHeight="1">
      <c r="A814" s="4">
        <v>2012.0</v>
      </c>
      <c r="B814" s="4">
        <v>500.0</v>
      </c>
      <c r="C814" s="4" t="s">
        <v>22</v>
      </c>
      <c r="D814" s="5">
        <v>9349.39254817828</v>
      </c>
      <c r="E814" s="5">
        <f t="shared" si="1"/>
        <v>0</v>
      </c>
      <c r="F814" s="5">
        <f t="shared" si="2"/>
        <v>9349.392548</v>
      </c>
      <c r="G814" s="5">
        <v>23873.409503215997</v>
      </c>
      <c r="H814" s="5">
        <v>13475.773949616754</v>
      </c>
      <c r="I814" s="5">
        <v>10397.635553599242</v>
      </c>
      <c r="J814" s="5">
        <v>80204.83167567558</v>
      </c>
      <c r="K814" s="5">
        <f t="shared" si="3"/>
        <v>80204.83168</v>
      </c>
      <c r="L814" s="5">
        <f t="shared" si="4"/>
        <v>0</v>
      </c>
      <c r="M814" s="5">
        <v>34494.92409853071</v>
      </c>
      <c r="N814" s="5">
        <f t="shared" si="5"/>
        <v>0</v>
      </c>
      <c r="O814" s="5">
        <f t="shared" si="6"/>
        <v>34494.9241</v>
      </c>
      <c r="P814" s="5">
        <f t="shared" si="9"/>
        <v>147922.5578</v>
      </c>
      <c r="Q814" s="5">
        <f t="shared" si="7"/>
        <v>54241.9522</v>
      </c>
      <c r="R814" s="5">
        <f t="shared" si="8"/>
        <v>93680.60563</v>
      </c>
    </row>
    <row r="815" ht="15.75" customHeight="1">
      <c r="A815" s="4">
        <v>2012.0</v>
      </c>
      <c r="B815" s="4">
        <v>501.0</v>
      </c>
      <c r="C815" s="4" t="s">
        <v>22</v>
      </c>
      <c r="D815" s="5">
        <v>4260.9931213981845</v>
      </c>
      <c r="E815" s="5">
        <f t="shared" si="1"/>
        <v>0</v>
      </c>
      <c r="F815" s="5">
        <f t="shared" si="2"/>
        <v>4260.993121</v>
      </c>
      <c r="G815" s="5">
        <v>8649.021052619035</v>
      </c>
      <c r="H815" s="5">
        <v>3440.436394236279</v>
      </c>
      <c r="I815" s="5">
        <v>5208.584658382756</v>
      </c>
      <c r="J815" s="5">
        <v>55535.42466808048</v>
      </c>
      <c r="K815" s="5">
        <f t="shared" si="3"/>
        <v>55535.42467</v>
      </c>
      <c r="L815" s="5">
        <f t="shared" si="4"/>
        <v>0</v>
      </c>
      <c r="M815" s="5">
        <v>6859.05643288741</v>
      </c>
      <c r="N815" s="5">
        <f t="shared" si="5"/>
        <v>0</v>
      </c>
      <c r="O815" s="5">
        <f t="shared" si="6"/>
        <v>6859.056433</v>
      </c>
      <c r="P815" s="5">
        <f t="shared" si="9"/>
        <v>75304.49527</v>
      </c>
      <c r="Q815" s="5">
        <f t="shared" si="7"/>
        <v>16328.63421</v>
      </c>
      <c r="R815" s="5">
        <f t="shared" si="8"/>
        <v>58975.86106</v>
      </c>
    </row>
    <row r="816" ht="15.75" customHeight="1">
      <c r="A816" s="4">
        <v>2012.0</v>
      </c>
      <c r="B816" s="4">
        <v>502.0</v>
      </c>
      <c r="C816" s="4" t="s">
        <v>22</v>
      </c>
      <c r="D816" s="5">
        <v>796.5403661919729</v>
      </c>
      <c r="E816" s="5">
        <f t="shared" si="1"/>
        <v>0</v>
      </c>
      <c r="F816" s="5">
        <f t="shared" si="2"/>
        <v>796.5403662</v>
      </c>
      <c r="G816" s="5" t="s">
        <v>19</v>
      </c>
      <c r="H816" s="5" t="s">
        <v>19</v>
      </c>
      <c r="I816" s="5" t="s">
        <v>19</v>
      </c>
      <c r="J816" s="5">
        <v>0.0</v>
      </c>
      <c r="K816" s="5">
        <f t="shared" si="3"/>
        <v>0</v>
      </c>
      <c r="L816" s="5">
        <f t="shared" si="4"/>
        <v>0</v>
      </c>
      <c r="M816" s="5">
        <v>3893.1810879312816</v>
      </c>
      <c r="N816" s="5">
        <f t="shared" si="5"/>
        <v>0</v>
      </c>
      <c r="O816" s="5">
        <f t="shared" si="6"/>
        <v>3893.181088</v>
      </c>
      <c r="P816" s="5">
        <f t="shared" si="9"/>
        <v>4689.721454</v>
      </c>
      <c r="Q816" s="5">
        <f t="shared" si="7"/>
        <v>4689.721454</v>
      </c>
      <c r="R816" s="5">
        <f t="shared" si="8"/>
        <v>0</v>
      </c>
    </row>
    <row r="817" ht="15.75" customHeight="1">
      <c r="A817" s="4">
        <v>2012.0</v>
      </c>
      <c r="B817" s="4">
        <v>503.0</v>
      </c>
      <c r="C817" s="4" t="s">
        <v>22</v>
      </c>
      <c r="D817" s="5">
        <v>878.6835914555201</v>
      </c>
      <c r="E817" s="5">
        <f t="shared" si="1"/>
        <v>0</v>
      </c>
      <c r="F817" s="5">
        <f t="shared" si="2"/>
        <v>878.6835915</v>
      </c>
      <c r="G817" s="5" t="s">
        <v>19</v>
      </c>
      <c r="H817" s="5" t="s">
        <v>19</v>
      </c>
      <c r="I817" s="5" t="s">
        <v>19</v>
      </c>
      <c r="J817" s="5">
        <v>4161.224896849763</v>
      </c>
      <c r="K817" s="5">
        <f t="shared" si="3"/>
        <v>4161.224897</v>
      </c>
      <c r="L817" s="5">
        <f t="shared" si="4"/>
        <v>0</v>
      </c>
      <c r="M817" s="5">
        <v>4972.260445286975</v>
      </c>
      <c r="N817" s="5">
        <f t="shared" si="5"/>
        <v>0</v>
      </c>
      <c r="O817" s="5">
        <f t="shared" si="6"/>
        <v>4972.260445</v>
      </c>
      <c r="P817" s="5">
        <f t="shared" si="9"/>
        <v>10012.16893</v>
      </c>
      <c r="Q817" s="5">
        <f t="shared" si="7"/>
        <v>5850.944037</v>
      </c>
      <c r="R817" s="5">
        <f t="shared" si="8"/>
        <v>4161.224897</v>
      </c>
    </row>
    <row r="818" ht="15.75" customHeight="1">
      <c r="A818" s="4">
        <v>2012.0</v>
      </c>
      <c r="B818" s="4">
        <v>504.0</v>
      </c>
      <c r="C818" s="4" t="s">
        <v>22</v>
      </c>
      <c r="D818" s="5">
        <v>5761.4760362123125</v>
      </c>
      <c r="E818" s="5">
        <f t="shared" si="1"/>
        <v>0</v>
      </c>
      <c r="F818" s="5">
        <f t="shared" si="2"/>
        <v>5761.476036</v>
      </c>
      <c r="G818" s="5">
        <v>16251.481714156547</v>
      </c>
      <c r="H818" s="5">
        <v>6441.953318652775</v>
      </c>
      <c r="I818" s="5">
        <v>9809.528395503772</v>
      </c>
      <c r="J818" s="5">
        <v>66519.6037576578</v>
      </c>
      <c r="K818" s="5">
        <f t="shared" si="3"/>
        <v>66519.60376</v>
      </c>
      <c r="L818" s="5">
        <f t="shared" si="4"/>
        <v>0</v>
      </c>
      <c r="M818" s="5">
        <v>64508.52393176747</v>
      </c>
      <c r="N818" s="5">
        <f t="shared" si="5"/>
        <v>0</v>
      </c>
      <c r="O818" s="5">
        <f t="shared" si="6"/>
        <v>64508.52393</v>
      </c>
      <c r="P818" s="5">
        <f t="shared" si="9"/>
        <v>153041.0854</v>
      </c>
      <c r="Q818" s="5">
        <f t="shared" si="7"/>
        <v>80079.52836</v>
      </c>
      <c r="R818" s="5">
        <f t="shared" si="8"/>
        <v>72961.55708</v>
      </c>
    </row>
    <row r="819" ht="15.75" customHeight="1">
      <c r="A819" s="4">
        <v>2012.0</v>
      </c>
      <c r="B819" s="4">
        <v>505.0</v>
      </c>
      <c r="C819" s="4" t="s">
        <v>22</v>
      </c>
      <c r="D819" s="5">
        <v>8080.404177288694</v>
      </c>
      <c r="E819" s="5">
        <f t="shared" si="1"/>
        <v>0</v>
      </c>
      <c r="F819" s="5">
        <f t="shared" si="2"/>
        <v>8080.404177</v>
      </c>
      <c r="G819" s="5">
        <v>53287.09686353082</v>
      </c>
      <c r="H819" s="5">
        <v>15233.860231469498</v>
      </c>
      <c r="I819" s="5">
        <v>38053.23663206132</v>
      </c>
      <c r="J819" s="5">
        <v>2370.986273406901</v>
      </c>
      <c r="K819" s="5">
        <f t="shared" si="3"/>
        <v>2370.986273</v>
      </c>
      <c r="L819" s="5">
        <f t="shared" si="4"/>
        <v>0</v>
      </c>
      <c r="M819" s="5">
        <v>44487.47668192262</v>
      </c>
      <c r="N819" s="5">
        <f t="shared" si="5"/>
        <v>0</v>
      </c>
      <c r="O819" s="5">
        <f t="shared" si="6"/>
        <v>44487.47668</v>
      </c>
      <c r="P819" s="5">
        <f t="shared" si="9"/>
        <v>108225.964</v>
      </c>
      <c r="Q819" s="5">
        <f t="shared" si="7"/>
        <v>90621.11749</v>
      </c>
      <c r="R819" s="5">
        <f t="shared" si="8"/>
        <v>17604.8465</v>
      </c>
    </row>
    <row r="820" ht="15.75" customHeight="1">
      <c r="A820" s="4">
        <v>2012.0</v>
      </c>
      <c r="B820" s="4">
        <v>506.0</v>
      </c>
      <c r="C820" s="4" t="s">
        <v>22</v>
      </c>
      <c r="D820" s="5">
        <v>18776.94561978915</v>
      </c>
      <c r="E820" s="5">
        <f t="shared" si="1"/>
        <v>0</v>
      </c>
      <c r="F820" s="5">
        <f t="shared" si="2"/>
        <v>18776.94562</v>
      </c>
      <c r="G820" s="5">
        <v>18005.903035571177</v>
      </c>
      <c r="H820" s="5">
        <v>7818.645730497505</v>
      </c>
      <c r="I820" s="5">
        <v>10187.257305073672</v>
      </c>
      <c r="J820" s="5">
        <v>18227.0215863761</v>
      </c>
      <c r="K820" s="5">
        <f t="shared" si="3"/>
        <v>18227.02159</v>
      </c>
      <c r="L820" s="5">
        <f t="shared" si="4"/>
        <v>0</v>
      </c>
      <c r="M820" s="5">
        <v>5517.92661539568</v>
      </c>
      <c r="N820" s="5">
        <f t="shared" si="5"/>
        <v>0</v>
      </c>
      <c r="O820" s="5">
        <f t="shared" si="6"/>
        <v>5517.926615</v>
      </c>
      <c r="P820" s="5">
        <f t="shared" si="9"/>
        <v>60527.79686</v>
      </c>
      <c r="Q820" s="5">
        <f t="shared" si="7"/>
        <v>34482.12954</v>
      </c>
      <c r="R820" s="5">
        <f t="shared" si="8"/>
        <v>26045.66732</v>
      </c>
    </row>
    <row r="821" ht="15.75" customHeight="1">
      <c r="A821" s="4">
        <v>2012.0</v>
      </c>
      <c r="B821" s="4">
        <v>507.0</v>
      </c>
      <c r="C821" s="4" t="s">
        <v>22</v>
      </c>
      <c r="D821" s="5" t="s">
        <v>19</v>
      </c>
      <c r="E821" s="5" t="str">
        <f t="shared" si="1"/>
        <v/>
      </c>
      <c r="F821" s="5" t="str">
        <f t="shared" si="2"/>
        <v/>
      </c>
      <c r="G821" s="5" t="s">
        <v>19</v>
      </c>
      <c r="H821" s="5" t="s">
        <v>19</v>
      </c>
      <c r="I821" s="5" t="s">
        <v>19</v>
      </c>
      <c r="J821" s="5">
        <v>0.0</v>
      </c>
      <c r="K821" s="5">
        <f t="shared" si="3"/>
        <v>0</v>
      </c>
      <c r="L821" s="5">
        <f t="shared" si="4"/>
        <v>0</v>
      </c>
      <c r="M821" s="5">
        <v>0.0</v>
      </c>
      <c r="N821" s="5">
        <f t="shared" si="5"/>
        <v>0</v>
      </c>
      <c r="O821" s="5">
        <f t="shared" si="6"/>
        <v>0</v>
      </c>
      <c r="P821" s="5">
        <f t="shared" si="9"/>
        <v>0</v>
      </c>
      <c r="Q821" s="5">
        <f t="shared" si="7"/>
        <v>0</v>
      </c>
      <c r="R821" s="5">
        <f t="shared" si="8"/>
        <v>0</v>
      </c>
    </row>
    <row r="822" ht="15.75" customHeight="1">
      <c r="A822" s="4">
        <v>2012.0</v>
      </c>
      <c r="B822" s="4">
        <v>508.0</v>
      </c>
      <c r="C822" s="4" t="s">
        <v>22</v>
      </c>
      <c r="D822" s="5" t="s">
        <v>19</v>
      </c>
      <c r="E822" s="5" t="str">
        <f t="shared" si="1"/>
        <v/>
      </c>
      <c r="F822" s="5" t="str">
        <f t="shared" si="2"/>
        <v/>
      </c>
      <c r="G822" s="5">
        <v>32265.93092205577</v>
      </c>
      <c r="H822" s="5">
        <v>8423.697381008158</v>
      </c>
      <c r="I822" s="5">
        <v>23842.23354104761</v>
      </c>
      <c r="J822" s="5">
        <v>0.0</v>
      </c>
      <c r="K822" s="5">
        <f t="shared" si="3"/>
        <v>0</v>
      </c>
      <c r="L822" s="5">
        <f t="shared" si="4"/>
        <v>0</v>
      </c>
      <c r="M822" s="5">
        <v>90459.19802116186</v>
      </c>
      <c r="N822" s="5">
        <f t="shared" si="5"/>
        <v>0</v>
      </c>
      <c r="O822" s="5">
        <f t="shared" si="6"/>
        <v>90459.19802</v>
      </c>
      <c r="P822" s="5">
        <f t="shared" si="9"/>
        <v>122725.1289</v>
      </c>
      <c r="Q822" s="5">
        <f t="shared" si="7"/>
        <v>114301.4316</v>
      </c>
      <c r="R822" s="5">
        <f t="shared" si="8"/>
        <v>8423.697381</v>
      </c>
    </row>
    <row r="823" ht="15.75" customHeight="1">
      <c r="A823" s="4">
        <v>2012.0</v>
      </c>
      <c r="B823" s="4">
        <v>520.0</v>
      </c>
      <c r="C823" s="4" t="s">
        <v>22</v>
      </c>
      <c r="D823" s="5">
        <v>4251.534204549655</v>
      </c>
      <c r="E823" s="5">
        <f t="shared" si="1"/>
        <v>0</v>
      </c>
      <c r="F823" s="5">
        <f t="shared" si="2"/>
        <v>4251.534205</v>
      </c>
      <c r="G823" s="5">
        <v>22723.70665409038</v>
      </c>
      <c r="H823" s="5">
        <v>10410.581907354665</v>
      </c>
      <c r="I823" s="5">
        <v>12313.124746735715</v>
      </c>
      <c r="J823" s="5">
        <v>29602.51309438753</v>
      </c>
      <c r="K823" s="5">
        <f t="shared" si="3"/>
        <v>29602.51309</v>
      </c>
      <c r="L823" s="5">
        <f t="shared" si="4"/>
        <v>0</v>
      </c>
      <c r="M823" s="5">
        <v>488752.42071277613</v>
      </c>
      <c r="N823" s="5">
        <f t="shared" si="5"/>
        <v>0</v>
      </c>
      <c r="O823" s="5">
        <f t="shared" si="6"/>
        <v>488752.4207</v>
      </c>
      <c r="P823" s="5">
        <f t="shared" si="9"/>
        <v>545330.1747</v>
      </c>
      <c r="Q823" s="5">
        <f t="shared" si="7"/>
        <v>505317.0797</v>
      </c>
      <c r="R823" s="5">
        <f t="shared" si="8"/>
        <v>40013.095</v>
      </c>
    </row>
    <row r="824" ht="15.75" customHeight="1">
      <c r="A824" s="4">
        <v>2012.0</v>
      </c>
      <c r="B824" s="4">
        <v>521.0</v>
      </c>
      <c r="C824" s="4" t="s">
        <v>22</v>
      </c>
      <c r="D824" s="5">
        <v>6376.206063820969</v>
      </c>
      <c r="E824" s="5">
        <f t="shared" si="1"/>
        <v>0</v>
      </c>
      <c r="F824" s="5">
        <f t="shared" si="2"/>
        <v>6376.206064</v>
      </c>
      <c r="G824" s="5">
        <v>11414.305098510162</v>
      </c>
      <c r="H824" s="5">
        <v>3399.484031107001</v>
      </c>
      <c r="I824" s="5">
        <v>8014.821067403161</v>
      </c>
      <c r="J824" s="5">
        <v>557.4882081663688</v>
      </c>
      <c r="K824" s="5">
        <f t="shared" si="3"/>
        <v>557.4882082</v>
      </c>
      <c r="L824" s="5">
        <f t="shared" si="4"/>
        <v>0</v>
      </c>
      <c r="M824" s="5">
        <v>44025.457541483265</v>
      </c>
      <c r="N824" s="5">
        <f t="shared" si="5"/>
        <v>0</v>
      </c>
      <c r="O824" s="5">
        <f t="shared" si="6"/>
        <v>44025.45754</v>
      </c>
      <c r="P824" s="5">
        <f t="shared" si="9"/>
        <v>62373.45691</v>
      </c>
      <c r="Q824" s="5">
        <f t="shared" si="7"/>
        <v>58416.48467</v>
      </c>
      <c r="R824" s="5">
        <f t="shared" si="8"/>
        <v>3956.972239</v>
      </c>
    </row>
    <row r="825" ht="15.75" customHeight="1">
      <c r="A825" s="4">
        <v>2012.0</v>
      </c>
      <c r="B825" s="4">
        <v>522.0</v>
      </c>
      <c r="C825" s="4" t="s">
        <v>22</v>
      </c>
      <c r="D825" s="5" t="s">
        <v>19</v>
      </c>
      <c r="E825" s="5" t="str">
        <f t="shared" si="1"/>
        <v/>
      </c>
      <c r="F825" s="5" t="str">
        <f t="shared" si="2"/>
        <v/>
      </c>
      <c r="G825" s="5" t="s">
        <v>19</v>
      </c>
      <c r="H825" s="5" t="s">
        <v>19</v>
      </c>
      <c r="I825" s="5" t="s">
        <v>19</v>
      </c>
      <c r="J825" s="5">
        <v>0.0</v>
      </c>
      <c r="K825" s="5">
        <f t="shared" si="3"/>
        <v>0</v>
      </c>
      <c r="L825" s="5">
        <f t="shared" si="4"/>
        <v>0</v>
      </c>
      <c r="M825" s="5">
        <v>8366.50007108892</v>
      </c>
      <c r="N825" s="5">
        <f t="shared" si="5"/>
        <v>0</v>
      </c>
      <c r="O825" s="5">
        <f t="shared" si="6"/>
        <v>8366.500071</v>
      </c>
      <c r="P825" s="5">
        <f t="shared" si="9"/>
        <v>8366.500071</v>
      </c>
      <c r="Q825" s="5">
        <f t="shared" si="7"/>
        <v>8366.500071</v>
      </c>
      <c r="R825" s="5">
        <f t="shared" si="8"/>
        <v>0</v>
      </c>
    </row>
    <row r="826" ht="15.75" customHeight="1">
      <c r="A826" s="4">
        <v>2012.0</v>
      </c>
      <c r="B826" s="4">
        <v>523.0</v>
      </c>
      <c r="C826" s="4" t="s">
        <v>22</v>
      </c>
      <c r="D826" s="5">
        <v>3005.446369188088</v>
      </c>
      <c r="E826" s="5">
        <f t="shared" si="1"/>
        <v>0</v>
      </c>
      <c r="F826" s="5">
        <f t="shared" si="2"/>
        <v>3005.446369</v>
      </c>
      <c r="G826" s="5">
        <v>3181.3760478392205</v>
      </c>
      <c r="H826" s="5">
        <v>1864.2749407804697</v>
      </c>
      <c r="I826" s="5">
        <v>1317.1011070587508</v>
      </c>
      <c r="J826" s="5">
        <v>0.0</v>
      </c>
      <c r="K826" s="5">
        <f t="shared" si="3"/>
        <v>0</v>
      </c>
      <c r="L826" s="5">
        <f t="shared" si="4"/>
        <v>0</v>
      </c>
      <c r="M826" s="5">
        <v>147209.6233242011</v>
      </c>
      <c r="N826" s="5">
        <f t="shared" si="5"/>
        <v>0</v>
      </c>
      <c r="O826" s="5">
        <f t="shared" si="6"/>
        <v>147209.6233</v>
      </c>
      <c r="P826" s="5">
        <f t="shared" si="9"/>
        <v>153396.4457</v>
      </c>
      <c r="Q826" s="5">
        <f t="shared" si="7"/>
        <v>151532.1708</v>
      </c>
      <c r="R826" s="5">
        <f t="shared" si="8"/>
        <v>1864.274941</v>
      </c>
    </row>
    <row r="827" ht="15.75" customHeight="1">
      <c r="A827" s="4">
        <v>2012.0</v>
      </c>
      <c r="B827" s="4">
        <v>524.0</v>
      </c>
      <c r="C827" s="4" t="s">
        <v>22</v>
      </c>
      <c r="D827" s="5">
        <v>9509.198459145546</v>
      </c>
      <c r="E827" s="5">
        <f t="shared" si="1"/>
        <v>0</v>
      </c>
      <c r="F827" s="5">
        <f t="shared" si="2"/>
        <v>9509.198459</v>
      </c>
      <c r="G827" s="5">
        <v>11838.774152888232</v>
      </c>
      <c r="H827" s="5">
        <v>7530.494165661796</v>
      </c>
      <c r="I827" s="5">
        <v>4308.279987226437</v>
      </c>
      <c r="J827" s="5">
        <v>3903.5250496311382</v>
      </c>
      <c r="K827" s="5">
        <f t="shared" si="3"/>
        <v>3903.52505</v>
      </c>
      <c r="L827" s="5">
        <f t="shared" si="4"/>
        <v>0</v>
      </c>
      <c r="M827" s="5">
        <v>225792.57686336234</v>
      </c>
      <c r="N827" s="5">
        <f t="shared" si="5"/>
        <v>0</v>
      </c>
      <c r="O827" s="5">
        <f t="shared" si="6"/>
        <v>225792.5769</v>
      </c>
      <c r="P827" s="5">
        <f t="shared" si="9"/>
        <v>251044.0745</v>
      </c>
      <c r="Q827" s="5">
        <f t="shared" si="7"/>
        <v>239610.0553</v>
      </c>
      <c r="R827" s="5">
        <f t="shared" si="8"/>
        <v>11434.01922</v>
      </c>
    </row>
    <row r="828" ht="15.75" customHeight="1">
      <c r="A828" s="4">
        <v>2012.0</v>
      </c>
      <c r="B828" s="4">
        <v>525.0</v>
      </c>
      <c r="C828" s="4" t="s">
        <v>22</v>
      </c>
      <c r="D828" s="5">
        <v>1545.7861481412974</v>
      </c>
      <c r="E828" s="5">
        <f t="shared" si="1"/>
        <v>0</v>
      </c>
      <c r="F828" s="5">
        <f t="shared" si="2"/>
        <v>1545.786148</v>
      </c>
      <c r="G828" s="5" t="s">
        <v>19</v>
      </c>
      <c r="H828" s="5" t="s">
        <v>19</v>
      </c>
      <c r="I828" s="5" t="s">
        <v>19</v>
      </c>
      <c r="J828" s="5">
        <v>0.0</v>
      </c>
      <c r="K828" s="5">
        <f t="shared" si="3"/>
        <v>0</v>
      </c>
      <c r="L828" s="5">
        <f t="shared" si="4"/>
        <v>0</v>
      </c>
      <c r="M828" s="5">
        <v>23007.507606008672</v>
      </c>
      <c r="N828" s="5">
        <f t="shared" si="5"/>
        <v>0</v>
      </c>
      <c r="O828" s="5">
        <f t="shared" si="6"/>
        <v>23007.50761</v>
      </c>
      <c r="P828" s="5">
        <f t="shared" si="9"/>
        <v>24553.29375</v>
      </c>
      <c r="Q828" s="5">
        <f t="shared" si="7"/>
        <v>24553.29375</v>
      </c>
      <c r="R828" s="5">
        <f t="shared" si="8"/>
        <v>0</v>
      </c>
    </row>
    <row r="829" ht="15.75" customHeight="1">
      <c r="A829" s="4">
        <v>2012.0</v>
      </c>
      <c r="B829" s="4">
        <v>526.0</v>
      </c>
      <c r="C829" s="4" t="s">
        <v>22</v>
      </c>
      <c r="D829" s="5">
        <v>11318.340765859064</v>
      </c>
      <c r="E829" s="5">
        <f t="shared" si="1"/>
        <v>0</v>
      </c>
      <c r="F829" s="5">
        <f t="shared" si="2"/>
        <v>11318.34077</v>
      </c>
      <c r="G829" s="5">
        <v>19495.6856552206</v>
      </c>
      <c r="H829" s="5">
        <v>14194.344179931366</v>
      </c>
      <c r="I829" s="5">
        <v>5301.341475289235</v>
      </c>
      <c r="J829" s="5">
        <v>0.0</v>
      </c>
      <c r="K829" s="5">
        <f t="shared" si="3"/>
        <v>0</v>
      </c>
      <c r="L829" s="5">
        <f t="shared" si="4"/>
        <v>0</v>
      </c>
      <c r="M829" s="5">
        <v>42737.09723684935</v>
      </c>
      <c r="N829" s="5">
        <f t="shared" si="5"/>
        <v>0</v>
      </c>
      <c r="O829" s="5">
        <f t="shared" si="6"/>
        <v>42737.09724</v>
      </c>
      <c r="P829" s="5">
        <f t="shared" si="9"/>
        <v>73551.12366</v>
      </c>
      <c r="Q829" s="5">
        <f t="shared" si="7"/>
        <v>59356.77948</v>
      </c>
      <c r="R829" s="5">
        <f t="shared" si="8"/>
        <v>14194.34418</v>
      </c>
    </row>
    <row r="830" ht="15.75" customHeight="1">
      <c r="A830" s="4">
        <v>2012.0</v>
      </c>
      <c r="B830" s="4">
        <v>527.0</v>
      </c>
      <c r="C830" s="4" t="s">
        <v>22</v>
      </c>
      <c r="D830" s="5" t="s">
        <v>19</v>
      </c>
      <c r="E830" s="5" t="str">
        <f t="shared" si="1"/>
        <v/>
      </c>
      <c r="F830" s="5" t="str">
        <f t="shared" si="2"/>
        <v/>
      </c>
      <c r="G830" s="5" t="s">
        <v>19</v>
      </c>
      <c r="H830" s="5" t="s">
        <v>19</v>
      </c>
      <c r="I830" s="5" t="s">
        <v>19</v>
      </c>
      <c r="J830" s="5">
        <v>0.0</v>
      </c>
      <c r="K830" s="5">
        <f t="shared" si="3"/>
        <v>0</v>
      </c>
      <c r="L830" s="5">
        <f t="shared" si="4"/>
        <v>0</v>
      </c>
      <c r="M830" s="5">
        <v>22159.927938187124</v>
      </c>
      <c r="N830" s="5">
        <f t="shared" si="5"/>
        <v>0</v>
      </c>
      <c r="O830" s="5">
        <f t="shared" si="6"/>
        <v>22159.92794</v>
      </c>
      <c r="P830" s="5">
        <f t="shared" si="9"/>
        <v>22159.92794</v>
      </c>
      <c r="Q830" s="5">
        <f t="shared" si="7"/>
        <v>22159.92794</v>
      </c>
      <c r="R830" s="5">
        <f t="shared" si="8"/>
        <v>0</v>
      </c>
    </row>
    <row r="831" ht="15.75" customHeight="1">
      <c r="A831" s="4">
        <v>2012.0</v>
      </c>
      <c r="B831" s="4">
        <v>528.0</v>
      </c>
      <c r="C831" s="4" t="s">
        <v>22</v>
      </c>
      <c r="D831" s="5" t="s">
        <v>19</v>
      </c>
      <c r="E831" s="5" t="str">
        <f t="shared" si="1"/>
        <v/>
      </c>
      <c r="F831" s="5" t="str">
        <f t="shared" si="2"/>
        <v/>
      </c>
      <c r="G831" s="5" t="s">
        <v>19</v>
      </c>
      <c r="H831" s="5" t="s">
        <v>19</v>
      </c>
      <c r="I831" s="5" t="s">
        <v>19</v>
      </c>
      <c r="J831" s="5">
        <v>0.0</v>
      </c>
      <c r="K831" s="5">
        <f t="shared" si="3"/>
        <v>0</v>
      </c>
      <c r="L831" s="5">
        <f t="shared" si="4"/>
        <v>0</v>
      </c>
      <c r="M831" s="5">
        <v>29476.429064578842</v>
      </c>
      <c r="N831" s="5">
        <f t="shared" si="5"/>
        <v>0</v>
      </c>
      <c r="O831" s="5">
        <f t="shared" si="6"/>
        <v>29476.42906</v>
      </c>
      <c r="P831" s="5">
        <f t="shared" si="9"/>
        <v>29476.42906</v>
      </c>
      <c r="Q831" s="5">
        <f t="shared" si="7"/>
        <v>29476.42906</v>
      </c>
      <c r="R831" s="5">
        <f t="shared" si="8"/>
        <v>0</v>
      </c>
    </row>
    <row r="832" ht="15.75" customHeight="1">
      <c r="A832" s="4">
        <v>2011.0</v>
      </c>
      <c r="B832" s="4">
        <v>100.0</v>
      </c>
      <c r="C832" s="4" t="s">
        <v>18</v>
      </c>
      <c r="D832" s="5">
        <v>2891.4791808184978</v>
      </c>
      <c r="E832" s="5">
        <f t="shared" si="1"/>
        <v>0</v>
      </c>
      <c r="F832" s="5">
        <f t="shared" si="2"/>
        <v>2891.479181</v>
      </c>
      <c r="G832" s="5">
        <v>4853.667871660322</v>
      </c>
      <c r="H832" s="5">
        <v>2848.301585485475</v>
      </c>
      <c r="I832" s="5">
        <v>2005.3662861748471</v>
      </c>
      <c r="J832" s="5">
        <v>43464.16429655916</v>
      </c>
      <c r="K832" s="5">
        <f t="shared" si="3"/>
        <v>43464.1643</v>
      </c>
      <c r="L832" s="5">
        <f t="shared" si="4"/>
        <v>0</v>
      </c>
      <c r="M832" s="5">
        <v>53204.83066905457</v>
      </c>
      <c r="N832" s="5">
        <f t="shared" si="5"/>
        <v>0</v>
      </c>
      <c r="O832" s="5">
        <f t="shared" si="6"/>
        <v>53204.83067</v>
      </c>
      <c r="P832" s="5">
        <f t="shared" si="9"/>
        <v>104414.142</v>
      </c>
      <c r="Q832" s="5">
        <f t="shared" si="7"/>
        <v>58101.67614</v>
      </c>
      <c r="R832" s="5">
        <f t="shared" si="8"/>
        <v>46312.46588</v>
      </c>
    </row>
    <row r="833" ht="15.75" customHeight="1">
      <c r="A833" s="4">
        <v>2011.0</v>
      </c>
      <c r="B833" s="4">
        <v>101.0</v>
      </c>
      <c r="C833" s="4" t="s">
        <v>18</v>
      </c>
      <c r="D833" s="5">
        <v>8287.752701906911</v>
      </c>
      <c r="E833" s="5">
        <f t="shared" si="1"/>
        <v>0</v>
      </c>
      <c r="F833" s="5">
        <f t="shared" si="2"/>
        <v>8287.752702</v>
      </c>
      <c r="G833" s="5">
        <v>11504.412568892549</v>
      </c>
      <c r="H833" s="5">
        <v>6287.47760667284</v>
      </c>
      <c r="I833" s="5">
        <v>5216.934962219709</v>
      </c>
      <c r="J833" s="5">
        <v>502948.38274014404</v>
      </c>
      <c r="K833" s="5">
        <f t="shared" si="3"/>
        <v>502948.3827</v>
      </c>
      <c r="L833" s="5">
        <f t="shared" si="4"/>
        <v>0</v>
      </c>
      <c r="M833" s="5">
        <v>200943.6133822709</v>
      </c>
      <c r="N833" s="5">
        <f t="shared" si="5"/>
        <v>0</v>
      </c>
      <c r="O833" s="5">
        <f t="shared" si="6"/>
        <v>200943.6134</v>
      </c>
      <c r="P833" s="5">
        <f t="shared" si="9"/>
        <v>723684.1614</v>
      </c>
      <c r="Q833" s="5">
        <f t="shared" si="7"/>
        <v>214448.301</v>
      </c>
      <c r="R833" s="5">
        <f t="shared" si="8"/>
        <v>509235.8603</v>
      </c>
    </row>
    <row r="834" ht="15.75" customHeight="1">
      <c r="A834" s="4">
        <v>2011.0</v>
      </c>
      <c r="B834" s="4">
        <v>102.0</v>
      </c>
      <c r="C834" s="4" t="s">
        <v>18</v>
      </c>
      <c r="D834" s="5">
        <v>12041.271493337787</v>
      </c>
      <c r="E834" s="5">
        <f t="shared" si="1"/>
        <v>0</v>
      </c>
      <c r="F834" s="5">
        <f t="shared" si="2"/>
        <v>12041.27149</v>
      </c>
      <c r="G834" s="5">
        <v>36551.886851184965</v>
      </c>
      <c r="H834" s="5">
        <v>9673.262787460988</v>
      </c>
      <c r="I834" s="5">
        <v>26878.624063723975</v>
      </c>
      <c r="J834" s="5">
        <v>40179.417023717295</v>
      </c>
      <c r="K834" s="5">
        <f t="shared" si="3"/>
        <v>40179.41702</v>
      </c>
      <c r="L834" s="5">
        <f t="shared" si="4"/>
        <v>0</v>
      </c>
      <c r="M834" s="5">
        <v>39783.4810106621</v>
      </c>
      <c r="N834" s="5">
        <f t="shared" si="5"/>
        <v>0</v>
      </c>
      <c r="O834" s="5">
        <f t="shared" si="6"/>
        <v>39783.48101</v>
      </c>
      <c r="P834" s="5">
        <f t="shared" si="9"/>
        <v>128556.0564</v>
      </c>
      <c r="Q834" s="5">
        <f t="shared" si="7"/>
        <v>78703.37657</v>
      </c>
      <c r="R834" s="5">
        <f t="shared" si="8"/>
        <v>49852.67981</v>
      </c>
    </row>
    <row r="835" ht="15.75" customHeight="1">
      <c r="A835" s="4">
        <v>2011.0</v>
      </c>
      <c r="B835" s="4">
        <v>103.0</v>
      </c>
      <c r="C835" s="4" t="s">
        <v>18</v>
      </c>
      <c r="D835" s="5">
        <v>5595.649693962852</v>
      </c>
      <c r="E835" s="5">
        <f t="shared" si="1"/>
        <v>0</v>
      </c>
      <c r="F835" s="5">
        <f t="shared" si="2"/>
        <v>5595.649694</v>
      </c>
      <c r="G835" s="5" t="s">
        <v>19</v>
      </c>
      <c r="H835" s="5" t="s">
        <v>19</v>
      </c>
      <c r="I835" s="5" t="s">
        <v>19</v>
      </c>
      <c r="J835" s="5">
        <v>7503.991520724011</v>
      </c>
      <c r="K835" s="5">
        <f t="shared" si="3"/>
        <v>7503.991521</v>
      </c>
      <c r="L835" s="5">
        <f t="shared" si="4"/>
        <v>0</v>
      </c>
      <c r="M835" s="5">
        <v>2382.1078137539853</v>
      </c>
      <c r="N835" s="5">
        <f t="shared" si="5"/>
        <v>0</v>
      </c>
      <c r="O835" s="5">
        <f t="shared" si="6"/>
        <v>2382.107814</v>
      </c>
      <c r="P835" s="5">
        <f t="shared" si="9"/>
        <v>15481.74903</v>
      </c>
      <c r="Q835" s="5">
        <f t="shared" si="7"/>
        <v>7977.757508</v>
      </c>
      <c r="R835" s="5">
        <f t="shared" si="8"/>
        <v>7503.991521</v>
      </c>
    </row>
    <row r="836" ht="15.75" customHeight="1">
      <c r="A836" s="4">
        <v>2011.0</v>
      </c>
      <c r="B836" s="4">
        <v>104.0</v>
      </c>
      <c r="C836" s="4" t="s">
        <v>18</v>
      </c>
      <c r="D836" s="5">
        <v>1074.0079628262502</v>
      </c>
      <c r="E836" s="5">
        <f t="shared" si="1"/>
        <v>0</v>
      </c>
      <c r="F836" s="5">
        <f t="shared" si="2"/>
        <v>1074.007963</v>
      </c>
      <c r="G836" s="5" t="s">
        <v>19</v>
      </c>
      <c r="H836" s="5" t="s">
        <v>19</v>
      </c>
      <c r="I836" s="5" t="s">
        <v>19</v>
      </c>
      <c r="J836" s="5">
        <v>7130.960284691497</v>
      </c>
      <c r="K836" s="5">
        <f t="shared" si="3"/>
        <v>7130.960285</v>
      </c>
      <c r="L836" s="5">
        <f t="shared" si="4"/>
        <v>0</v>
      </c>
      <c r="M836" s="5">
        <v>411.3230550468154</v>
      </c>
      <c r="N836" s="5">
        <f t="shared" si="5"/>
        <v>0</v>
      </c>
      <c r="O836" s="5">
        <f t="shared" si="6"/>
        <v>411.323055</v>
      </c>
      <c r="P836" s="5">
        <f t="shared" si="9"/>
        <v>8616.291303</v>
      </c>
      <c r="Q836" s="5">
        <f t="shared" si="7"/>
        <v>1485.331018</v>
      </c>
      <c r="R836" s="5">
        <f t="shared" si="8"/>
        <v>7130.960285</v>
      </c>
    </row>
    <row r="837" ht="15.75" customHeight="1">
      <c r="A837" s="4">
        <v>2011.0</v>
      </c>
      <c r="B837" s="4">
        <v>105.0</v>
      </c>
      <c r="C837" s="4" t="s">
        <v>18</v>
      </c>
      <c r="D837" s="5">
        <v>19035.702442256566</v>
      </c>
      <c r="E837" s="5">
        <f t="shared" si="1"/>
        <v>0</v>
      </c>
      <c r="F837" s="5">
        <f t="shared" si="2"/>
        <v>19035.70244</v>
      </c>
      <c r="G837" s="5">
        <v>1167.3690964090956</v>
      </c>
      <c r="H837" s="5">
        <v>547.5375863360428</v>
      </c>
      <c r="I837" s="5">
        <v>619.8315100730529</v>
      </c>
      <c r="J837" s="5">
        <v>42340.54201995833</v>
      </c>
      <c r="K837" s="5">
        <f t="shared" si="3"/>
        <v>42340.54202</v>
      </c>
      <c r="L837" s="5">
        <f t="shared" si="4"/>
        <v>0</v>
      </c>
      <c r="M837" s="5">
        <v>33432.575641239644</v>
      </c>
      <c r="N837" s="5">
        <f t="shared" si="5"/>
        <v>0</v>
      </c>
      <c r="O837" s="5">
        <f t="shared" si="6"/>
        <v>33432.57564</v>
      </c>
      <c r="P837" s="5">
        <f t="shared" si="9"/>
        <v>95976.1892</v>
      </c>
      <c r="Q837" s="5">
        <f t="shared" si="7"/>
        <v>53088.10959</v>
      </c>
      <c r="R837" s="5">
        <f t="shared" si="8"/>
        <v>42888.07961</v>
      </c>
    </row>
    <row r="838" ht="15.75" customHeight="1">
      <c r="A838" s="4">
        <v>2011.0</v>
      </c>
      <c r="B838" s="4">
        <v>106.0</v>
      </c>
      <c r="C838" s="4" t="s">
        <v>18</v>
      </c>
      <c r="D838" s="5">
        <v>27881.498558556246</v>
      </c>
      <c r="E838" s="5">
        <f t="shared" si="1"/>
        <v>0</v>
      </c>
      <c r="F838" s="5">
        <f t="shared" si="2"/>
        <v>27881.49856</v>
      </c>
      <c r="G838" s="5">
        <v>11072.723032479336</v>
      </c>
      <c r="H838" s="5">
        <v>4405.5838115581155</v>
      </c>
      <c r="I838" s="5">
        <v>6667.139220921221</v>
      </c>
      <c r="J838" s="5">
        <v>132791.060710747</v>
      </c>
      <c r="K838" s="5">
        <f t="shared" si="3"/>
        <v>132791.0607</v>
      </c>
      <c r="L838" s="5">
        <f t="shared" si="4"/>
        <v>0</v>
      </c>
      <c r="M838" s="5">
        <v>94532.22437675984</v>
      </c>
      <c r="N838" s="5">
        <f t="shared" si="5"/>
        <v>0</v>
      </c>
      <c r="O838" s="5">
        <f t="shared" si="6"/>
        <v>94532.22438</v>
      </c>
      <c r="P838" s="5">
        <f t="shared" si="9"/>
        <v>266277.5067</v>
      </c>
      <c r="Q838" s="5">
        <f t="shared" si="7"/>
        <v>129080.8622</v>
      </c>
      <c r="R838" s="5">
        <f t="shared" si="8"/>
        <v>137196.6445</v>
      </c>
    </row>
    <row r="839" ht="15.75" customHeight="1">
      <c r="A839" s="4">
        <v>2011.0</v>
      </c>
      <c r="B839" s="4">
        <v>107.0</v>
      </c>
      <c r="C839" s="4" t="s">
        <v>18</v>
      </c>
      <c r="D839" s="5">
        <v>7906.576939819335</v>
      </c>
      <c r="E839" s="5">
        <f t="shared" si="1"/>
        <v>0</v>
      </c>
      <c r="F839" s="5">
        <f t="shared" si="2"/>
        <v>7906.57694</v>
      </c>
      <c r="G839" s="5">
        <v>1300.2042431663067</v>
      </c>
      <c r="H839" s="5">
        <v>623.5844733271599</v>
      </c>
      <c r="I839" s="5">
        <v>676.6197698391468</v>
      </c>
      <c r="J839" s="5">
        <v>21317.85245217701</v>
      </c>
      <c r="K839" s="5">
        <f t="shared" si="3"/>
        <v>21317.85245</v>
      </c>
      <c r="L839" s="5">
        <f t="shared" si="4"/>
        <v>0</v>
      </c>
      <c r="M839" s="5">
        <v>26417.624029218954</v>
      </c>
      <c r="N839" s="5">
        <f t="shared" si="5"/>
        <v>0</v>
      </c>
      <c r="O839" s="5">
        <f t="shared" si="6"/>
        <v>26417.62403</v>
      </c>
      <c r="P839" s="5">
        <f t="shared" si="9"/>
        <v>56942.25766</v>
      </c>
      <c r="Q839" s="5">
        <f t="shared" si="7"/>
        <v>35000.82074</v>
      </c>
      <c r="R839" s="5">
        <f t="shared" si="8"/>
        <v>21941.43693</v>
      </c>
    </row>
    <row r="840" ht="15.75" customHeight="1">
      <c r="A840" s="4">
        <v>2011.0</v>
      </c>
      <c r="B840" s="4">
        <v>108.0</v>
      </c>
      <c r="C840" s="4" t="s">
        <v>18</v>
      </c>
      <c r="D840" s="5">
        <v>1037.8054472253655</v>
      </c>
      <c r="E840" s="5">
        <f t="shared" si="1"/>
        <v>0</v>
      </c>
      <c r="F840" s="5">
        <f t="shared" si="2"/>
        <v>1037.805447</v>
      </c>
      <c r="G840" s="5">
        <v>4253.687561957677</v>
      </c>
      <c r="H840" s="5">
        <v>1256.3538304077922</v>
      </c>
      <c r="I840" s="5">
        <v>2997.3337315498848</v>
      </c>
      <c r="J840" s="5">
        <v>8882.326586784477</v>
      </c>
      <c r="K840" s="5">
        <f t="shared" si="3"/>
        <v>8882.326587</v>
      </c>
      <c r="L840" s="5">
        <f t="shared" si="4"/>
        <v>0</v>
      </c>
      <c r="M840" s="5">
        <v>23749.345387012538</v>
      </c>
      <c r="N840" s="5">
        <f t="shared" si="5"/>
        <v>0</v>
      </c>
      <c r="O840" s="5">
        <f t="shared" si="6"/>
        <v>23749.34539</v>
      </c>
      <c r="P840" s="5">
        <f t="shared" si="9"/>
        <v>37923.16498</v>
      </c>
      <c r="Q840" s="5">
        <f t="shared" si="7"/>
        <v>27784.48457</v>
      </c>
      <c r="R840" s="5">
        <f t="shared" si="8"/>
        <v>10138.68042</v>
      </c>
    </row>
    <row r="841" ht="15.75" customHeight="1">
      <c r="A841" s="4">
        <v>2011.0</v>
      </c>
      <c r="B841" s="4">
        <v>120.0</v>
      </c>
      <c r="C841" s="4" t="s">
        <v>18</v>
      </c>
      <c r="D841" s="5">
        <v>7172.820156227488</v>
      </c>
      <c r="E841" s="5">
        <f t="shared" si="1"/>
        <v>0</v>
      </c>
      <c r="F841" s="5">
        <f t="shared" si="2"/>
        <v>7172.820156</v>
      </c>
      <c r="G841" s="5">
        <v>6245.720952361353</v>
      </c>
      <c r="H841" s="5">
        <v>2861.239432493054</v>
      </c>
      <c r="I841" s="5">
        <v>3384.4815198682986</v>
      </c>
      <c r="J841" s="5">
        <v>1614.3579160193094</v>
      </c>
      <c r="K841" s="5">
        <f t="shared" si="3"/>
        <v>1614.357916</v>
      </c>
      <c r="L841" s="5">
        <f t="shared" si="4"/>
        <v>0</v>
      </c>
      <c r="M841" s="5">
        <v>73453.09261944384</v>
      </c>
      <c r="N841" s="5">
        <f t="shared" si="5"/>
        <v>0</v>
      </c>
      <c r="O841" s="5">
        <f t="shared" si="6"/>
        <v>73453.09262</v>
      </c>
      <c r="P841" s="5">
        <f t="shared" si="9"/>
        <v>88485.99164</v>
      </c>
      <c r="Q841" s="5">
        <f t="shared" si="7"/>
        <v>84010.3943</v>
      </c>
      <c r="R841" s="5">
        <f t="shared" si="8"/>
        <v>4475.597349</v>
      </c>
    </row>
    <row r="842" ht="15.75" customHeight="1">
      <c r="A842" s="4">
        <v>2011.0</v>
      </c>
      <c r="B842" s="4">
        <v>121.0</v>
      </c>
      <c r="C842" s="4" t="s">
        <v>18</v>
      </c>
      <c r="D842" s="5">
        <v>16231.896310088907</v>
      </c>
      <c r="E842" s="5">
        <f t="shared" si="1"/>
        <v>0</v>
      </c>
      <c r="F842" s="5">
        <f t="shared" si="2"/>
        <v>16231.89631</v>
      </c>
      <c r="G842" s="5">
        <v>14334.838197825567</v>
      </c>
      <c r="H842" s="5">
        <v>4379.21430658847</v>
      </c>
      <c r="I842" s="5">
        <v>9955.623891237097</v>
      </c>
      <c r="J842" s="5">
        <v>150870.60290609032</v>
      </c>
      <c r="K842" s="5">
        <f t="shared" si="3"/>
        <v>150870.6029</v>
      </c>
      <c r="L842" s="5">
        <f t="shared" si="4"/>
        <v>0</v>
      </c>
      <c r="M842" s="5">
        <v>1069270.783751064</v>
      </c>
      <c r="N842" s="5">
        <f t="shared" si="5"/>
        <v>0</v>
      </c>
      <c r="O842" s="5">
        <f t="shared" si="6"/>
        <v>1069270.784</v>
      </c>
      <c r="P842" s="5">
        <f t="shared" si="9"/>
        <v>1250708.121</v>
      </c>
      <c r="Q842" s="5">
        <f t="shared" si="7"/>
        <v>1095458.304</v>
      </c>
      <c r="R842" s="5">
        <f t="shared" si="8"/>
        <v>155249.8172</v>
      </c>
    </row>
    <row r="843" ht="15.75" customHeight="1">
      <c r="A843" s="4">
        <v>2011.0</v>
      </c>
      <c r="B843" s="4">
        <v>122.0</v>
      </c>
      <c r="C843" s="4" t="s">
        <v>18</v>
      </c>
      <c r="D843" s="5">
        <v>28534.507992133946</v>
      </c>
      <c r="E843" s="5">
        <f t="shared" si="1"/>
        <v>0</v>
      </c>
      <c r="F843" s="5">
        <f t="shared" si="2"/>
        <v>28534.50799</v>
      </c>
      <c r="G843" s="5">
        <v>35673.29840096031</v>
      </c>
      <c r="H843" s="5">
        <v>11136.602417551872</v>
      </c>
      <c r="I843" s="5">
        <v>24536.695983408437</v>
      </c>
      <c r="J843" s="5">
        <v>8702.527066124772</v>
      </c>
      <c r="K843" s="5">
        <f t="shared" si="3"/>
        <v>8702.527066</v>
      </c>
      <c r="L843" s="5">
        <f t="shared" si="4"/>
        <v>0</v>
      </c>
      <c r="M843" s="5">
        <v>158491.06591306714</v>
      </c>
      <c r="N843" s="5">
        <f t="shared" si="5"/>
        <v>0</v>
      </c>
      <c r="O843" s="5">
        <f t="shared" si="6"/>
        <v>158491.0659</v>
      </c>
      <c r="P843" s="5">
        <f t="shared" si="9"/>
        <v>231401.3994</v>
      </c>
      <c r="Q843" s="5">
        <f t="shared" si="7"/>
        <v>211562.2699</v>
      </c>
      <c r="R843" s="5">
        <f t="shared" si="8"/>
        <v>19839.12948</v>
      </c>
    </row>
    <row r="844" ht="15.75" customHeight="1">
      <c r="A844" s="4">
        <v>2011.0</v>
      </c>
      <c r="B844" s="4">
        <v>123.0</v>
      </c>
      <c r="C844" s="4" t="s">
        <v>18</v>
      </c>
      <c r="D844" s="5" t="s">
        <v>19</v>
      </c>
      <c r="E844" s="5" t="str">
        <f t="shared" si="1"/>
        <v/>
      </c>
      <c r="F844" s="5" t="str">
        <f t="shared" si="2"/>
        <v/>
      </c>
      <c r="G844" s="5" t="s">
        <v>19</v>
      </c>
      <c r="H844" s="5" t="s">
        <v>19</v>
      </c>
      <c r="I844" s="5" t="s">
        <v>19</v>
      </c>
      <c r="J844" s="5">
        <v>0.0</v>
      </c>
      <c r="K844" s="5">
        <f t="shared" si="3"/>
        <v>0</v>
      </c>
      <c r="L844" s="5">
        <f t="shared" si="4"/>
        <v>0</v>
      </c>
      <c r="M844" s="5">
        <v>1642.04420547167</v>
      </c>
      <c r="N844" s="5">
        <f t="shared" si="5"/>
        <v>0</v>
      </c>
      <c r="O844" s="5">
        <f t="shared" si="6"/>
        <v>1642.044205</v>
      </c>
      <c r="P844" s="5">
        <f t="shared" si="9"/>
        <v>1642.044205</v>
      </c>
      <c r="Q844" s="5">
        <f t="shared" si="7"/>
        <v>1642.044205</v>
      </c>
      <c r="R844" s="5">
        <f t="shared" si="8"/>
        <v>0</v>
      </c>
    </row>
    <row r="845" ht="15.75" customHeight="1">
      <c r="A845" s="4">
        <v>2011.0</v>
      </c>
      <c r="B845" s="4">
        <v>124.0</v>
      </c>
      <c r="C845" s="4" t="s">
        <v>18</v>
      </c>
      <c r="D845" s="5">
        <v>962.7770453278796</v>
      </c>
      <c r="E845" s="5">
        <f t="shared" si="1"/>
        <v>0</v>
      </c>
      <c r="F845" s="5">
        <f t="shared" si="2"/>
        <v>962.7770453</v>
      </c>
      <c r="G845" s="5" t="s">
        <v>19</v>
      </c>
      <c r="H845" s="5" t="s">
        <v>19</v>
      </c>
      <c r="I845" s="5" t="s">
        <v>19</v>
      </c>
      <c r="J845" s="5">
        <v>0.0</v>
      </c>
      <c r="K845" s="5">
        <f t="shared" si="3"/>
        <v>0</v>
      </c>
      <c r="L845" s="5">
        <f t="shared" si="4"/>
        <v>0</v>
      </c>
      <c r="M845" s="5">
        <v>41302.44619042167</v>
      </c>
      <c r="N845" s="5">
        <f t="shared" si="5"/>
        <v>0</v>
      </c>
      <c r="O845" s="5">
        <f t="shared" si="6"/>
        <v>41302.44619</v>
      </c>
      <c r="P845" s="5">
        <f t="shared" si="9"/>
        <v>42265.22324</v>
      </c>
      <c r="Q845" s="5">
        <f t="shared" si="7"/>
        <v>42265.22324</v>
      </c>
      <c r="R845" s="5">
        <f t="shared" si="8"/>
        <v>0</v>
      </c>
    </row>
    <row r="846" ht="15.75" customHeight="1">
      <c r="A846" s="4">
        <v>2011.0</v>
      </c>
      <c r="B846" s="4">
        <v>125.0</v>
      </c>
      <c r="C846" s="4" t="s">
        <v>18</v>
      </c>
      <c r="D846" s="5">
        <v>6883.724705559553</v>
      </c>
      <c r="E846" s="5">
        <f t="shared" si="1"/>
        <v>0</v>
      </c>
      <c r="F846" s="5">
        <f t="shared" si="2"/>
        <v>6883.724706</v>
      </c>
      <c r="G846" s="5">
        <v>2899.657924752204</v>
      </c>
      <c r="H846" s="5">
        <v>944.3640693624174</v>
      </c>
      <c r="I846" s="5">
        <v>1955.2938553897866</v>
      </c>
      <c r="J846" s="5">
        <v>4615.41723652039</v>
      </c>
      <c r="K846" s="5">
        <f t="shared" si="3"/>
        <v>4615.417237</v>
      </c>
      <c r="L846" s="5">
        <f t="shared" si="4"/>
        <v>0</v>
      </c>
      <c r="M846" s="5">
        <v>401735.8139934385</v>
      </c>
      <c r="N846" s="5">
        <f t="shared" si="5"/>
        <v>0</v>
      </c>
      <c r="O846" s="5">
        <f t="shared" si="6"/>
        <v>401735.814</v>
      </c>
      <c r="P846" s="5">
        <f t="shared" si="9"/>
        <v>416134.6139</v>
      </c>
      <c r="Q846" s="5">
        <f t="shared" si="7"/>
        <v>410574.8326</v>
      </c>
      <c r="R846" s="5">
        <f t="shared" si="8"/>
        <v>5559.781306</v>
      </c>
    </row>
    <row r="847" ht="15.75" customHeight="1">
      <c r="A847" s="4">
        <v>2011.0</v>
      </c>
      <c r="B847" s="4">
        <v>126.0</v>
      </c>
      <c r="C847" s="4" t="s">
        <v>18</v>
      </c>
      <c r="D847" s="5">
        <v>4228.348887355521</v>
      </c>
      <c r="E847" s="5">
        <f t="shared" si="1"/>
        <v>0</v>
      </c>
      <c r="F847" s="5">
        <f t="shared" si="2"/>
        <v>4228.348887</v>
      </c>
      <c r="G847" s="5">
        <v>705.1620430085401</v>
      </c>
      <c r="H847" s="5">
        <v>223.9926489556539</v>
      </c>
      <c r="I847" s="5">
        <v>481.1693940528862</v>
      </c>
      <c r="J847" s="5">
        <v>6137.783807604521</v>
      </c>
      <c r="K847" s="5">
        <f t="shared" si="3"/>
        <v>6137.783808</v>
      </c>
      <c r="L847" s="5">
        <f t="shared" si="4"/>
        <v>0</v>
      </c>
      <c r="M847" s="5">
        <v>409051.4903041052</v>
      </c>
      <c r="N847" s="5">
        <f t="shared" si="5"/>
        <v>0</v>
      </c>
      <c r="O847" s="5">
        <f t="shared" si="6"/>
        <v>409051.4903</v>
      </c>
      <c r="P847" s="5">
        <f t="shared" si="9"/>
        <v>420122.785</v>
      </c>
      <c r="Q847" s="5">
        <f t="shared" si="7"/>
        <v>413761.0086</v>
      </c>
      <c r="R847" s="5">
        <f t="shared" si="8"/>
        <v>6361.776457</v>
      </c>
    </row>
    <row r="848" ht="15.75" customHeight="1">
      <c r="A848" s="4">
        <v>2011.0</v>
      </c>
      <c r="B848" s="4">
        <v>127.0</v>
      </c>
      <c r="C848" s="4" t="s">
        <v>18</v>
      </c>
      <c r="D848" s="5">
        <v>18793.82766411152</v>
      </c>
      <c r="E848" s="5">
        <f t="shared" si="1"/>
        <v>0</v>
      </c>
      <c r="F848" s="5">
        <f t="shared" si="2"/>
        <v>18793.82766</v>
      </c>
      <c r="G848" s="5" t="s">
        <v>19</v>
      </c>
      <c r="H848" s="5" t="s">
        <v>19</v>
      </c>
      <c r="I848" s="5" t="s">
        <v>19</v>
      </c>
      <c r="J848" s="5">
        <v>0.0</v>
      </c>
      <c r="K848" s="5">
        <f t="shared" si="3"/>
        <v>0</v>
      </c>
      <c r="L848" s="5">
        <f t="shared" si="4"/>
        <v>0</v>
      </c>
      <c r="M848" s="5">
        <v>57126.91209817535</v>
      </c>
      <c r="N848" s="5">
        <f t="shared" si="5"/>
        <v>0</v>
      </c>
      <c r="O848" s="5">
        <f t="shared" si="6"/>
        <v>57126.9121</v>
      </c>
      <c r="P848" s="5">
        <f t="shared" si="9"/>
        <v>75920.73976</v>
      </c>
      <c r="Q848" s="5">
        <f t="shared" si="7"/>
        <v>75920.73976</v>
      </c>
      <c r="R848" s="5">
        <f t="shared" si="8"/>
        <v>0</v>
      </c>
    </row>
    <row r="849" ht="15.75" customHeight="1">
      <c r="A849" s="4">
        <v>2011.0</v>
      </c>
      <c r="B849" s="4">
        <v>128.0</v>
      </c>
      <c r="C849" s="4" t="s">
        <v>18</v>
      </c>
      <c r="D849" s="5">
        <v>545.661104708989</v>
      </c>
      <c r="E849" s="5">
        <f t="shared" si="1"/>
        <v>0</v>
      </c>
      <c r="F849" s="5">
        <f t="shared" si="2"/>
        <v>545.6611047</v>
      </c>
      <c r="G849" s="5" t="s">
        <v>19</v>
      </c>
      <c r="H849" s="5" t="s">
        <v>19</v>
      </c>
      <c r="I849" s="5" t="s">
        <v>19</v>
      </c>
      <c r="J849" s="5">
        <v>0.0</v>
      </c>
      <c r="K849" s="5">
        <f t="shared" si="3"/>
        <v>0</v>
      </c>
      <c r="L849" s="5">
        <f t="shared" si="4"/>
        <v>0</v>
      </c>
      <c r="M849" s="5">
        <v>19632.521288348413</v>
      </c>
      <c r="N849" s="5">
        <f t="shared" si="5"/>
        <v>0</v>
      </c>
      <c r="O849" s="5">
        <f t="shared" si="6"/>
        <v>19632.52129</v>
      </c>
      <c r="P849" s="5">
        <f t="shared" si="9"/>
        <v>20178.18239</v>
      </c>
      <c r="Q849" s="5">
        <f t="shared" si="7"/>
        <v>20178.18239</v>
      </c>
      <c r="R849" s="5">
        <f t="shared" si="8"/>
        <v>0</v>
      </c>
    </row>
    <row r="850" ht="15.75" customHeight="1">
      <c r="A850" s="4">
        <v>2011.0</v>
      </c>
      <c r="B850" s="4">
        <v>300.0</v>
      </c>
      <c r="C850" s="4" t="s">
        <v>20</v>
      </c>
      <c r="D850" s="5">
        <v>98.1341921836951</v>
      </c>
      <c r="E850" s="5">
        <f t="shared" si="1"/>
        <v>0</v>
      </c>
      <c r="F850" s="5">
        <f t="shared" si="2"/>
        <v>98.13419218</v>
      </c>
      <c r="G850" s="5">
        <v>26507.416439341323</v>
      </c>
      <c r="H850" s="5">
        <v>11582.233283874799</v>
      </c>
      <c r="I850" s="5">
        <v>14925.183155466524</v>
      </c>
      <c r="J850" s="5">
        <v>200817.74928961316</v>
      </c>
      <c r="K850" s="5">
        <f t="shared" si="3"/>
        <v>200817.7493</v>
      </c>
      <c r="L850" s="5">
        <f t="shared" si="4"/>
        <v>0</v>
      </c>
      <c r="M850" s="5">
        <v>5215.7265746090125</v>
      </c>
      <c r="N850" s="5">
        <f t="shared" si="5"/>
        <v>0</v>
      </c>
      <c r="O850" s="5">
        <f t="shared" si="6"/>
        <v>5215.726575</v>
      </c>
      <c r="P850" s="5">
        <f t="shared" si="9"/>
        <v>232639.0265</v>
      </c>
      <c r="Q850" s="5">
        <f t="shared" si="7"/>
        <v>20239.04392</v>
      </c>
      <c r="R850" s="5">
        <f t="shared" si="8"/>
        <v>212399.9826</v>
      </c>
    </row>
    <row r="851" ht="15.75" customHeight="1">
      <c r="A851" s="4">
        <v>2011.0</v>
      </c>
      <c r="B851" s="4">
        <v>301.0</v>
      </c>
      <c r="C851" s="4" t="s">
        <v>20</v>
      </c>
      <c r="D851" s="5">
        <v>815.3489797389987</v>
      </c>
      <c r="E851" s="5">
        <f t="shared" si="1"/>
        <v>0</v>
      </c>
      <c r="F851" s="5">
        <f t="shared" si="2"/>
        <v>815.3489797</v>
      </c>
      <c r="G851" s="5">
        <v>5244.7956689217</v>
      </c>
      <c r="H851" s="5">
        <v>3244.056176689989</v>
      </c>
      <c r="I851" s="5">
        <v>2000.7394922317108</v>
      </c>
      <c r="J851" s="5">
        <v>17650.72105647443</v>
      </c>
      <c r="K851" s="5">
        <f t="shared" si="3"/>
        <v>17650.72106</v>
      </c>
      <c r="L851" s="5">
        <f t="shared" si="4"/>
        <v>0</v>
      </c>
      <c r="M851" s="5">
        <v>191.8455558184998</v>
      </c>
      <c r="N851" s="5">
        <f t="shared" si="5"/>
        <v>0</v>
      </c>
      <c r="O851" s="5">
        <f t="shared" si="6"/>
        <v>191.8455558</v>
      </c>
      <c r="P851" s="5">
        <f t="shared" si="9"/>
        <v>23902.71126</v>
      </c>
      <c r="Q851" s="5">
        <f t="shared" si="7"/>
        <v>3007.934028</v>
      </c>
      <c r="R851" s="5">
        <f t="shared" si="8"/>
        <v>20894.77723</v>
      </c>
    </row>
    <row r="852" ht="15.75" customHeight="1">
      <c r="A852" s="4">
        <v>2011.0</v>
      </c>
      <c r="B852" s="4">
        <v>302.0</v>
      </c>
      <c r="C852" s="4" t="s">
        <v>20</v>
      </c>
      <c r="D852" s="5">
        <v>5177.100628073872</v>
      </c>
      <c r="E852" s="5">
        <f t="shared" si="1"/>
        <v>0</v>
      </c>
      <c r="F852" s="5">
        <f t="shared" si="2"/>
        <v>5177.100628</v>
      </c>
      <c r="G852" s="5">
        <v>2469.9605398146246</v>
      </c>
      <c r="H852" s="5">
        <v>1556.3847783379638</v>
      </c>
      <c r="I852" s="5">
        <v>913.5757614766608</v>
      </c>
      <c r="J852" s="5">
        <v>126158.20189996145</v>
      </c>
      <c r="K852" s="5">
        <f t="shared" si="3"/>
        <v>126158.2019</v>
      </c>
      <c r="L852" s="5">
        <f t="shared" si="4"/>
        <v>0</v>
      </c>
      <c r="M852" s="5">
        <v>1882.410042262577</v>
      </c>
      <c r="N852" s="5">
        <f t="shared" si="5"/>
        <v>0</v>
      </c>
      <c r="O852" s="5">
        <f t="shared" si="6"/>
        <v>1882.410042</v>
      </c>
      <c r="P852" s="5">
        <f t="shared" si="9"/>
        <v>135687.6731</v>
      </c>
      <c r="Q852" s="5">
        <f t="shared" si="7"/>
        <v>7973.086432</v>
      </c>
      <c r="R852" s="5">
        <f t="shared" si="8"/>
        <v>127714.5867</v>
      </c>
    </row>
    <row r="853" ht="15.75" customHeight="1">
      <c r="A853" s="4">
        <v>2011.0</v>
      </c>
      <c r="B853" s="4">
        <v>303.0</v>
      </c>
      <c r="C853" s="4" t="s">
        <v>20</v>
      </c>
      <c r="D853" s="5">
        <v>4523.046676977226</v>
      </c>
      <c r="E853" s="5">
        <f t="shared" si="1"/>
        <v>0</v>
      </c>
      <c r="F853" s="5">
        <f t="shared" si="2"/>
        <v>4523.046677</v>
      </c>
      <c r="G853" s="5">
        <v>1832.8202848479784</v>
      </c>
      <c r="H853" s="5">
        <v>1148.9961083959258</v>
      </c>
      <c r="I853" s="5">
        <v>683.8241764520526</v>
      </c>
      <c r="J853" s="5">
        <v>21648.238818281203</v>
      </c>
      <c r="K853" s="5">
        <f t="shared" si="3"/>
        <v>21648.23882</v>
      </c>
      <c r="L853" s="5">
        <f t="shared" si="4"/>
        <v>0</v>
      </c>
      <c r="M853" s="5">
        <v>2530.7824836274294</v>
      </c>
      <c r="N853" s="5">
        <f t="shared" si="5"/>
        <v>0</v>
      </c>
      <c r="O853" s="5">
        <f t="shared" si="6"/>
        <v>2530.782484</v>
      </c>
      <c r="P853" s="5">
        <f t="shared" si="9"/>
        <v>30534.88826</v>
      </c>
      <c r="Q853" s="5">
        <f t="shared" si="7"/>
        <v>7737.653337</v>
      </c>
      <c r="R853" s="5">
        <f t="shared" si="8"/>
        <v>22797.23493</v>
      </c>
    </row>
    <row r="854" ht="15.75" customHeight="1">
      <c r="A854" s="4">
        <v>2011.0</v>
      </c>
      <c r="B854" s="4">
        <v>304.0</v>
      </c>
      <c r="C854" s="4" t="s">
        <v>20</v>
      </c>
      <c r="D854" s="5">
        <v>8802.845835031036</v>
      </c>
      <c r="E854" s="5">
        <f t="shared" si="1"/>
        <v>0</v>
      </c>
      <c r="F854" s="5">
        <f t="shared" si="2"/>
        <v>8802.845835</v>
      </c>
      <c r="G854" s="5">
        <v>8505.04830816785</v>
      </c>
      <c r="H854" s="5">
        <v>2625.3513070446206</v>
      </c>
      <c r="I854" s="5">
        <v>5879.69700112323</v>
      </c>
      <c r="J854" s="5">
        <v>1402.1963334319375</v>
      </c>
      <c r="K854" s="5">
        <f t="shared" si="3"/>
        <v>1402.196333</v>
      </c>
      <c r="L854" s="5">
        <f t="shared" si="4"/>
        <v>0</v>
      </c>
      <c r="M854" s="5">
        <v>1485.7604187030552</v>
      </c>
      <c r="N854" s="5">
        <f t="shared" si="5"/>
        <v>0</v>
      </c>
      <c r="O854" s="5">
        <f t="shared" si="6"/>
        <v>1485.760419</v>
      </c>
      <c r="P854" s="5">
        <f t="shared" si="9"/>
        <v>20195.8509</v>
      </c>
      <c r="Q854" s="5">
        <f t="shared" si="7"/>
        <v>16168.30325</v>
      </c>
      <c r="R854" s="5">
        <f t="shared" si="8"/>
        <v>4027.54764</v>
      </c>
    </row>
    <row r="855" ht="15.75" customHeight="1">
      <c r="A855" s="4">
        <v>2011.0</v>
      </c>
      <c r="B855" s="4">
        <v>305.0</v>
      </c>
      <c r="C855" s="4" t="s">
        <v>20</v>
      </c>
      <c r="D855" s="5">
        <v>20234.383044625207</v>
      </c>
      <c r="E855" s="5">
        <f t="shared" si="1"/>
        <v>0</v>
      </c>
      <c r="F855" s="5">
        <f t="shared" si="2"/>
        <v>20234.38304</v>
      </c>
      <c r="G855" s="5">
        <v>7418.694400540608</v>
      </c>
      <c r="H855" s="5">
        <v>2960.141715411394</v>
      </c>
      <c r="I855" s="5">
        <v>4458.552685129213</v>
      </c>
      <c r="J855" s="5">
        <v>94073.1646972554</v>
      </c>
      <c r="K855" s="5">
        <f t="shared" si="3"/>
        <v>94073.1647</v>
      </c>
      <c r="L855" s="5">
        <f t="shared" si="4"/>
        <v>0</v>
      </c>
      <c r="M855" s="5">
        <v>5302.563499331203</v>
      </c>
      <c r="N855" s="5">
        <f t="shared" si="5"/>
        <v>0</v>
      </c>
      <c r="O855" s="5">
        <f t="shared" si="6"/>
        <v>5302.563499</v>
      </c>
      <c r="P855" s="5">
        <f t="shared" si="9"/>
        <v>127028.8056</v>
      </c>
      <c r="Q855" s="5">
        <f t="shared" si="7"/>
        <v>29995.49923</v>
      </c>
      <c r="R855" s="5">
        <f t="shared" si="8"/>
        <v>97033.30641</v>
      </c>
    </row>
    <row r="856" ht="15.75" customHeight="1">
      <c r="A856" s="4">
        <v>2011.0</v>
      </c>
      <c r="B856" s="4">
        <v>306.0</v>
      </c>
      <c r="C856" s="4" t="s">
        <v>20</v>
      </c>
      <c r="D856" s="5">
        <v>328.85394189216976</v>
      </c>
      <c r="E856" s="5">
        <f t="shared" si="1"/>
        <v>0</v>
      </c>
      <c r="F856" s="5">
        <f t="shared" si="2"/>
        <v>328.8539419</v>
      </c>
      <c r="G856" s="5" t="s">
        <v>19</v>
      </c>
      <c r="H856" s="5" t="s">
        <v>19</v>
      </c>
      <c r="I856" s="5" t="s">
        <v>19</v>
      </c>
      <c r="J856" s="5">
        <v>0.0</v>
      </c>
      <c r="K856" s="5">
        <f t="shared" si="3"/>
        <v>0</v>
      </c>
      <c r="L856" s="5">
        <f t="shared" si="4"/>
        <v>0</v>
      </c>
      <c r="M856" s="5">
        <v>1393.114505877662</v>
      </c>
      <c r="N856" s="5">
        <f t="shared" si="5"/>
        <v>0</v>
      </c>
      <c r="O856" s="5">
        <f t="shared" si="6"/>
        <v>1393.114506</v>
      </c>
      <c r="P856" s="5">
        <f t="shared" si="9"/>
        <v>1721.968448</v>
      </c>
      <c r="Q856" s="5">
        <f t="shared" si="7"/>
        <v>1721.968448</v>
      </c>
      <c r="R856" s="5">
        <f t="shared" si="8"/>
        <v>0</v>
      </c>
    </row>
    <row r="857" ht="15.75" customHeight="1">
      <c r="A857" s="4">
        <v>2011.0</v>
      </c>
      <c r="B857" s="4">
        <v>307.0</v>
      </c>
      <c r="C857" s="4" t="s">
        <v>20</v>
      </c>
      <c r="D857" s="5" t="s">
        <v>19</v>
      </c>
      <c r="E857" s="5" t="str">
        <f t="shared" si="1"/>
        <v/>
      </c>
      <c r="F857" s="5" t="str">
        <f t="shared" si="2"/>
        <v/>
      </c>
      <c r="G857" s="5" t="s">
        <v>19</v>
      </c>
      <c r="H857" s="5" t="s">
        <v>19</v>
      </c>
      <c r="I857" s="5" t="s">
        <v>19</v>
      </c>
      <c r="J857" s="5">
        <v>0.0</v>
      </c>
      <c r="K857" s="5">
        <f t="shared" si="3"/>
        <v>0</v>
      </c>
      <c r="L857" s="5">
        <f t="shared" si="4"/>
        <v>0</v>
      </c>
      <c r="M857" s="5">
        <v>221.93313522481725</v>
      </c>
      <c r="N857" s="5">
        <f t="shared" si="5"/>
        <v>0</v>
      </c>
      <c r="O857" s="5">
        <f t="shared" si="6"/>
        <v>221.9331352</v>
      </c>
      <c r="P857" s="5">
        <f t="shared" si="9"/>
        <v>221.9331352</v>
      </c>
      <c r="Q857" s="5">
        <f t="shared" si="7"/>
        <v>221.9331352</v>
      </c>
      <c r="R857" s="5">
        <f t="shared" si="8"/>
        <v>0</v>
      </c>
    </row>
    <row r="858" ht="15.75" customHeight="1">
      <c r="A858" s="4">
        <v>2011.0</v>
      </c>
      <c r="B858" s="4">
        <v>308.0</v>
      </c>
      <c r="C858" s="4" t="s">
        <v>20</v>
      </c>
      <c r="D858" s="5">
        <v>17048.205939997246</v>
      </c>
      <c r="E858" s="5">
        <f t="shared" si="1"/>
        <v>0</v>
      </c>
      <c r="F858" s="5">
        <f t="shared" si="2"/>
        <v>17048.20594</v>
      </c>
      <c r="G858" s="5">
        <v>7361.292231775389</v>
      </c>
      <c r="H858" s="5">
        <v>2075.338493299208</v>
      </c>
      <c r="I858" s="5">
        <v>5285.953738476181</v>
      </c>
      <c r="J858" s="5">
        <v>3051.8724677178725</v>
      </c>
      <c r="K858" s="5">
        <f t="shared" si="3"/>
        <v>3051.872468</v>
      </c>
      <c r="L858" s="5">
        <f t="shared" si="4"/>
        <v>0</v>
      </c>
      <c r="M858" s="5">
        <v>11005.947177783204</v>
      </c>
      <c r="N858" s="5">
        <f t="shared" si="5"/>
        <v>0</v>
      </c>
      <c r="O858" s="5">
        <f t="shared" si="6"/>
        <v>11005.94718</v>
      </c>
      <c r="P858" s="5">
        <f t="shared" si="9"/>
        <v>38467.31782</v>
      </c>
      <c r="Q858" s="5">
        <f t="shared" si="7"/>
        <v>33340.10686</v>
      </c>
      <c r="R858" s="5">
        <f t="shared" si="8"/>
        <v>5127.210961</v>
      </c>
    </row>
    <row r="859" ht="15.75" customHeight="1">
      <c r="A859" s="4">
        <v>2011.0</v>
      </c>
      <c r="B859" s="4">
        <v>309.0</v>
      </c>
      <c r="C859" s="4" t="s">
        <v>20</v>
      </c>
      <c r="D859" s="5" t="s">
        <v>19</v>
      </c>
      <c r="E859" s="5" t="str">
        <f t="shared" si="1"/>
        <v/>
      </c>
      <c r="F859" s="5" t="str">
        <f t="shared" si="2"/>
        <v/>
      </c>
      <c r="G859" s="5" t="s">
        <v>19</v>
      </c>
      <c r="H859" s="5" t="s">
        <v>19</v>
      </c>
      <c r="I859" s="5" t="s">
        <v>19</v>
      </c>
      <c r="J859" s="5">
        <v>359.48900735672396</v>
      </c>
      <c r="K859" s="5">
        <f t="shared" si="3"/>
        <v>359.4890074</v>
      </c>
      <c r="L859" s="5">
        <f t="shared" si="4"/>
        <v>0</v>
      </c>
      <c r="M859" s="5">
        <v>1308.5118073490062</v>
      </c>
      <c r="N859" s="5">
        <f t="shared" si="5"/>
        <v>0</v>
      </c>
      <c r="O859" s="5">
        <f t="shared" si="6"/>
        <v>1308.511807</v>
      </c>
      <c r="P859" s="5">
        <f t="shared" si="9"/>
        <v>1668.000815</v>
      </c>
      <c r="Q859" s="5">
        <f t="shared" si="7"/>
        <v>1308.511807</v>
      </c>
      <c r="R859" s="5">
        <f t="shared" si="8"/>
        <v>359.4890074</v>
      </c>
    </row>
    <row r="860" ht="15.75" customHeight="1">
      <c r="A860" s="4">
        <v>2011.0</v>
      </c>
      <c r="B860" s="4">
        <v>310.0</v>
      </c>
      <c r="C860" s="4" t="s">
        <v>20</v>
      </c>
      <c r="D860" s="5">
        <v>1111.8395178259075</v>
      </c>
      <c r="E860" s="5">
        <f t="shared" si="1"/>
        <v>0</v>
      </c>
      <c r="F860" s="5">
        <f t="shared" si="2"/>
        <v>1111.839518</v>
      </c>
      <c r="G860" s="5">
        <v>1824.4838702970128</v>
      </c>
      <c r="H860" s="5">
        <v>1225.2147557190387</v>
      </c>
      <c r="I860" s="5">
        <v>599.269114577974</v>
      </c>
      <c r="J860" s="5">
        <v>6027.495424927976</v>
      </c>
      <c r="K860" s="5">
        <f t="shared" si="3"/>
        <v>6027.495425</v>
      </c>
      <c r="L860" s="5">
        <f t="shared" si="4"/>
        <v>0</v>
      </c>
      <c r="M860" s="5">
        <v>2475.5226224405787</v>
      </c>
      <c r="N860" s="5">
        <f t="shared" si="5"/>
        <v>0</v>
      </c>
      <c r="O860" s="5">
        <f t="shared" si="6"/>
        <v>2475.522622</v>
      </c>
      <c r="P860" s="5">
        <f t="shared" si="9"/>
        <v>11439.34144</v>
      </c>
      <c r="Q860" s="5">
        <f t="shared" si="7"/>
        <v>4186.631255</v>
      </c>
      <c r="R860" s="5">
        <f t="shared" si="8"/>
        <v>7252.710181</v>
      </c>
    </row>
    <row r="861" ht="15.75" customHeight="1">
      <c r="A861" s="4">
        <v>2011.0</v>
      </c>
      <c r="B861" s="4">
        <v>311.0</v>
      </c>
      <c r="C861" s="4" t="s">
        <v>20</v>
      </c>
      <c r="D861" s="5">
        <v>5108.719887775661</v>
      </c>
      <c r="E861" s="5">
        <f t="shared" si="1"/>
        <v>0</v>
      </c>
      <c r="F861" s="5">
        <f t="shared" si="2"/>
        <v>5108.719888</v>
      </c>
      <c r="G861" s="5">
        <v>3190.7031235638096</v>
      </c>
      <c r="H861" s="5">
        <v>1789.9949323833046</v>
      </c>
      <c r="I861" s="5">
        <v>1400.708191180505</v>
      </c>
      <c r="J861" s="5">
        <v>16855.68273599393</v>
      </c>
      <c r="K861" s="5">
        <f t="shared" si="3"/>
        <v>16855.68274</v>
      </c>
      <c r="L861" s="5">
        <f t="shared" si="4"/>
        <v>0</v>
      </c>
      <c r="M861" s="5">
        <v>1253.4008945750584</v>
      </c>
      <c r="N861" s="5">
        <f t="shared" si="5"/>
        <v>0</v>
      </c>
      <c r="O861" s="5">
        <f t="shared" si="6"/>
        <v>1253.400895</v>
      </c>
      <c r="P861" s="5">
        <f t="shared" si="9"/>
        <v>26408.50664</v>
      </c>
      <c r="Q861" s="5">
        <f t="shared" si="7"/>
        <v>7762.828974</v>
      </c>
      <c r="R861" s="5">
        <f t="shared" si="8"/>
        <v>18645.67767</v>
      </c>
    </row>
    <row r="862" ht="15.75" customHeight="1">
      <c r="A862" s="4">
        <v>2011.0</v>
      </c>
      <c r="B862" s="4">
        <v>312.0</v>
      </c>
      <c r="C862" s="4" t="s">
        <v>20</v>
      </c>
      <c r="D862" s="5" t="s">
        <v>19</v>
      </c>
      <c r="E862" s="5" t="str">
        <f t="shared" si="1"/>
        <v/>
      </c>
      <c r="F862" s="5" t="str">
        <f t="shared" si="2"/>
        <v/>
      </c>
      <c r="G862" s="5" t="s">
        <v>19</v>
      </c>
      <c r="H862" s="5" t="s">
        <v>19</v>
      </c>
      <c r="I862" s="5" t="s">
        <v>19</v>
      </c>
      <c r="J862" s="5">
        <v>34548.78565438831</v>
      </c>
      <c r="K862" s="5">
        <f t="shared" si="3"/>
        <v>34548.78565</v>
      </c>
      <c r="L862" s="5">
        <f t="shared" si="4"/>
        <v>0</v>
      </c>
      <c r="M862" s="5">
        <v>0.0</v>
      </c>
      <c r="N862" s="5">
        <f t="shared" si="5"/>
        <v>0</v>
      </c>
      <c r="O862" s="5">
        <f t="shared" si="6"/>
        <v>0</v>
      </c>
      <c r="P862" s="5">
        <f t="shared" si="9"/>
        <v>34548.78565</v>
      </c>
      <c r="Q862" s="5">
        <f t="shared" si="7"/>
        <v>0</v>
      </c>
      <c r="R862" s="5">
        <f t="shared" si="8"/>
        <v>34548.78565</v>
      </c>
    </row>
    <row r="863" ht="15.75" customHeight="1">
      <c r="A863" s="4">
        <v>2011.0</v>
      </c>
      <c r="B863" s="4">
        <v>313.0</v>
      </c>
      <c r="C863" s="4" t="s">
        <v>20</v>
      </c>
      <c r="D863" s="5">
        <v>36922.46781873133</v>
      </c>
      <c r="E863" s="5">
        <f t="shared" si="1"/>
        <v>0</v>
      </c>
      <c r="F863" s="5">
        <f t="shared" si="2"/>
        <v>36922.46782</v>
      </c>
      <c r="G863" s="5">
        <v>1847.3494644939465</v>
      </c>
      <c r="H863" s="5">
        <v>1098.3107079260553</v>
      </c>
      <c r="I863" s="5">
        <v>749.0387565678911</v>
      </c>
      <c r="J863" s="5">
        <v>868.4497598775596</v>
      </c>
      <c r="K863" s="5">
        <f t="shared" si="3"/>
        <v>868.4497599</v>
      </c>
      <c r="L863" s="5">
        <f t="shared" si="4"/>
        <v>0</v>
      </c>
      <c r="M863" s="5">
        <v>2154.3898442226555</v>
      </c>
      <c r="N863" s="5">
        <f t="shared" si="5"/>
        <v>0</v>
      </c>
      <c r="O863" s="5">
        <f t="shared" si="6"/>
        <v>2154.389844</v>
      </c>
      <c r="P863" s="5">
        <f t="shared" si="9"/>
        <v>41792.65689</v>
      </c>
      <c r="Q863" s="5">
        <f t="shared" si="7"/>
        <v>39825.89642</v>
      </c>
      <c r="R863" s="5">
        <f t="shared" si="8"/>
        <v>1966.760468</v>
      </c>
    </row>
    <row r="864" ht="15.75" customHeight="1">
      <c r="A864" s="4">
        <v>2011.0</v>
      </c>
      <c r="B864" s="4">
        <v>314.0</v>
      </c>
      <c r="C864" s="4" t="s">
        <v>20</v>
      </c>
      <c r="D864" s="5" t="s">
        <v>19</v>
      </c>
      <c r="E864" s="5" t="str">
        <f t="shared" si="1"/>
        <v/>
      </c>
      <c r="F864" s="5" t="str">
        <f t="shared" si="2"/>
        <v/>
      </c>
      <c r="G864" s="5" t="s">
        <v>19</v>
      </c>
      <c r="H864" s="5" t="s">
        <v>19</v>
      </c>
      <c r="I864" s="5" t="s">
        <v>19</v>
      </c>
      <c r="J864" s="5">
        <v>391.65381327811514</v>
      </c>
      <c r="K864" s="5">
        <f t="shared" si="3"/>
        <v>391.6538133</v>
      </c>
      <c r="L864" s="5">
        <f t="shared" si="4"/>
        <v>0</v>
      </c>
      <c r="M864" s="5">
        <v>1282.4458350910586</v>
      </c>
      <c r="N864" s="5">
        <f t="shared" si="5"/>
        <v>0</v>
      </c>
      <c r="O864" s="5">
        <f t="shared" si="6"/>
        <v>1282.445835</v>
      </c>
      <c r="P864" s="5">
        <f t="shared" si="9"/>
        <v>1674.099648</v>
      </c>
      <c r="Q864" s="5">
        <f t="shared" si="7"/>
        <v>1282.445835</v>
      </c>
      <c r="R864" s="5">
        <f t="shared" si="8"/>
        <v>391.6538133</v>
      </c>
    </row>
    <row r="865" ht="15.75" customHeight="1">
      <c r="A865" s="4">
        <v>2011.0</v>
      </c>
      <c r="B865" s="4">
        <v>320.0</v>
      </c>
      <c r="C865" s="4" t="s">
        <v>20</v>
      </c>
      <c r="D865" s="5">
        <v>141969.37865715343</v>
      </c>
      <c r="E865" s="5">
        <f t="shared" si="1"/>
        <v>0</v>
      </c>
      <c r="F865" s="5">
        <f t="shared" si="2"/>
        <v>141969.3787</v>
      </c>
      <c r="G865" s="5">
        <v>52149.27486501954</v>
      </c>
      <c r="H865" s="5">
        <v>26303.436284442843</v>
      </c>
      <c r="I865" s="5">
        <v>25845.8385805767</v>
      </c>
      <c r="J865" s="5">
        <v>78179.77727253319</v>
      </c>
      <c r="K865" s="5">
        <f t="shared" si="3"/>
        <v>78179.77727</v>
      </c>
      <c r="L865" s="5">
        <f t="shared" si="4"/>
        <v>0</v>
      </c>
      <c r="M865" s="5">
        <v>38071.95907995933</v>
      </c>
      <c r="N865" s="5">
        <f t="shared" si="5"/>
        <v>0</v>
      </c>
      <c r="O865" s="5">
        <f t="shared" si="6"/>
        <v>38071.95908</v>
      </c>
      <c r="P865" s="5">
        <f t="shared" si="9"/>
        <v>310370.3899</v>
      </c>
      <c r="Q865" s="5">
        <f t="shared" si="7"/>
        <v>205887.1763</v>
      </c>
      <c r="R865" s="5">
        <f t="shared" si="8"/>
        <v>104483.2136</v>
      </c>
    </row>
    <row r="866" ht="15.75" customHeight="1">
      <c r="A866" s="4">
        <v>2011.0</v>
      </c>
      <c r="B866" s="4">
        <v>321.0</v>
      </c>
      <c r="C866" s="4" t="s">
        <v>20</v>
      </c>
      <c r="D866" s="5">
        <v>120055.12615888161</v>
      </c>
      <c r="E866" s="5">
        <f t="shared" si="1"/>
        <v>0</v>
      </c>
      <c r="F866" s="5">
        <f t="shared" si="2"/>
        <v>120055.1262</v>
      </c>
      <c r="G866" s="5">
        <v>17588.88196944559</v>
      </c>
      <c r="H866" s="5">
        <v>11287.219482079776</v>
      </c>
      <c r="I866" s="5">
        <v>6301.662487365813</v>
      </c>
      <c r="J866" s="5">
        <v>3371.6284795246434</v>
      </c>
      <c r="K866" s="5">
        <f t="shared" si="3"/>
        <v>3371.62848</v>
      </c>
      <c r="L866" s="5">
        <f t="shared" si="4"/>
        <v>0</v>
      </c>
      <c r="M866" s="5">
        <v>13099.1192243029</v>
      </c>
      <c r="N866" s="5">
        <f t="shared" si="5"/>
        <v>0</v>
      </c>
      <c r="O866" s="5">
        <f t="shared" si="6"/>
        <v>13099.11922</v>
      </c>
      <c r="P866" s="5">
        <f t="shared" si="9"/>
        <v>154114.7558</v>
      </c>
      <c r="Q866" s="5">
        <f t="shared" si="7"/>
        <v>139455.9079</v>
      </c>
      <c r="R866" s="5">
        <f t="shared" si="8"/>
        <v>14658.84796</v>
      </c>
    </row>
    <row r="867" ht="15.75" customHeight="1">
      <c r="A867" s="4">
        <v>2011.0</v>
      </c>
      <c r="B867" s="4">
        <v>322.0</v>
      </c>
      <c r="C867" s="4" t="s">
        <v>20</v>
      </c>
      <c r="D867" s="5">
        <v>14400.148722189346</v>
      </c>
      <c r="E867" s="5">
        <f t="shared" si="1"/>
        <v>0</v>
      </c>
      <c r="F867" s="5">
        <f t="shared" si="2"/>
        <v>14400.14872</v>
      </c>
      <c r="G867" s="5">
        <v>2041.2306486221148</v>
      </c>
      <c r="H867" s="5">
        <v>1013.3269161607848</v>
      </c>
      <c r="I867" s="5">
        <v>1027.90373246133</v>
      </c>
      <c r="J867" s="5">
        <v>0.0</v>
      </c>
      <c r="K867" s="5">
        <f t="shared" si="3"/>
        <v>0</v>
      </c>
      <c r="L867" s="5">
        <f t="shared" si="4"/>
        <v>0</v>
      </c>
      <c r="M867" s="5">
        <v>57294.645455512364</v>
      </c>
      <c r="N867" s="5">
        <f t="shared" si="5"/>
        <v>0</v>
      </c>
      <c r="O867" s="5">
        <f t="shared" si="6"/>
        <v>57294.64546</v>
      </c>
      <c r="P867" s="5">
        <f t="shared" si="9"/>
        <v>73736.02483</v>
      </c>
      <c r="Q867" s="5">
        <f t="shared" si="7"/>
        <v>72722.69791</v>
      </c>
      <c r="R867" s="5">
        <f t="shared" si="8"/>
        <v>1013.326916</v>
      </c>
    </row>
    <row r="868" ht="15.75" customHeight="1">
      <c r="A868" s="4">
        <v>2011.0</v>
      </c>
      <c r="B868" s="4">
        <v>323.0</v>
      </c>
      <c r="C868" s="4" t="s">
        <v>20</v>
      </c>
      <c r="D868" s="5">
        <v>4603.955186490377</v>
      </c>
      <c r="E868" s="5">
        <f t="shared" si="1"/>
        <v>0</v>
      </c>
      <c r="F868" s="5">
        <f t="shared" si="2"/>
        <v>4603.955186</v>
      </c>
      <c r="G868" s="5">
        <v>1044.6718348724148</v>
      </c>
      <c r="H868" s="5">
        <v>417.0112741665809</v>
      </c>
      <c r="I868" s="5">
        <v>627.6605607058339</v>
      </c>
      <c r="J868" s="5">
        <v>0.0</v>
      </c>
      <c r="K868" s="5">
        <f t="shared" si="3"/>
        <v>0</v>
      </c>
      <c r="L868" s="5">
        <f t="shared" si="4"/>
        <v>0</v>
      </c>
      <c r="M868" s="5">
        <v>157446.42628325697</v>
      </c>
      <c r="N868" s="5">
        <f t="shared" si="5"/>
        <v>0</v>
      </c>
      <c r="O868" s="5">
        <f t="shared" si="6"/>
        <v>157446.4263</v>
      </c>
      <c r="P868" s="5">
        <f t="shared" si="9"/>
        <v>163095.0533</v>
      </c>
      <c r="Q868" s="5">
        <f t="shared" si="7"/>
        <v>162678.042</v>
      </c>
      <c r="R868" s="5">
        <f t="shared" si="8"/>
        <v>417.0112742</v>
      </c>
    </row>
    <row r="869" ht="15.75" customHeight="1">
      <c r="A869" s="4">
        <v>2011.0</v>
      </c>
      <c r="B869" s="4">
        <v>324.0</v>
      </c>
      <c r="C869" s="4" t="s">
        <v>20</v>
      </c>
      <c r="D869" s="5" t="s">
        <v>19</v>
      </c>
      <c r="E869" s="5" t="str">
        <f t="shared" si="1"/>
        <v/>
      </c>
      <c r="F869" s="5" t="str">
        <f t="shared" si="2"/>
        <v/>
      </c>
      <c r="G869" s="5">
        <v>7241.724228787256</v>
      </c>
      <c r="H869" s="5">
        <v>1859.9255413022604</v>
      </c>
      <c r="I869" s="5">
        <v>5381.798687484996</v>
      </c>
      <c r="J869" s="5">
        <v>0.0</v>
      </c>
      <c r="K869" s="5">
        <f t="shared" si="3"/>
        <v>0</v>
      </c>
      <c r="L869" s="5">
        <f t="shared" si="4"/>
        <v>0</v>
      </c>
      <c r="M869" s="5">
        <v>101501.43218673728</v>
      </c>
      <c r="N869" s="5">
        <f t="shared" si="5"/>
        <v>0</v>
      </c>
      <c r="O869" s="5">
        <f t="shared" si="6"/>
        <v>101501.4322</v>
      </c>
      <c r="P869" s="5">
        <f t="shared" si="9"/>
        <v>108743.1564</v>
      </c>
      <c r="Q869" s="5">
        <f t="shared" si="7"/>
        <v>106883.2309</v>
      </c>
      <c r="R869" s="5">
        <f t="shared" si="8"/>
        <v>1859.925541</v>
      </c>
    </row>
    <row r="870" ht="15.75" customHeight="1">
      <c r="A870" s="4">
        <v>2011.0</v>
      </c>
      <c r="B870" s="4">
        <v>325.0</v>
      </c>
      <c r="C870" s="4" t="s">
        <v>20</v>
      </c>
      <c r="D870" s="5">
        <v>16623.82775784116</v>
      </c>
      <c r="E870" s="5">
        <f t="shared" si="1"/>
        <v>0</v>
      </c>
      <c r="F870" s="5">
        <f t="shared" si="2"/>
        <v>16623.82776</v>
      </c>
      <c r="G870" s="5" t="s">
        <v>19</v>
      </c>
      <c r="H870" s="5" t="s">
        <v>19</v>
      </c>
      <c r="I870" s="5" t="s">
        <v>19</v>
      </c>
      <c r="J870" s="5">
        <v>0.0</v>
      </c>
      <c r="K870" s="5">
        <f t="shared" si="3"/>
        <v>0</v>
      </c>
      <c r="L870" s="5">
        <f t="shared" si="4"/>
        <v>0</v>
      </c>
      <c r="M870" s="5">
        <v>9715.383654188954</v>
      </c>
      <c r="N870" s="5">
        <f t="shared" si="5"/>
        <v>0</v>
      </c>
      <c r="O870" s="5">
        <f t="shared" si="6"/>
        <v>9715.383654</v>
      </c>
      <c r="P870" s="5">
        <f t="shared" si="9"/>
        <v>26339.21141</v>
      </c>
      <c r="Q870" s="5">
        <f t="shared" si="7"/>
        <v>26339.21141</v>
      </c>
      <c r="R870" s="5">
        <f t="shared" si="8"/>
        <v>0</v>
      </c>
    </row>
    <row r="871" ht="15.75" customHeight="1">
      <c r="A871" s="4">
        <v>2011.0</v>
      </c>
      <c r="B871" s="4">
        <v>326.0</v>
      </c>
      <c r="C871" s="4" t="s">
        <v>20</v>
      </c>
      <c r="D871" s="5" t="s">
        <v>19</v>
      </c>
      <c r="E871" s="5" t="str">
        <f t="shared" si="1"/>
        <v/>
      </c>
      <c r="F871" s="5" t="str">
        <f t="shared" si="2"/>
        <v/>
      </c>
      <c r="G871" s="5" t="s">
        <v>19</v>
      </c>
      <c r="H871" s="5" t="s">
        <v>19</v>
      </c>
      <c r="I871" s="5" t="s">
        <v>19</v>
      </c>
      <c r="J871" s="5">
        <v>0.0</v>
      </c>
      <c r="K871" s="5">
        <f t="shared" si="3"/>
        <v>0</v>
      </c>
      <c r="L871" s="5">
        <f t="shared" si="4"/>
        <v>0</v>
      </c>
      <c r="M871" s="5">
        <v>44642.96726356876</v>
      </c>
      <c r="N871" s="5">
        <f t="shared" si="5"/>
        <v>0</v>
      </c>
      <c r="O871" s="5">
        <f t="shared" si="6"/>
        <v>44642.96726</v>
      </c>
      <c r="P871" s="5">
        <f t="shared" si="9"/>
        <v>44642.96726</v>
      </c>
      <c r="Q871" s="5">
        <f t="shared" si="7"/>
        <v>44642.96726</v>
      </c>
      <c r="R871" s="5">
        <f t="shared" si="8"/>
        <v>0</v>
      </c>
    </row>
    <row r="872" ht="15.75" customHeight="1">
      <c r="A872" s="4">
        <v>2011.0</v>
      </c>
      <c r="B872" s="4">
        <v>327.0</v>
      </c>
      <c r="C872" s="4" t="s">
        <v>20</v>
      </c>
      <c r="D872" s="5">
        <v>61455.23287907918</v>
      </c>
      <c r="E872" s="5">
        <f t="shared" si="1"/>
        <v>0</v>
      </c>
      <c r="F872" s="5">
        <f t="shared" si="2"/>
        <v>61455.23288</v>
      </c>
      <c r="G872" s="5">
        <v>11477.57555376925</v>
      </c>
      <c r="H872" s="5">
        <v>3623.720313668245</v>
      </c>
      <c r="I872" s="5">
        <v>7853.855240101004</v>
      </c>
      <c r="J872" s="5">
        <v>0.0</v>
      </c>
      <c r="K872" s="5">
        <f t="shared" si="3"/>
        <v>0</v>
      </c>
      <c r="L872" s="5">
        <f t="shared" si="4"/>
        <v>0</v>
      </c>
      <c r="M872" s="5">
        <v>35858.88356105308</v>
      </c>
      <c r="N872" s="5">
        <f t="shared" si="5"/>
        <v>0</v>
      </c>
      <c r="O872" s="5">
        <f t="shared" si="6"/>
        <v>35858.88356</v>
      </c>
      <c r="P872" s="5">
        <f t="shared" si="9"/>
        <v>108791.692</v>
      </c>
      <c r="Q872" s="5">
        <f t="shared" si="7"/>
        <v>105167.9717</v>
      </c>
      <c r="R872" s="5">
        <f t="shared" si="8"/>
        <v>3623.720314</v>
      </c>
    </row>
    <row r="873" ht="15.75" customHeight="1">
      <c r="A873" s="4">
        <v>2011.0</v>
      </c>
      <c r="B873" s="4">
        <v>328.0</v>
      </c>
      <c r="C873" s="4" t="s">
        <v>20</v>
      </c>
      <c r="D873" s="5">
        <v>2954.4655731899697</v>
      </c>
      <c r="E873" s="5">
        <f t="shared" si="1"/>
        <v>0</v>
      </c>
      <c r="F873" s="5">
        <f t="shared" si="2"/>
        <v>2954.465573</v>
      </c>
      <c r="G873" s="5">
        <v>2546.1791871377372</v>
      </c>
      <c r="H873" s="5">
        <v>1040.8609025062594</v>
      </c>
      <c r="I873" s="5">
        <v>1505.3182846314778</v>
      </c>
      <c r="J873" s="5">
        <v>639.5120236135406</v>
      </c>
      <c r="K873" s="5">
        <f t="shared" si="3"/>
        <v>639.5120236</v>
      </c>
      <c r="L873" s="5">
        <f t="shared" si="4"/>
        <v>0</v>
      </c>
      <c r="M873" s="5">
        <v>99308.13701706447</v>
      </c>
      <c r="N873" s="5">
        <f t="shared" si="5"/>
        <v>0</v>
      </c>
      <c r="O873" s="5">
        <f t="shared" si="6"/>
        <v>99308.13702</v>
      </c>
      <c r="P873" s="5">
        <f t="shared" si="9"/>
        <v>105448.2938</v>
      </c>
      <c r="Q873" s="5">
        <f t="shared" si="7"/>
        <v>103767.9209</v>
      </c>
      <c r="R873" s="5">
        <f t="shared" si="8"/>
        <v>1680.372926</v>
      </c>
    </row>
    <row r="874" ht="15.75" customHeight="1">
      <c r="A874" s="4">
        <v>2011.0</v>
      </c>
      <c r="B874" s="4">
        <v>331.0</v>
      </c>
      <c r="C874" s="4" t="s">
        <v>20</v>
      </c>
      <c r="D874" s="5">
        <v>145286.26215392395</v>
      </c>
      <c r="E874" s="5">
        <f t="shared" si="1"/>
        <v>0</v>
      </c>
      <c r="F874" s="5">
        <f t="shared" si="2"/>
        <v>145286.2622</v>
      </c>
      <c r="G874" s="5">
        <v>219355.64734966308</v>
      </c>
      <c r="H874" s="5">
        <v>56568.994149337654</v>
      </c>
      <c r="I874" s="5">
        <v>162786.65320032544</v>
      </c>
      <c r="J874" s="5">
        <v>5748.94820564873</v>
      </c>
      <c r="K874" s="5">
        <f t="shared" si="3"/>
        <v>5748.948206</v>
      </c>
      <c r="L874" s="5">
        <f t="shared" si="4"/>
        <v>0</v>
      </c>
      <c r="M874" s="5">
        <v>33028.11897383988</v>
      </c>
      <c r="N874" s="5">
        <f t="shared" si="5"/>
        <v>0</v>
      </c>
      <c r="O874" s="5">
        <f t="shared" si="6"/>
        <v>33028.11897</v>
      </c>
      <c r="P874" s="5">
        <f t="shared" si="9"/>
        <v>403418.9767</v>
      </c>
      <c r="Q874" s="5">
        <f t="shared" si="7"/>
        <v>341101.0343</v>
      </c>
      <c r="R874" s="5">
        <f t="shared" si="8"/>
        <v>62317.94235</v>
      </c>
    </row>
    <row r="875" ht="15.75" customHeight="1">
      <c r="A875" s="4">
        <v>2011.0</v>
      </c>
      <c r="B875" s="4">
        <v>332.0</v>
      </c>
      <c r="C875" s="4" t="s">
        <v>20</v>
      </c>
      <c r="D875" s="5">
        <v>6459.631001453336</v>
      </c>
      <c r="E875" s="5">
        <f t="shared" si="1"/>
        <v>0</v>
      </c>
      <c r="F875" s="5">
        <f t="shared" si="2"/>
        <v>6459.631001</v>
      </c>
      <c r="G875" s="5" t="s">
        <v>19</v>
      </c>
      <c r="H875" s="5" t="s">
        <v>19</v>
      </c>
      <c r="I875" s="5" t="s">
        <v>19</v>
      </c>
      <c r="J875" s="5">
        <v>0.0</v>
      </c>
      <c r="K875" s="5">
        <f t="shared" si="3"/>
        <v>0</v>
      </c>
      <c r="L875" s="5">
        <f t="shared" si="4"/>
        <v>0</v>
      </c>
      <c r="M875" s="5">
        <v>3530.077385790716</v>
      </c>
      <c r="N875" s="5">
        <f t="shared" si="5"/>
        <v>0</v>
      </c>
      <c r="O875" s="5">
        <f t="shared" si="6"/>
        <v>3530.077386</v>
      </c>
      <c r="P875" s="5">
        <f t="shared" si="9"/>
        <v>9989.708387</v>
      </c>
      <c r="Q875" s="5">
        <f t="shared" si="7"/>
        <v>9989.708387</v>
      </c>
      <c r="R875" s="5">
        <f t="shared" si="8"/>
        <v>0</v>
      </c>
    </row>
    <row r="876" ht="15.75" customHeight="1">
      <c r="A876" s="4">
        <v>2011.0</v>
      </c>
      <c r="B876" s="4">
        <v>333.0</v>
      </c>
      <c r="C876" s="4" t="s">
        <v>20</v>
      </c>
      <c r="D876" s="5">
        <v>5577.989242951947</v>
      </c>
      <c r="E876" s="5">
        <f t="shared" si="1"/>
        <v>0</v>
      </c>
      <c r="F876" s="5">
        <f t="shared" si="2"/>
        <v>5577.989243</v>
      </c>
      <c r="G876" s="5" t="s">
        <v>19</v>
      </c>
      <c r="H876" s="5" t="s">
        <v>19</v>
      </c>
      <c r="I876" s="5" t="s">
        <v>19</v>
      </c>
      <c r="J876" s="5">
        <v>0.0</v>
      </c>
      <c r="K876" s="5">
        <f t="shared" si="3"/>
        <v>0</v>
      </c>
      <c r="L876" s="5">
        <f t="shared" si="4"/>
        <v>0</v>
      </c>
      <c r="M876" s="5">
        <v>1936.9251613849156</v>
      </c>
      <c r="N876" s="5">
        <f t="shared" si="5"/>
        <v>0</v>
      </c>
      <c r="O876" s="5">
        <f t="shared" si="6"/>
        <v>1936.925161</v>
      </c>
      <c r="P876" s="5">
        <f t="shared" si="9"/>
        <v>7514.914404</v>
      </c>
      <c r="Q876" s="5">
        <f t="shared" si="7"/>
        <v>7514.914404</v>
      </c>
      <c r="R876" s="5">
        <f t="shared" si="8"/>
        <v>0</v>
      </c>
    </row>
    <row r="877" ht="15.75" customHeight="1">
      <c r="A877" s="4">
        <v>2011.0</v>
      </c>
      <c r="B877" s="4">
        <v>400.0</v>
      </c>
      <c r="C877" s="4" t="s">
        <v>21</v>
      </c>
      <c r="D877" s="5">
        <v>502.1699125823127</v>
      </c>
      <c r="E877" s="5">
        <f t="shared" si="1"/>
        <v>0</v>
      </c>
      <c r="F877" s="5">
        <f t="shared" si="2"/>
        <v>502.1699126</v>
      </c>
      <c r="G877" s="5" t="s">
        <v>19</v>
      </c>
      <c r="H877" s="5" t="s">
        <v>19</v>
      </c>
      <c r="I877" s="5" t="s">
        <v>19</v>
      </c>
      <c r="J877" s="5">
        <v>100738.49385949044</v>
      </c>
      <c r="K877" s="5">
        <f t="shared" si="3"/>
        <v>100738.4939</v>
      </c>
      <c r="L877" s="5">
        <f t="shared" si="4"/>
        <v>0</v>
      </c>
      <c r="M877" s="5">
        <v>889.342794011729</v>
      </c>
      <c r="N877" s="5">
        <f t="shared" si="5"/>
        <v>0</v>
      </c>
      <c r="O877" s="5">
        <f t="shared" si="6"/>
        <v>889.342794</v>
      </c>
      <c r="P877" s="5">
        <f t="shared" si="9"/>
        <v>102130.0066</v>
      </c>
      <c r="Q877" s="5">
        <f t="shared" si="7"/>
        <v>1391.512707</v>
      </c>
      <c r="R877" s="5">
        <f t="shared" si="8"/>
        <v>100738.4939</v>
      </c>
    </row>
    <row r="878" ht="15.75" customHeight="1">
      <c r="A878" s="4">
        <v>2011.0</v>
      </c>
      <c r="B878" s="4">
        <v>401.0</v>
      </c>
      <c r="C878" s="4" t="s">
        <v>21</v>
      </c>
      <c r="D878" s="5">
        <v>906.3316352869803</v>
      </c>
      <c r="E878" s="5">
        <f t="shared" si="1"/>
        <v>0</v>
      </c>
      <c r="F878" s="5">
        <f t="shared" si="2"/>
        <v>906.3316353</v>
      </c>
      <c r="G878" s="5">
        <v>14102.253238261825</v>
      </c>
      <c r="H878" s="5">
        <v>9770.14849673149</v>
      </c>
      <c r="I878" s="5">
        <v>4332.104741530335</v>
      </c>
      <c r="J878" s="5">
        <v>192571.90838990506</v>
      </c>
      <c r="K878" s="5">
        <f t="shared" si="3"/>
        <v>192571.9084</v>
      </c>
      <c r="L878" s="5">
        <f t="shared" si="4"/>
        <v>0</v>
      </c>
      <c r="M878" s="5">
        <v>3962.597007683402</v>
      </c>
      <c r="N878" s="5">
        <f t="shared" si="5"/>
        <v>0</v>
      </c>
      <c r="O878" s="5">
        <f t="shared" si="6"/>
        <v>3962.597008</v>
      </c>
      <c r="P878" s="5">
        <f t="shared" si="9"/>
        <v>211543.0903</v>
      </c>
      <c r="Q878" s="5">
        <f t="shared" si="7"/>
        <v>9201.033385</v>
      </c>
      <c r="R878" s="5">
        <f t="shared" si="8"/>
        <v>202342.0569</v>
      </c>
    </row>
    <row r="879" ht="15.75" customHeight="1">
      <c r="A879" s="4">
        <v>2011.0</v>
      </c>
      <c r="B879" s="4">
        <v>402.0</v>
      </c>
      <c r="C879" s="4" t="s">
        <v>21</v>
      </c>
      <c r="D879" s="5">
        <v>993.1873462954859</v>
      </c>
      <c r="E879" s="5">
        <f t="shared" si="1"/>
        <v>0</v>
      </c>
      <c r="F879" s="5">
        <f t="shared" si="2"/>
        <v>993.1873463</v>
      </c>
      <c r="G879" s="5">
        <v>2594.03832501972</v>
      </c>
      <c r="H879" s="5">
        <v>1867.8300591309116</v>
      </c>
      <c r="I879" s="5">
        <v>726.2082658888085</v>
      </c>
      <c r="J879" s="5">
        <v>202622.86476709796</v>
      </c>
      <c r="K879" s="5">
        <f t="shared" si="3"/>
        <v>202622.8648</v>
      </c>
      <c r="L879" s="5">
        <f t="shared" si="4"/>
        <v>0</v>
      </c>
      <c r="M879" s="5">
        <v>864.9873131224917</v>
      </c>
      <c r="N879" s="5">
        <f t="shared" si="5"/>
        <v>0</v>
      </c>
      <c r="O879" s="5">
        <f t="shared" si="6"/>
        <v>864.9873131</v>
      </c>
      <c r="P879" s="5">
        <f t="shared" si="9"/>
        <v>207075.0778</v>
      </c>
      <c r="Q879" s="5">
        <f t="shared" si="7"/>
        <v>2584.382925</v>
      </c>
      <c r="R879" s="5">
        <f t="shared" si="8"/>
        <v>204490.6948</v>
      </c>
    </row>
    <row r="880" ht="15.75" customHeight="1">
      <c r="A880" s="4">
        <v>2011.0</v>
      </c>
      <c r="B880" s="4">
        <v>403.0</v>
      </c>
      <c r="C880" s="4" t="s">
        <v>21</v>
      </c>
      <c r="D880" s="5">
        <v>7693.925571910256</v>
      </c>
      <c r="E880" s="5">
        <f t="shared" si="1"/>
        <v>0</v>
      </c>
      <c r="F880" s="5">
        <f t="shared" si="2"/>
        <v>7693.925572</v>
      </c>
      <c r="G880" s="5">
        <v>21303.300863175224</v>
      </c>
      <c r="H880" s="5">
        <v>13389.012448037864</v>
      </c>
      <c r="I880" s="5">
        <v>7914.28841513736</v>
      </c>
      <c r="J880" s="5">
        <v>629562.3870459388</v>
      </c>
      <c r="K880" s="5">
        <f t="shared" si="3"/>
        <v>629562.387</v>
      </c>
      <c r="L880" s="5">
        <f t="shared" si="4"/>
        <v>0</v>
      </c>
      <c r="M880" s="5">
        <v>29715.70714996269</v>
      </c>
      <c r="N880" s="5">
        <f t="shared" si="5"/>
        <v>0</v>
      </c>
      <c r="O880" s="5">
        <f t="shared" si="6"/>
        <v>29715.70715</v>
      </c>
      <c r="P880" s="5">
        <f t="shared" si="9"/>
        <v>688275.3206</v>
      </c>
      <c r="Q880" s="5">
        <f t="shared" si="7"/>
        <v>45323.92114</v>
      </c>
      <c r="R880" s="5">
        <f t="shared" si="8"/>
        <v>642951.3995</v>
      </c>
    </row>
    <row r="881" ht="15.75" customHeight="1">
      <c r="A881" s="4">
        <v>2011.0</v>
      </c>
      <c r="B881" s="4">
        <v>404.0</v>
      </c>
      <c r="C881" s="4" t="s">
        <v>21</v>
      </c>
      <c r="D881" s="5">
        <v>3253.23461943101</v>
      </c>
      <c r="E881" s="5">
        <f t="shared" si="1"/>
        <v>0</v>
      </c>
      <c r="F881" s="5">
        <f t="shared" si="2"/>
        <v>3253.234619</v>
      </c>
      <c r="G881" s="5">
        <v>15909.156901828035</v>
      </c>
      <c r="H881" s="5">
        <v>7360.094257134822</v>
      </c>
      <c r="I881" s="5">
        <v>8549.062644693213</v>
      </c>
      <c r="J881" s="5">
        <v>220764.3940585687</v>
      </c>
      <c r="K881" s="5">
        <f t="shared" si="3"/>
        <v>220764.3941</v>
      </c>
      <c r="L881" s="5">
        <f t="shared" si="4"/>
        <v>0</v>
      </c>
      <c r="M881" s="5">
        <v>2992.444063786139</v>
      </c>
      <c r="N881" s="5">
        <f t="shared" si="5"/>
        <v>0</v>
      </c>
      <c r="O881" s="5">
        <f t="shared" si="6"/>
        <v>2992.444064</v>
      </c>
      <c r="P881" s="5">
        <f t="shared" si="9"/>
        <v>242919.2296</v>
      </c>
      <c r="Q881" s="5">
        <f t="shared" si="7"/>
        <v>14794.74133</v>
      </c>
      <c r="R881" s="5">
        <f t="shared" si="8"/>
        <v>228124.4883</v>
      </c>
    </row>
    <row r="882" ht="15.75" customHeight="1">
      <c r="A882" s="4">
        <v>2011.0</v>
      </c>
      <c r="B882" s="4">
        <v>405.0</v>
      </c>
      <c r="C882" s="4" t="s">
        <v>21</v>
      </c>
      <c r="D882" s="5">
        <v>3037.3801897057297</v>
      </c>
      <c r="E882" s="5">
        <f t="shared" si="1"/>
        <v>0</v>
      </c>
      <c r="F882" s="5">
        <f t="shared" si="2"/>
        <v>3037.38019</v>
      </c>
      <c r="G882" s="5">
        <v>9132.539792296877</v>
      </c>
      <c r="H882" s="5">
        <v>6583.388883040094</v>
      </c>
      <c r="I882" s="5">
        <v>2549.150909256783</v>
      </c>
      <c r="J882" s="5">
        <v>55552.140107921776</v>
      </c>
      <c r="K882" s="5">
        <f t="shared" si="3"/>
        <v>55552.14011</v>
      </c>
      <c r="L882" s="5">
        <f t="shared" si="4"/>
        <v>0</v>
      </c>
      <c r="M882" s="5">
        <v>553.725789047227</v>
      </c>
      <c r="N882" s="5">
        <f t="shared" si="5"/>
        <v>0</v>
      </c>
      <c r="O882" s="5">
        <f t="shared" si="6"/>
        <v>553.725789</v>
      </c>
      <c r="P882" s="5">
        <f t="shared" si="9"/>
        <v>68275.78588</v>
      </c>
      <c r="Q882" s="5">
        <f t="shared" si="7"/>
        <v>6140.256888</v>
      </c>
      <c r="R882" s="5">
        <f t="shared" si="8"/>
        <v>62135.52899</v>
      </c>
    </row>
    <row r="883" ht="15.75" customHeight="1">
      <c r="A883" s="4">
        <v>2011.0</v>
      </c>
      <c r="B883" s="4">
        <v>406.0</v>
      </c>
      <c r="C883" s="4" t="s">
        <v>21</v>
      </c>
      <c r="D883" s="5">
        <v>2528.5804624961397</v>
      </c>
      <c r="E883" s="5">
        <f t="shared" si="1"/>
        <v>0</v>
      </c>
      <c r="F883" s="5">
        <f t="shared" si="2"/>
        <v>2528.580462</v>
      </c>
      <c r="G883" s="5" t="s">
        <v>19</v>
      </c>
      <c r="H883" s="5" t="s">
        <v>19</v>
      </c>
      <c r="I883" s="5" t="s">
        <v>19</v>
      </c>
      <c r="J883" s="5">
        <v>116648.07559976463</v>
      </c>
      <c r="K883" s="5">
        <f t="shared" si="3"/>
        <v>116648.0756</v>
      </c>
      <c r="L883" s="5">
        <f t="shared" si="4"/>
        <v>0</v>
      </c>
      <c r="M883" s="5">
        <v>1349.2310829303415</v>
      </c>
      <c r="N883" s="5">
        <f t="shared" si="5"/>
        <v>0</v>
      </c>
      <c r="O883" s="5">
        <f t="shared" si="6"/>
        <v>1349.231083</v>
      </c>
      <c r="P883" s="5">
        <f t="shared" si="9"/>
        <v>120525.8871</v>
      </c>
      <c r="Q883" s="5">
        <f t="shared" si="7"/>
        <v>3877.811545</v>
      </c>
      <c r="R883" s="5">
        <f t="shared" si="8"/>
        <v>116648.0756</v>
      </c>
    </row>
    <row r="884" ht="15.75" customHeight="1">
      <c r="A884" s="4">
        <v>2011.0</v>
      </c>
      <c r="B884" s="4">
        <v>407.0</v>
      </c>
      <c r="C884" s="4" t="s">
        <v>21</v>
      </c>
      <c r="D884" s="5">
        <v>796.6056335099627</v>
      </c>
      <c r="E884" s="5">
        <f t="shared" si="1"/>
        <v>0</v>
      </c>
      <c r="F884" s="5">
        <f t="shared" si="2"/>
        <v>796.6056335</v>
      </c>
      <c r="G884" s="5">
        <v>5849.684566862161</v>
      </c>
      <c r="H884" s="5">
        <v>4456.051291106767</v>
      </c>
      <c r="I884" s="5">
        <v>1393.6332757553937</v>
      </c>
      <c r="J884" s="5">
        <v>164369.23813868067</v>
      </c>
      <c r="K884" s="5">
        <f t="shared" si="3"/>
        <v>164369.2381</v>
      </c>
      <c r="L884" s="5">
        <f t="shared" si="4"/>
        <v>0</v>
      </c>
      <c r="M884" s="5">
        <v>91.30135147648934</v>
      </c>
      <c r="N884" s="5">
        <f t="shared" si="5"/>
        <v>0</v>
      </c>
      <c r="O884" s="5">
        <f t="shared" si="6"/>
        <v>91.30135148</v>
      </c>
      <c r="P884" s="5">
        <f t="shared" si="9"/>
        <v>171106.8297</v>
      </c>
      <c r="Q884" s="5">
        <f t="shared" si="7"/>
        <v>2281.540261</v>
      </c>
      <c r="R884" s="5">
        <f t="shared" si="8"/>
        <v>168825.2894</v>
      </c>
    </row>
    <row r="885" ht="15.75" customHeight="1">
      <c r="A885" s="4">
        <v>2011.0</v>
      </c>
      <c r="B885" s="4">
        <v>408.0</v>
      </c>
      <c r="C885" s="4" t="s">
        <v>21</v>
      </c>
      <c r="D885" s="5" t="s">
        <v>19</v>
      </c>
      <c r="E885" s="5" t="str">
        <f t="shared" si="1"/>
        <v/>
      </c>
      <c r="F885" s="5" t="str">
        <f t="shared" si="2"/>
        <v/>
      </c>
      <c r="G885" s="5">
        <v>3281.373792571252</v>
      </c>
      <c r="H885" s="5">
        <v>1971.787141269678</v>
      </c>
      <c r="I885" s="5">
        <v>1309.5866513015742</v>
      </c>
      <c r="J885" s="5">
        <v>109448.28195946258</v>
      </c>
      <c r="K885" s="5">
        <f t="shared" si="3"/>
        <v>109448.282</v>
      </c>
      <c r="L885" s="5">
        <f t="shared" si="4"/>
        <v>0</v>
      </c>
      <c r="M885" s="5">
        <v>0.0</v>
      </c>
      <c r="N885" s="5">
        <f t="shared" si="5"/>
        <v>0</v>
      </c>
      <c r="O885" s="5">
        <f t="shared" si="6"/>
        <v>0</v>
      </c>
      <c r="P885" s="5">
        <f t="shared" si="9"/>
        <v>112729.6558</v>
      </c>
      <c r="Q885" s="5">
        <f t="shared" si="7"/>
        <v>1309.586651</v>
      </c>
      <c r="R885" s="5">
        <f t="shared" si="8"/>
        <v>111420.0691</v>
      </c>
    </row>
    <row r="886" ht="15.75" customHeight="1">
      <c r="A886" s="4">
        <v>2011.0</v>
      </c>
      <c r="B886" s="4">
        <v>409.0</v>
      </c>
      <c r="C886" s="4" t="s">
        <v>21</v>
      </c>
      <c r="D886" s="5">
        <v>3499.9253962599014</v>
      </c>
      <c r="E886" s="5">
        <f t="shared" si="1"/>
        <v>0</v>
      </c>
      <c r="F886" s="5">
        <f t="shared" si="2"/>
        <v>3499.925396</v>
      </c>
      <c r="G886" s="5">
        <v>20986.42237368042</v>
      </c>
      <c r="H886" s="5">
        <v>16403.965354443873</v>
      </c>
      <c r="I886" s="5">
        <v>4582.457019236546</v>
      </c>
      <c r="J886" s="5">
        <v>97604.43018146759</v>
      </c>
      <c r="K886" s="5">
        <f t="shared" si="3"/>
        <v>97604.43018</v>
      </c>
      <c r="L886" s="5">
        <f t="shared" si="4"/>
        <v>0</v>
      </c>
      <c r="M886" s="5">
        <v>967.1180193435539</v>
      </c>
      <c r="N886" s="5">
        <f t="shared" si="5"/>
        <v>0</v>
      </c>
      <c r="O886" s="5">
        <f t="shared" si="6"/>
        <v>967.1180193</v>
      </c>
      <c r="P886" s="5">
        <f t="shared" si="9"/>
        <v>123057.896</v>
      </c>
      <c r="Q886" s="5">
        <f t="shared" si="7"/>
        <v>9049.500435</v>
      </c>
      <c r="R886" s="5">
        <f t="shared" si="8"/>
        <v>114008.3955</v>
      </c>
    </row>
    <row r="887" ht="15.75" customHeight="1">
      <c r="A887" s="4">
        <v>2011.0</v>
      </c>
      <c r="B887" s="4">
        <v>420.0</v>
      </c>
      <c r="C887" s="4" t="s">
        <v>21</v>
      </c>
      <c r="D887" s="5" t="s">
        <v>19</v>
      </c>
      <c r="E887" s="5" t="str">
        <f t="shared" si="1"/>
        <v/>
      </c>
      <c r="F887" s="5" t="str">
        <f t="shared" si="2"/>
        <v/>
      </c>
      <c r="G887" s="5" t="s">
        <v>19</v>
      </c>
      <c r="H887" s="5" t="s">
        <v>19</v>
      </c>
      <c r="I887" s="5" t="s">
        <v>19</v>
      </c>
      <c r="J887" s="5">
        <v>0.0</v>
      </c>
      <c r="K887" s="5">
        <f t="shared" si="3"/>
        <v>0</v>
      </c>
      <c r="L887" s="5">
        <f t="shared" si="4"/>
        <v>0</v>
      </c>
      <c r="M887" s="5">
        <v>12345.126255659008</v>
      </c>
      <c r="N887" s="5">
        <f t="shared" si="5"/>
        <v>0</v>
      </c>
      <c r="O887" s="5">
        <f t="shared" si="6"/>
        <v>12345.12626</v>
      </c>
      <c r="P887" s="5">
        <f t="shared" si="9"/>
        <v>12345.12626</v>
      </c>
      <c r="Q887" s="5">
        <f t="shared" si="7"/>
        <v>12345.12626</v>
      </c>
      <c r="R887" s="5">
        <f t="shared" si="8"/>
        <v>0</v>
      </c>
    </row>
    <row r="888" ht="15.75" customHeight="1">
      <c r="A888" s="4">
        <v>2011.0</v>
      </c>
      <c r="B888" s="4">
        <v>421.0</v>
      </c>
      <c r="C888" s="4" t="s">
        <v>21</v>
      </c>
      <c r="D888" s="5">
        <v>1563.6083738004584</v>
      </c>
      <c r="E888" s="5">
        <f t="shared" si="1"/>
        <v>0</v>
      </c>
      <c r="F888" s="5">
        <f t="shared" si="2"/>
        <v>1563.608374</v>
      </c>
      <c r="G888" s="5">
        <v>1505.1357892787323</v>
      </c>
      <c r="H888" s="5">
        <v>664.8670691223377</v>
      </c>
      <c r="I888" s="5">
        <v>840.2687201563946</v>
      </c>
      <c r="J888" s="5">
        <v>1033.3262598175397</v>
      </c>
      <c r="K888" s="5">
        <f t="shared" si="3"/>
        <v>1033.32626</v>
      </c>
      <c r="L888" s="5">
        <f t="shared" si="4"/>
        <v>0</v>
      </c>
      <c r="M888" s="5">
        <v>104455.50915217615</v>
      </c>
      <c r="N888" s="5">
        <f t="shared" si="5"/>
        <v>0</v>
      </c>
      <c r="O888" s="5">
        <f t="shared" si="6"/>
        <v>104455.5092</v>
      </c>
      <c r="P888" s="5">
        <f t="shared" si="9"/>
        <v>108557.5796</v>
      </c>
      <c r="Q888" s="5">
        <f t="shared" si="7"/>
        <v>106859.3862</v>
      </c>
      <c r="R888" s="5">
        <f t="shared" si="8"/>
        <v>1698.193329</v>
      </c>
    </row>
    <row r="889" ht="15.75" customHeight="1">
      <c r="A889" s="4">
        <v>2011.0</v>
      </c>
      <c r="B889" s="4">
        <v>422.0</v>
      </c>
      <c r="C889" s="4" t="s">
        <v>21</v>
      </c>
      <c r="D889" s="5">
        <v>469.2264150932877</v>
      </c>
      <c r="E889" s="5">
        <f t="shared" si="1"/>
        <v>0</v>
      </c>
      <c r="F889" s="5">
        <f t="shared" si="2"/>
        <v>469.2264151</v>
      </c>
      <c r="G889" s="5" t="s">
        <v>19</v>
      </c>
      <c r="H889" s="5" t="s">
        <v>19</v>
      </c>
      <c r="I889" s="5" t="s">
        <v>19</v>
      </c>
      <c r="J889" s="5">
        <v>5012.52444033937</v>
      </c>
      <c r="K889" s="5">
        <f t="shared" si="3"/>
        <v>5012.52444</v>
      </c>
      <c r="L889" s="5">
        <f t="shared" si="4"/>
        <v>0</v>
      </c>
      <c r="M889" s="5">
        <v>57543.58132774336</v>
      </c>
      <c r="N889" s="5">
        <f t="shared" si="5"/>
        <v>0</v>
      </c>
      <c r="O889" s="5">
        <f t="shared" si="6"/>
        <v>57543.58133</v>
      </c>
      <c r="P889" s="5">
        <f t="shared" si="9"/>
        <v>63025.33218</v>
      </c>
      <c r="Q889" s="5">
        <f t="shared" si="7"/>
        <v>58012.80774</v>
      </c>
      <c r="R889" s="5">
        <f t="shared" si="8"/>
        <v>5012.52444</v>
      </c>
    </row>
    <row r="890" ht="15.75" customHeight="1">
      <c r="A890" s="4">
        <v>2011.0</v>
      </c>
      <c r="B890" s="4">
        <v>423.0</v>
      </c>
      <c r="C890" s="4" t="s">
        <v>21</v>
      </c>
      <c r="D890" s="5">
        <v>5660.011510867884</v>
      </c>
      <c r="E890" s="5">
        <f t="shared" si="1"/>
        <v>0</v>
      </c>
      <c r="F890" s="5">
        <f t="shared" si="2"/>
        <v>5660.011511</v>
      </c>
      <c r="G890" s="5">
        <v>7079.224462441267</v>
      </c>
      <c r="H890" s="5">
        <v>3933.095614085126</v>
      </c>
      <c r="I890" s="5">
        <v>3146.128848356141</v>
      </c>
      <c r="J890" s="5">
        <v>60877.97055703819</v>
      </c>
      <c r="K890" s="5">
        <f t="shared" si="3"/>
        <v>60877.97056</v>
      </c>
      <c r="L890" s="5">
        <f t="shared" si="4"/>
        <v>0</v>
      </c>
      <c r="M890" s="5">
        <v>199503.19178695325</v>
      </c>
      <c r="N890" s="5">
        <f t="shared" si="5"/>
        <v>0</v>
      </c>
      <c r="O890" s="5">
        <f t="shared" si="6"/>
        <v>199503.1918</v>
      </c>
      <c r="P890" s="5">
        <f t="shared" si="9"/>
        <v>273120.3983</v>
      </c>
      <c r="Q890" s="5">
        <f t="shared" si="7"/>
        <v>208309.3321</v>
      </c>
      <c r="R890" s="5">
        <f t="shared" si="8"/>
        <v>64811.06617</v>
      </c>
    </row>
    <row r="891" ht="15.75" customHeight="1">
      <c r="A891" s="4">
        <v>2011.0</v>
      </c>
      <c r="B891" s="4">
        <v>424.0</v>
      </c>
      <c r="C891" s="4" t="s">
        <v>21</v>
      </c>
      <c r="D891" s="5">
        <v>2276.2363553649197</v>
      </c>
      <c r="E891" s="5">
        <f t="shared" si="1"/>
        <v>0</v>
      </c>
      <c r="F891" s="5">
        <f t="shared" si="2"/>
        <v>2276.236355</v>
      </c>
      <c r="G891" s="5">
        <v>5869.832053805261</v>
      </c>
      <c r="H891" s="5">
        <v>2874.7698526460204</v>
      </c>
      <c r="I891" s="5">
        <v>2995.062201159241</v>
      </c>
      <c r="J891" s="5">
        <v>6688.929031851272</v>
      </c>
      <c r="K891" s="5">
        <f t="shared" si="3"/>
        <v>6688.929032</v>
      </c>
      <c r="L891" s="5">
        <f t="shared" si="4"/>
        <v>0</v>
      </c>
      <c r="M891" s="5">
        <v>54384.960350441106</v>
      </c>
      <c r="N891" s="5">
        <f t="shared" si="5"/>
        <v>0</v>
      </c>
      <c r="O891" s="5">
        <f t="shared" si="6"/>
        <v>54384.96035</v>
      </c>
      <c r="P891" s="5">
        <f t="shared" si="9"/>
        <v>69219.95779</v>
      </c>
      <c r="Q891" s="5">
        <f t="shared" si="7"/>
        <v>59656.25891</v>
      </c>
      <c r="R891" s="5">
        <f t="shared" si="8"/>
        <v>9563.698884</v>
      </c>
    </row>
    <row r="892" ht="15.75" customHeight="1">
      <c r="A892" s="4">
        <v>2011.0</v>
      </c>
      <c r="B892" s="4">
        <v>425.0</v>
      </c>
      <c r="C892" s="4" t="s">
        <v>21</v>
      </c>
      <c r="D892" s="5">
        <v>6386.978393835525</v>
      </c>
      <c r="E892" s="5">
        <f t="shared" si="1"/>
        <v>0</v>
      </c>
      <c r="F892" s="5">
        <f t="shared" si="2"/>
        <v>6386.978394</v>
      </c>
      <c r="G892" s="5">
        <v>3268.7322321363654</v>
      </c>
      <c r="H892" s="5">
        <v>1187.8029937057997</v>
      </c>
      <c r="I892" s="5">
        <v>2080.9292384305654</v>
      </c>
      <c r="J892" s="5">
        <v>0.0</v>
      </c>
      <c r="K892" s="5">
        <f t="shared" si="3"/>
        <v>0</v>
      </c>
      <c r="L892" s="5">
        <f t="shared" si="4"/>
        <v>0</v>
      </c>
      <c r="M892" s="5">
        <v>153470.11555494135</v>
      </c>
      <c r="N892" s="5">
        <f t="shared" si="5"/>
        <v>0</v>
      </c>
      <c r="O892" s="5">
        <f t="shared" si="6"/>
        <v>153470.1156</v>
      </c>
      <c r="P892" s="5">
        <f t="shared" si="9"/>
        <v>163125.8262</v>
      </c>
      <c r="Q892" s="5">
        <f t="shared" si="7"/>
        <v>161938.0232</v>
      </c>
      <c r="R892" s="5">
        <f t="shared" si="8"/>
        <v>1187.802994</v>
      </c>
    </row>
    <row r="893" ht="15.75" customHeight="1">
      <c r="A893" s="4">
        <v>2011.0</v>
      </c>
      <c r="B893" s="4">
        <v>426.0</v>
      </c>
      <c r="C893" s="4" t="s">
        <v>21</v>
      </c>
      <c r="D893" s="5">
        <v>13334.15042671999</v>
      </c>
      <c r="E893" s="5">
        <f t="shared" si="1"/>
        <v>0</v>
      </c>
      <c r="F893" s="5">
        <f t="shared" si="2"/>
        <v>13334.15043</v>
      </c>
      <c r="G893" s="5" t="s">
        <v>19</v>
      </c>
      <c r="H893" s="5" t="s">
        <v>19</v>
      </c>
      <c r="I893" s="5" t="s">
        <v>19</v>
      </c>
      <c r="J893" s="5">
        <v>0.0</v>
      </c>
      <c r="K893" s="5">
        <f t="shared" si="3"/>
        <v>0</v>
      </c>
      <c r="L893" s="5">
        <f t="shared" si="4"/>
        <v>0</v>
      </c>
      <c r="M893" s="5">
        <v>109122.02267208556</v>
      </c>
      <c r="N893" s="5">
        <f t="shared" si="5"/>
        <v>0</v>
      </c>
      <c r="O893" s="5">
        <f t="shared" si="6"/>
        <v>109122.0227</v>
      </c>
      <c r="P893" s="5">
        <f t="shared" si="9"/>
        <v>122456.1731</v>
      </c>
      <c r="Q893" s="5">
        <f t="shared" si="7"/>
        <v>122456.1731</v>
      </c>
      <c r="R893" s="5">
        <f t="shared" si="8"/>
        <v>0</v>
      </c>
    </row>
    <row r="894" ht="15.75" customHeight="1">
      <c r="A894" s="4">
        <v>2011.0</v>
      </c>
      <c r="B894" s="4">
        <v>427.0</v>
      </c>
      <c r="C894" s="4" t="s">
        <v>21</v>
      </c>
      <c r="D894" s="5">
        <v>2762.4227613651938</v>
      </c>
      <c r="E894" s="5">
        <f t="shared" si="1"/>
        <v>0</v>
      </c>
      <c r="F894" s="5">
        <f t="shared" si="2"/>
        <v>2762.422761</v>
      </c>
      <c r="G894" s="5">
        <v>1029.595840107007</v>
      </c>
      <c r="H894" s="5">
        <v>410.3569031793395</v>
      </c>
      <c r="I894" s="5">
        <v>619.2389369276675</v>
      </c>
      <c r="J894" s="5">
        <v>289.92607289844636</v>
      </c>
      <c r="K894" s="5">
        <f t="shared" si="3"/>
        <v>289.9260729</v>
      </c>
      <c r="L894" s="5">
        <f t="shared" si="4"/>
        <v>0</v>
      </c>
      <c r="M894" s="5">
        <v>260807.6364047611</v>
      </c>
      <c r="N894" s="5">
        <f t="shared" si="5"/>
        <v>0</v>
      </c>
      <c r="O894" s="5">
        <f t="shared" si="6"/>
        <v>260807.6364</v>
      </c>
      <c r="P894" s="5">
        <f t="shared" si="9"/>
        <v>264889.5811</v>
      </c>
      <c r="Q894" s="5">
        <f t="shared" si="7"/>
        <v>264189.2981</v>
      </c>
      <c r="R894" s="5">
        <f t="shared" si="8"/>
        <v>700.2829761</v>
      </c>
    </row>
    <row r="895" ht="15.75" customHeight="1">
      <c r="A895" s="4">
        <v>2011.0</v>
      </c>
      <c r="B895" s="4">
        <v>428.0</v>
      </c>
      <c r="C895" s="4" t="s">
        <v>21</v>
      </c>
      <c r="D895" s="5">
        <v>865.9874144930885</v>
      </c>
      <c r="E895" s="5">
        <f t="shared" si="1"/>
        <v>0</v>
      </c>
      <c r="F895" s="5">
        <f t="shared" si="2"/>
        <v>865.9874145</v>
      </c>
      <c r="G895" s="5" t="s">
        <v>19</v>
      </c>
      <c r="H895" s="5" t="s">
        <v>19</v>
      </c>
      <c r="I895" s="5" t="s">
        <v>19</v>
      </c>
      <c r="J895" s="5">
        <v>0.0</v>
      </c>
      <c r="K895" s="5">
        <f t="shared" si="3"/>
        <v>0</v>
      </c>
      <c r="L895" s="5">
        <f t="shared" si="4"/>
        <v>0</v>
      </c>
      <c r="M895" s="5">
        <v>10885.150014919222</v>
      </c>
      <c r="N895" s="5">
        <f t="shared" si="5"/>
        <v>0</v>
      </c>
      <c r="O895" s="5">
        <f t="shared" si="6"/>
        <v>10885.15001</v>
      </c>
      <c r="P895" s="5">
        <f t="shared" si="9"/>
        <v>11751.13743</v>
      </c>
      <c r="Q895" s="5">
        <f t="shared" si="7"/>
        <v>11751.13743</v>
      </c>
      <c r="R895" s="5">
        <f t="shared" si="8"/>
        <v>0</v>
      </c>
    </row>
    <row r="896" ht="15.75" customHeight="1">
      <c r="A896" s="4">
        <v>2011.0</v>
      </c>
      <c r="B896" s="4">
        <v>429.0</v>
      </c>
      <c r="C896" s="4" t="s">
        <v>21</v>
      </c>
      <c r="D896" s="5">
        <v>11391.460559192466</v>
      </c>
      <c r="E896" s="5">
        <f t="shared" si="1"/>
        <v>0</v>
      </c>
      <c r="F896" s="5">
        <f t="shared" si="2"/>
        <v>11391.46056</v>
      </c>
      <c r="G896" s="5">
        <v>8387.379061974825</v>
      </c>
      <c r="H896" s="5">
        <v>6511.391245875776</v>
      </c>
      <c r="I896" s="5">
        <v>1875.9878160990493</v>
      </c>
      <c r="J896" s="5">
        <v>0.0</v>
      </c>
      <c r="K896" s="5">
        <f t="shared" si="3"/>
        <v>0</v>
      </c>
      <c r="L896" s="5">
        <f t="shared" si="4"/>
        <v>0</v>
      </c>
      <c r="M896" s="5">
        <v>4346.113406857701</v>
      </c>
      <c r="N896" s="5">
        <f t="shared" si="5"/>
        <v>0</v>
      </c>
      <c r="O896" s="5">
        <f t="shared" si="6"/>
        <v>4346.113407</v>
      </c>
      <c r="P896" s="5">
        <f t="shared" si="9"/>
        <v>24124.95303</v>
      </c>
      <c r="Q896" s="5">
        <f t="shared" si="7"/>
        <v>17613.56178</v>
      </c>
      <c r="R896" s="5">
        <f t="shared" si="8"/>
        <v>6511.391246</v>
      </c>
    </row>
    <row r="897" ht="15.75" customHeight="1">
      <c r="A897" s="4">
        <v>2011.0</v>
      </c>
      <c r="B897" s="4">
        <v>500.0</v>
      </c>
      <c r="C897" s="4" t="s">
        <v>22</v>
      </c>
      <c r="D897" s="5">
        <v>3048.329910870458</v>
      </c>
      <c r="E897" s="5">
        <f t="shared" si="1"/>
        <v>0</v>
      </c>
      <c r="F897" s="5">
        <f t="shared" si="2"/>
        <v>3048.329911</v>
      </c>
      <c r="G897" s="5">
        <v>17072.76498371746</v>
      </c>
      <c r="H897" s="5">
        <v>10587.193609748947</v>
      </c>
      <c r="I897" s="5">
        <v>6485.571373968514</v>
      </c>
      <c r="J897" s="5">
        <v>99362.78645813398</v>
      </c>
      <c r="K897" s="5">
        <f t="shared" si="3"/>
        <v>99362.78646</v>
      </c>
      <c r="L897" s="5">
        <f t="shared" si="4"/>
        <v>0</v>
      </c>
      <c r="M897" s="5">
        <v>14705.067593442385</v>
      </c>
      <c r="N897" s="5">
        <f t="shared" si="5"/>
        <v>0</v>
      </c>
      <c r="O897" s="5">
        <f t="shared" si="6"/>
        <v>14705.06759</v>
      </c>
      <c r="P897" s="5">
        <f t="shared" si="9"/>
        <v>134188.9489</v>
      </c>
      <c r="Q897" s="5">
        <f t="shared" si="7"/>
        <v>24238.96888</v>
      </c>
      <c r="R897" s="5">
        <f t="shared" si="8"/>
        <v>109949.9801</v>
      </c>
    </row>
    <row r="898" ht="15.75" customHeight="1">
      <c r="A898" s="4">
        <v>2011.0</v>
      </c>
      <c r="B898" s="4">
        <v>501.0</v>
      </c>
      <c r="C898" s="4" t="s">
        <v>22</v>
      </c>
      <c r="D898" s="5">
        <v>2983.4165822744094</v>
      </c>
      <c r="E898" s="5">
        <f t="shared" si="1"/>
        <v>0</v>
      </c>
      <c r="F898" s="5">
        <f t="shared" si="2"/>
        <v>2983.416582</v>
      </c>
      <c r="G898" s="5">
        <v>11395.05008175567</v>
      </c>
      <c r="H898" s="5">
        <v>4853.136488133211</v>
      </c>
      <c r="I898" s="5">
        <v>6541.913593622458</v>
      </c>
      <c r="J898" s="5">
        <v>41313.62671453253</v>
      </c>
      <c r="K898" s="5">
        <f t="shared" si="3"/>
        <v>41313.62671</v>
      </c>
      <c r="L898" s="5">
        <f t="shared" si="4"/>
        <v>0</v>
      </c>
      <c r="M898" s="5">
        <v>5720.947514276157</v>
      </c>
      <c r="N898" s="5">
        <f t="shared" si="5"/>
        <v>0</v>
      </c>
      <c r="O898" s="5">
        <f t="shared" si="6"/>
        <v>5720.947514</v>
      </c>
      <c r="P898" s="5">
        <f t="shared" si="9"/>
        <v>61413.04089</v>
      </c>
      <c r="Q898" s="5">
        <f t="shared" si="7"/>
        <v>15246.27769</v>
      </c>
      <c r="R898" s="5">
        <f t="shared" si="8"/>
        <v>46166.7632</v>
      </c>
    </row>
    <row r="899" ht="15.75" customHeight="1">
      <c r="A899" s="4">
        <v>2011.0</v>
      </c>
      <c r="B899" s="4">
        <v>502.0</v>
      </c>
      <c r="C899" s="4" t="s">
        <v>22</v>
      </c>
      <c r="D899" s="5">
        <v>9960.30113977775</v>
      </c>
      <c r="E899" s="5">
        <f t="shared" si="1"/>
        <v>0</v>
      </c>
      <c r="F899" s="5">
        <f t="shared" si="2"/>
        <v>9960.30114</v>
      </c>
      <c r="G899" s="5">
        <v>6116.814823198547</v>
      </c>
      <c r="H899" s="5">
        <v>4687.903048753302</v>
      </c>
      <c r="I899" s="5">
        <v>1428.911774445245</v>
      </c>
      <c r="J899" s="5">
        <v>404.3748128665501</v>
      </c>
      <c r="K899" s="5">
        <f t="shared" si="3"/>
        <v>404.3748129</v>
      </c>
      <c r="L899" s="5">
        <f t="shared" si="4"/>
        <v>0</v>
      </c>
      <c r="M899" s="5">
        <v>532.5576700063446</v>
      </c>
      <c r="N899" s="5">
        <f t="shared" si="5"/>
        <v>0</v>
      </c>
      <c r="O899" s="5">
        <f t="shared" si="6"/>
        <v>532.55767</v>
      </c>
      <c r="P899" s="5">
        <f t="shared" si="9"/>
        <v>17014.04845</v>
      </c>
      <c r="Q899" s="5">
        <f t="shared" si="7"/>
        <v>11921.77058</v>
      </c>
      <c r="R899" s="5">
        <f t="shared" si="8"/>
        <v>5092.277862</v>
      </c>
    </row>
    <row r="900" ht="15.75" customHeight="1">
      <c r="A900" s="4">
        <v>2011.0</v>
      </c>
      <c r="B900" s="4">
        <v>503.0</v>
      </c>
      <c r="C900" s="4" t="s">
        <v>22</v>
      </c>
      <c r="D900" s="5">
        <v>2053.857716778989</v>
      </c>
      <c r="E900" s="5">
        <f t="shared" si="1"/>
        <v>0</v>
      </c>
      <c r="F900" s="5">
        <f t="shared" si="2"/>
        <v>2053.857717</v>
      </c>
      <c r="G900" s="5">
        <v>1319.6829383166996</v>
      </c>
      <c r="H900" s="5">
        <v>821.0036519189218</v>
      </c>
      <c r="I900" s="5">
        <v>498.6792863977778</v>
      </c>
      <c r="J900" s="5">
        <v>5151.927675354546</v>
      </c>
      <c r="K900" s="5">
        <f t="shared" si="3"/>
        <v>5151.927675</v>
      </c>
      <c r="L900" s="5">
        <f t="shared" si="4"/>
        <v>0</v>
      </c>
      <c r="M900" s="5">
        <v>10022.309303383401</v>
      </c>
      <c r="N900" s="5">
        <f t="shared" si="5"/>
        <v>0</v>
      </c>
      <c r="O900" s="5">
        <f t="shared" si="6"/>
        <v>10022.3093</v>
      </c>
      <c r="P900" s="5">
        <f t="shared" si="9"/>
        <v>18547.77763</v>
      </c>
      <c r="Q900" s="5">
        <f t="shared" si="7"/>
        <v>12574.84631</v>
      </c>
      <c r="R900" s="5">
        <f t="shared" si="8"/>
        <v>5972.931327</v>
      </c>
    </row>
    <row r="901" ht="15.75" customHeight="1">
      <c r="A901" s="4">
        <v>2011.0</v>
      </c>
      <c r="B901" s="4">
        <v>504.0</v>
      </c>
      <c r="C901" s="4" t="s">
        <v>22</v>
      </c>
      <c r="D901" s="5">
        <v>6353.197296352503</v>
      </c>
      <c r="E901" s="5">
        <f t="shared" si="1"/>
        <v>0</v>
      </c>
      <c r="F901" s="5">
        <f t="shared" si="2"/>
        <v>6353.197296</v>
      </c>
      <c r="G901" s="5">
        <v>20898.703567003635</v>
      </c>
      <c r="H901" s="5">
        <v>11148.29221104709</v>
      </c>
      <c r="I901" s="5">
        <v>9750.411355956545</v>
      </c>
      <c r="J901" s="5">
        <v>31014.392790256206</v>
      </c>
      <c r="K901" s="5">
        <f t="shared" si="3"/>
        <v>31014.39279</v>
      </c>
      <c r="L901" s="5">
        <f t="shared" si="4"/>
        <v>0</v>
      </c>
      <c r="M901" s="5">
        <v>140952.5242131743</v>
      </c>
      <c r="N901" s="5">
        <f t="shared" si="5"/>
        <v>0</v>
      </c>
      <c r="O901" s="5">
        <f t="shared" si="6"/>
        <v>140952.5242</v>
      </c>
      <c r="P901" s="5">
        <f t="shared" si="9"/>
        <v>199218.8179</v>
      </c>
      <c r="Q901" s="5">
        <f t="shared" si="7"/>
        <v>157056.1329</v>
      </c>
      <c r="R901" s="5">
        <f t="shared" si="8"/>
        <v>42162.685</v>
      </c>
    </row>
    <row r="902" ht="15.75" customHeight="1">
      <c r="A902" s="4">
        <v>2011.0</v>
      </c>
      <c r="B902" s="4">
        <v>505.0</v>
      </c>
      <c r="C902" s="4" t="s">
        <v>22</v>
      </c>
      <c r="D902" s="5">
        <v>3899.9927820506205</v>
      </c>
      <c r="E902" s="5">
        <f t="shared" si="1"/>
        <v>0</v>
      </c>
      <c r="F902" s="5">
        <f t="shared" si="2"/>
        <v>3899.992782</v>
      </c>
      <c r="G902" s="5">
        <v>20564.41367897932</v>
      </c>
      <c r="H902" s="5">
        <v>6191.964262454985</v>
      </c>
      <c r="I902" s="5">
        <v>14372.449416524334</v>
      </c>
      <c r="J902" s="5">
        <v>2056.534762578455</v>
      </c>
      <c r="K902" s="5">
        <f t="shared" si="3"/>
        <v>2056.534763</v>
      </c>
      <c r="L902" s="5">
        <f t="shared" si="4"/>
        <v>0</v>
      </c>
      <c r="M902" s="5">
        <v>7639.859310843016</v>
      </c>
      <c r="N902" s="5">
        <f t="shared" si="5"/>
        <v>0</v>
      </c>
      <c r="O902" s="5">
        <f t="shared" si="6"/>
        <v>7639.859311</v>
      </c>
      <c r="P902" s="5">
        <f t="shared" si="9"/>
        <v>34160.80053</v>
      </c>
      <c r="Q902" s="5">
        <f t="shared" si="7"/>
        <v>25912.30151</v>
      </c>
      <c r="R902" s="5">
        <f t="shared" si="8"/>
        <v>8248.499025</v>
      </c>
    </row>
    <row r="903" ht="15.75" customHeight="1">
      <c r="A903" s="4">
        <v>2011.0</v>
      </c>
      <c r="B903" s="4">
        <v>506.0</v>
      </c>
      <c r="C903" s="4" t="s">
        <v>22</v>
      </c>
      <c r="D903" s="5">
        <v>9282.08668260623</v>
      </c>
      <c r="E903" s="5">
        <f t="shared" si="1"/>
        <v>0</v>
      </c>
      <c r="F903" s="5">
        <f t="shared" si="2"/>
        <v>9282.086683</v>
      </c>
      <c r="G903" s="5">
        <v>15030.384345997532</v>
      </c>
      <c r="H903" s="5">
        <v>7448.01643877971</v>
      </c>
      <c r="I903" s="5">
        <v>7582.367907217822</v>
      </c>
      <c r="J903" s="5">
        <v>62671.16385466613</v>
      </c>
      <c r="K903" s="5">
        <f t="shared" si="3"/>
        <v>62671.16385</v>
      </c>
      <c r="L903" s="5">
        <f t="shared" si="4"/>
        <v>0</v>
      </c>
      <c r="M903" s="5">
        <v>5806.497578385975</v>
      </c>
      <c r="N903" s="5">
        <f t="shared" si="5"/>
        <v>0</v>
      </c>
      <c r="O903" s="5">
        <f t="shared" si="6"/>
        <v>5806.497578</v>
      </c>
      <c r="P903" s="5">
        <f t="shared" si="9"/>
        <v>92790.13246</v>
      </c>
      <c r="Q903" s="5">
        <f t="shared" si="7"/>
        <v>22670.95217</v>
      </c>
      <c r="R903" s="5">
        <f t="shared" si="8"/>
        <v>70119.18029</v>
      </c>
    </row>
    <row r="904" ht="15.75" customHeight="1">
      <c r="A904" s="4">
        <v>2011.0</v>
      </c>
      <c r="B904" s="4">
        <v>507.0</v>
      </c>
      <c r="C904" s="4" t="s">
        <v>22</v>
      </c>
      <c r="D904" s="5" t="s">
        <v>19</v>
      </c>
      <c r="E904" s="5" t="str">
        <f t="shared" si="1"/>
        <v/>
      </c>
      <c r="F904" s="5" t="str">
        <f t="shared" si="2"/>
        <v/>
      </c>
      <c r="G904" s="5" t="s">
        <v>19</v>
      </c>
      <c r="H904" s="5" t="s">
        <v>19</v>
      </c>
      <c r="I904" s="5" t="s">
        <v>19</v>
      </c>
      <c r="J904" s="5">
        <v>0.0</v>
      </c>
      <c r="K904" s="5">
        <f t="shared" si="3"/>
        <v>0</v>
      </c>
      <c r="L904" s="5">
        <f t="shared" si="4"/>
        <v>0</v>
      </c>
      <c r="M904" s="5">
        <v>0.0</v>
      </c>
      <c r="N904" s="5">
        <f t="shared" si="5"/>
        <v>0</v>
      </c>
      <c r="O904" s="5">
        <f t="shared" si="6"/>
        <v>0</v>
      </c>
      <c r="P904" s="5">
        <f t="shared" si="9"/>
        <v>0</v>
      </c>
      <c r="Q904" s="5">
        <f t="shared" si="7"/>
        <v>0</v>
      </c>
      <c r="R904" s="5">
        <f t="shared" si="8"/>
        <v>0</v>
      </c>
    </row>
    <row r="905" ht="15.75" customHeight="1">
      <c r="A905" s="4">
        <v>2011.0</v>
      </c>
      <c r="B905" s="4">
        <v>508.0</v>
      </c>
      <c r="C905" s="4" t="s">
        <v>22</v>
      </c>
      <c r="D905" s="5">
        <v>3814.3071883038365</v>
      </c>
      <c r="E905" s="5">
        <f t="shared" si="1"/>
        <v>0</v>
      </c>
      <c r="F905" s="5">
        <f t="shared" si="2"/>
        <v>3814.307188</v>
      </c>
      <c r="G905" s="5">
        <v>13152.144859296222</v>
      </c>
      <c r="H905" s="5">
        <v>3969.475203853277</v>
      </c>
      <c r="I905" s="5">
        <v>9182.669655442945</v>
      </c>
      <c r="J905" s="5">
        <v>0.0</v>
      </c>
      <c r="K905" s="5">
        <f t="shared" si="3"/>
        <v>0</v>
      </c>
      <c r="L905" s="5">
        <f t="shared" si="4"/>
        <v>0</v>
      </c>
      <c r="M905" s="5">
        <v>47504.144164565936</v>
      </c>
      <c r="N905" s="5">
        <f t="shared" si="5"/>
        <v>0</v>
      </c>
      <c r="O905" s="5">
        <f t="shared" si="6"/>
        <v>47504.14416</v>
      </c>
      <c r="P905" s="5">
        <f t="shared" si="9"/>
        <v>64470.59621</v>
      </c>
      <c r="Q905" s="5">
        <f t="shared" si="7"/>
        <v>60501.12101</v>
      </c>
      <c r="R905" s="5">
        <f t="shared" si="8"/>
        <v>3969.475204</v>
      </c>
    </row>
    <row r="906" ht="15.75" customHeight="1">
      <c r="A906" s="4">
        <v>2011.0</v>
      </c>
      <c r="B906" s="4">
        <v>520.0</v>
      </c>
      <c r="C906" s="4" t="s">
        <v>22</v>
      </c>
      <c r="D906" s="5">
        <v>1058.346909429982</v>
      </c>
      <c r="E906" s="5">
        <f t="shared" si="1"/>
        <v>0</v>
      </c>
      <c r="F906" s="5">
        <f t="shared" si="2"/>
        <v>1058.346909</v>
      </c>
      <c r="G906" s="5">
        <v>6388.347779919917</v>
      </c>
      <c r="H906" s="5">
        <v>2722.4691611388353</v>
      </c>
      <c r="I906" s="5">
        <v>3665.878618781082</v>
      </c>
      <c r="J906" s="5">
        <v>29835.582442919796</v>
      </c>
      <c r="K906" s="5">
        <f t="shared" si="3"/>
        <v>29835.58244</v>
      </c>
      <c r="L906" s="5">
        <f t="shared" si="4"/>
        <v>0</v>
      </c>
      <c r="M906" s="5">
        <v>239220.81532394438</v>
      </c>
      <c r="N906" s="5">
        <f t="shared" si="5"/>
        <v>0</v>
      </c>
      <c r="O906" s="5">
        <f t="shared" si="6"/>
        <v>239220.8153</v>
      </c>
      <c r="P906" s="5">
        <f t="shared" si="9"/>
        <v>276503.0925</v>
      </c>
      <c r="Q906" s="5">
        <f t="shared" si="7"/>
        <v>243945.0409</v>
      </c>
      <c r="R906" s="5">
        <f t="shared" si="8"/>
        <v>32558.0516</v>
      </c>
    </row>
    <row r="907" ht="15.75" customHeight="1">
      <c r="A907" s="4">
        <v>2011.0</v>
      </c>
      <c r="B907" s="4">
        <v>521.0</v>
      </c>
      <c r="C907" s="4" t="s">
        <v>22</v>
      </c>
      <c r="D907" s="5">
        <v>6808.109903153613</v>
      </c>
      <c r="E907" s="5">
        <f t="shared" si="1"/>
        <v>0</v>
      </c>
      <c r="F907" s="5">
        <f t="shared" si="2"/>
        <v>6808.109903</v>
      </c>
      <c r="G907" s="5">
        <v>8130.100870931508</v>
      </c>
      <c r="H907" s="5">
        <v>2969.5348585674105</v>
      </c>
      <c r="I907" s="5">
        <v>5160.566012364097</v>
      </c>
      <c r="J907" s="5">
        <v>1494.2612132592517</v>
      </c>
      <c r="K907" s="5">
        <f t="shared" si="3"/>
        <v>1494.261213</v>
      </c>
      <c r="L907" s="5">
        <f t="shared" si="4"/>
        <v>0</v>
      </c>
      <c r="M907" s="5">
        <v>29893.953178932134</v>
      </c>
      <c r="N907" s="5">
        <f t="shared" si="5"/>
        <v>0</v>
      </c>
      <c r="O907" s="5">
        <f t="shared" si="6"/>
        <v>29893.95318</v>
      </c>
      <c r="P907" s="5">
        <f t="shared" si="9"/>
        <v>46326.42517</v>
      </c>
      <c r="Q907" s="5">
        <f t="shared" si="7"/>
        <v>41862.62909</v>
      </c>
      <c r="R907" s="5">
        <f t="shared" si="8"/>
        <v>4463.796072</v>
      </c>
    </row>
    <row r="908" ht="15.75" customHeight="1">
      <c r="A908" s="4">
        <v>2011.0</v>
      </c>
      <c r="B908" s="4">
        <v>522.0</v>
      </c>
      <c r="C908" s="4" t="s">
        <v>22</v>
      </c>
      <c r="D908" s="5">
        <v>7478.015454264839</v>
      </c>
      <c r="E908" s="5">
        <f t="shared" si="1"/>
        <v>0</v>
      </c>
      <c r="F908" s="5">
        <f t="shared" si="2"/>
        <v>7478.015454</v>
      </c>
      <c r="G908" s="5" t="s">
        <v>19</v>
      </c>
      <c r="H908" s="5" t="s">
        <v>19</v>
      </c>
      <c r="I908" s="5" t="s">
        <v>19</v>
      </c>
      <c r="J908" s="5">
        <v>0.0</v>
      </c>
      <c r="K908" s="5">
        <f t="shared" si="3"/>
        <v>0</v>
      </c>
      <c r="L908" s="5">
        <f t="shared" si="4"/>
        <v>0</v>
      </c>
      <c r="M908" s="5">
        <v>12080.964232559923</v>
      </c>
      <c r="N908" s="5">
        <f t="shared" si="5"/>
        <v>0</v>
      </c>
      <c r="O908" s="5">
        <f t="shared" si="6"/>
        <v>12080.96423</v>
      </c>
      <c r="P908" s="5">
        <f t="shared" si="9"/>
        <v>19558.97969</v>
      </c>
      <c r="Q908" s="5">
        <f t="shared" si="7"/>
        <v>19558.97969</v>
      </c>
      <c r="R908" s="5">
        <f t="shared" si="8"/>
        <v>0</v>
      </c>
    </row>
    <row r="909" ht="15.75" customHeight="1">
      <c r="A909" s="4">
        <v>2011.0</v>
      </c>
      <c r="B909" s="4">
        <v>523.0</v>
      </c>
      <c r="C909" s="4" t="s">
        <v>22</v>
      </c>
      <c r="D909" s="5">
        <v>9293.511428439135</v>
      </c>
      <c r="E909" s="5">
        <f t="shared" si="1"/>
        <v>0</v>
      </c>
      <c r="F909" s="5">
        <f t="shared" si="2"/>
        <v>9293.511428</v>
      </c>
      <c r="G909" s="5">
        <v>5555.775801265563</v>
      </c>
      <c r="H909" s="5">
        <v>2585.7444479884766</v>
      </c>
      <c r="I909" s="5">
        <v>2970.0313532770865</v>
      </c>
      <c r="J909" s="5">
        <v>38.511886939671435</v>
      </c>
      <c r="K909" s="5">
        <f t="shared" si="3"/>
        <v>38.51188694</v>
      </c>
      <c r="L909" s="5">
        <f t="shared" si="4"/>
        <v>0</v>
      </c>
      <c r="M909" s="5">
        <v>124195.00492229557</v>
      </c>
      <c r="N909" s="5">
        <f t="shared" si="5"/>
        <v>0</v>
      </c>
      <c r="O909" s="5">
        <f t="shared" si="6"/>
        <v>124195.0049</v>
      </c>
      <c r="P909" s="5">
        <f t="shared" si="9"/>
        <v>139082.804</v>
      </c>
      <c r="Q909" s="5">
        <f t="shared" si="7"/>
        <v>136458.5477</v>
      </c>
      <c r="R909" s="5">
        <f t="shared" si="8"/>
        <v>2624.256335</v>
      </c>
    </row>
    <row r="910" ht="15.75" customHeight="1">
      <c r="A910" s="4">
        <v>2011.0</v>
      </c>
      <c r="B910" s="4">
        <v>524.0</v>
      </c>
      <c r="C910" s="4" t="s">
        <v>22</v>
      </c>
      <c r="D910" s="5">
        <v>4338.2875767311425</v>
      </c>
      <c r="E910" s="5">
        <f t="shared" si="1"/>
        <v>0</v>
      </c>
      <c r="F910" s="5">
        <f t="shared" si="2"/>
        <v>4338.287577</v>
      </c>
      <c r="G910" s="5">
        <v>6809.921437905134</v>
      </c>
      <c r="H910" s="5">
        <v>3119.5755598312585</v>
      </c>
      <c r="I910" s="5">
        <v>3690.345878073875</v>
      </c>
      <c r="J910" s="5">
        <v>7752.44284095586</v>
      </c>
      <c r="K910" s="5">
        <f t="shared" si="3"/>
        <v>7752.442841</v>
      </c>
      <c r="L910" s="5">
        <f t="shared" si="4"/>
        <v>0</v>
      </c>
      <c r="M910" s="5">
        <v>202770.35294880287</v>
      </c>
      <c r="N910" s="5">
        <f t="shared" si="5"/>
        <v>0</v>
      </c>
      <c r="O910" s="5">
        <f t="shared" si="6"/>
        <v>202770.3529</v>
      </c>
      <c r="P910" s="5">
        <f t="shared" si="9"/>
        <v>221671.0048</v>
      </c>
      <c r="Q910" s="5">
        <f t="shared" si="7"/>
        <v>210798.9864</v>
      </c>
      <c r="R910" s="5">
        <f t="shared" si="8"/>
        <v>10872.0184</v>
      </c>
    </row>
    <row r="911" ht="15.75" customHeight="1">
      <c r="A911" s="4">
        <v>2011.0</v>
      </c>
      <c r="B911" s="4">
        <v>525.0</v>
      </c>
      <c r="C911" s="4" t="s">
        <v>22</v>
      </c>
      <c r="D911" s="5" t="s">
        <v>19</v>
      </c>
      <c r="E911" s="5" t="str">
        <f t="shared" si="1"/>
        <v/>
      </c>
      <c r="F911" s="5" t="str">
        <f t="shared" si="2"/>
        <v/>
      </c>
      <c r="G911" s="5" t="s">
        <v>19</v>
      </c>
      <c r="H911" s="5" t="s">
        <v>19</v>
      </c>
      <c r="I911" s="5" t="s">
        <v>19</v>
      </c>
      <c r="J911" s="5">
        <v>0.0</v>
      </c>
      <c r="K911" s="5">
        <f t="shared" si="3"/>
        <v>0</v>
      </c>
      <c r="L911" s="5">
        <f t="shared" si="4"/>
        <v>0</v>
      </c>
      <c r="M911" s="5">
        <v>12557.113394159198</v>
      </c>
      <c r="N911" s="5">
        <f t="shared" si="5"/>
        <v>0</v>
      </c>
      <c r="O911" s="5">
        <f t="shared" si="6"/>
        <v>12557.11339</v>
      </c>
      <c r="P911" s="5">
        <f t="shared" si="9"/>
        <v>12557.11339</v>
      </c>
      <c r="Q911" s="5">
        <f t="shared" si="7"/>
        <v>12557.11339</v>
      </c>
      <c r="R911" s="5">
        <f t="shared" si="8"/>
        <v>0</v>
      </c>
    </row>
    <row r="912" ht="15.75" customHeight="1">
      <c r="A912" s="4">
        <v>2011.0</v>
      </c>
      <c r="B912" s="4">
        <v>526.0</v>
      </c>
      <c r="C912" s="4" t="s">
        <v>22</v>
      </c>
      <c r="D912" s="5">
        <v>1560.5164194490167</v>
      </c>
      <c r="E912" s="5">
        <f t="shared" si="1"/>
        <v>0</v>
      </c>
      <c r="F912" s="5">
        <f t="shared" si="2"/>
        <v>1560.516419</v>
      </c>
      <c r="G912" s="5">
        <v>9761.085992214565</v>
      </c>
      <c r="H912" s="5">
        <v>6751.335062163462</v>
      </c>
      <c r="I912" s="5">
        <v>3009.750930051103</v>
      </c>
      <c r="J912" s="5">
        <v>1232.380382069486</v>
      </c>
      <c r="K912" s="5">
        <f t="shared" si="3"/>
        <v>1232.380382</v>
      </c>
      <c r="L912" s="5">
        <f t="shared" si="4"/>
        <v>0</v>
      </c>
      <c r="M912" s="5">
        <v>58878.72390362945</v>
      </c>
      <c r="N912" s="5">
        <f t="shared" si="5"/>
        <v>0</v>
      </c>
      <c r="O912" s="5">
        <f t="shared" si="6"/>
        <v>58878.7239</v>
      </c>
      <c r="P912" s="5">
        <f t="shared" si="9"/>
        <v>71432.7067</v>
      </c>
      <c r="Q912" s="5">
        <f t="shared" si="7"/>
        <v>63448.99125</v>
      </c>
      <c r="R912" s="5">
        <f t="shared" si="8"/>
        <v>7983.715444</v>
      </c>
    </row>
    <row r="913" ht="15.75" customHeight="1">
      <c r="A913" s="4">
        <v>2011.0</v>
      </c>
      <c r="B913" s="4">
        <v>527.0</v>
      </c>
      <c r="C913" s="4" t="s">
        <v>22</v>
      </c>
      <c r="D913" s="5" t="s">
        <v>19</v>
      </c>
      <c r="E913" s="5" t="str">
        <f t="shared" si="1"/>
        <v/>
      </c>
      <c r="F913" s="5" t="str">
        <f t="shared" si="2"/>
        <v/>
      </c>
      <c r="G913" s="5" t="s">
        <v>19</v>
      </c>
      <c r="H913" s="5" t="s">
        <v>19</v>
      </c>
      <c r="I913" s="5" t="s">
        <v>19</v>
      </c>
      <c r="J913" s="5">
        <v>0.0</v>
      </c>
      <c r="K913" s="5">
        <f t="shared" si="3"/>
        <v>0</v>
      </c>
      <c r="L913" s="5">
        <f t="shared" si="4"/>
        <v>0</v>
      </c>
      <c r="M913" s="5">
        <v>0.0</v>
      </c>
      <c r="N913" s="5">
        <f t="shared" si="5"/>
        <v>0</v>
      </c>
      <c r="O913" s="5">
        <f t="shared" si="6"/>
        <v>0</v>
      </c>
      <c r="P913" s="5">
        <f t="shared" si="9"/>
        <v>0</v>
      </c>
      <c r="Q913" s="5">
        <f t="shared" si="7"/>
        <v>0</v>
      </c>
      <c r="R913" s="5">
        <f t="shared" si="8"/>
        <v>0</v>
      </c>
    </row>
    <row r="914" ht="15.75" customHeight="1">
      <c r="A914" s="4">
        <v>2011.0</v>
      </c>
      <c r="B914" s="4">
        <v>528.0</v>
      </c>
      <c r="C914" s="4" t="s">
        <v>22</v>
      </c>
      <c r="D914" s="5" t="s">
        <v>19</v>
      </c>
      <c r="E914" s="5" t="str">
        <f t="shared" si="1"/>
        <v/>
      </c>
      <c r="F914" s="5" t="str">
        <f t="shared" si="2"/>
        <v/>
      </c>
      <c r="G914" s="5" t="s">
        <v>19</v>
      </c>
      <c r="H914" s="5" t="s">
        <v>19</v>
      </c>
      <c r="I914" s="5" t="s">
        <v>19</v>
      </c>
      <c r="J914" s="5">
        <v>0.0</v>
      </c>
      <c r="K914" s="5">
        <f t="shared" si="3"/>
        <v>0</v>
      </c>
      <c r="L914" s="5">
        <f t="shared" si="4"/>
        <v>0</v>
      </c>
      <c r="M914" s="5">
        <v>3039.4131342602086</v>
      </c>
      <c r="N914" s="5">
        <f t="shared" si="5"/>
        <v>0</v>
      </c>
      <c r="O914" s="5">
        <f t="shared" si="6"/>
        <v>3039.413134</v>
      </c>
      <c r="P914" s="5">
        <f t="shared" si="9"/>
        <v>3039.413134</v>
      </c>
      <c r="Q914" s="5">
        <f t="shared" si="7"/>
        <v>3039.413134</v>
      </c>
      <c r="R914" s="5">
        <f t="shared" si="8"/>
        <v>0</v>
      </c>
    </row>
    <row r="915" ht="15.75" customHeight="1">
      <c r="A915" s="4">
        <v>2010.0</v>
      </c>
      <c r="B915" s="4">
        <v>100.0</v>
      </c>
      <c r="C915" s="4" t="s">
        <v>18</v>
      </c>
      <c r="D915" s="5">
        <v>6958.835661814813</v>
      </c>
      <c r="E915" s="5">
        <f t="shared" si="1"/>
        <v>0</v>
      </c>
      <c r="F915" s="5">
        <f t="shared" si="2"/>
        <v>6958.835662</v>
      </c>
      <c r="G915" s="5">
        <v>2575.3206649999556</v>
      </c>
      <c r="H915" s="5">
        <v>1420.4743230228564</v>
      </c>
      <c r="I915" s="5">
        <v>1154.8463419770992</v>
      </c>
      <c r="J915" s="5">
        <v>25373.018637654917</v>
      </c>
      <c r="K915" s="5">
        <f t="shared" si="3"/>
        <v>25373.01864</v>
      </c>
      <c r="L915" s="5">
        <f t="shared" si="4"/>
        <v>0</v>
      </c>
      <c r="M915" s="5">
        <v>77007.61957194583</v>
      </c>
      <c r="N915" s="5">
        <f t="shared" si="5"/>
        <v>0</v>
      </c>
      <c r="O915" s="5">
        <f t="shared" si="6"/>
        <v>77007.61957</v>
      </c>
      <c r="P915" s="5">
        <f t="shared" si="9"/>
        <v>111914.7945</v>
      </c>
      <c r="Q915" s="5">
        <f t="shared" si="7"/>
        <v>85121.30158</v>
      </c>
      <c r="R915" s="5">
        <f t="shared" si="8"/>
        <v>26793.49296</v>
      </c>
    </row>
    <row r="916" ht="15.75" customHeight="1">
      <c r="A916" s="4">
        <v>2010.0</v>
      </c>
      <c r="B916" s="4">
        <v>101.0</v>
      </c>
      <c r="C916" s="4" t="s">
        <v>18</v>
      </c>
      <c r="D916" s="5">
        <v>20948.969904125985</v>
      </c>
      <c r="E916" s="5">
        <f t="shared" si="1"/>
        <v>0</v>
      </c>
      <c r="F916" s="5">
        <f t="shared" si="2"/>
        <v>20948.9699</v>
      </c>
      <c r="G916" s="5">
        <v>26211.54814121373</v>
      </c>
      <c r="H916" s="5">
        <v>9504.040037104192</v>
      </c>
      <c r="I916" s="5">
        <v>16707.50810410954</v>
      </c>
      <c r="J916" s="5">
        <v>542019.2560267781</v>
      </c>
      <c r="K916" s="5">
        <f t="shared" si="3"/>
        <v>542019.256</v>
      </c>
      <c r="L916" s="5">
        <f t="shared" si="4"/>
        <v>0</v>
      </c>
      <c r="M916" s="5">
        <v>124517.30748867936</v>
      </c>
      <c r="N916" s="5">
        <f t="shared" si="5"/>
        <v>0</v>
      </c>
      <c r="O916" s="5">
        <f t="shared" si="6"/>
        <v>124517.3075</v>
      </c>
      <c r="P916" s="5">
        <f t="shared" si="9"/>
        <v>713697.0816</v>
      </c>
      <c r="Q916" s="5">
        <f t="shared" si="7"/>
        <v>162173.7855</v>
      </c>
      <c r="R916" s="5">
        <f t="shared" si="8"/>
        <v>551523.2961</v>
      </c>
    </row>
    <row r="917" ht="15.75" customHeight="1">
      <c r="A917" s="4">
        <v>2010.0</v>
      </c>
      <c r="B917" s="4">
        <v>102.0</v>
      </c>
      <c r="C917" s="4" t="s">
        <v>18</v>
      </c>
      <c r="D917" s="5">
        <v>24535.040520681145</v>
      </c>
      <c r="E917" s="5">
        <f t="shared" si="1"/>
        <v>0</v>
      </c>
      <c r="F917" s="5">
        <f t="shared" si="2"/>
        <v>24535.04052</v>
      </c>
      <c r="G917" s="5">
        <v>23846.567534507143</v>
      </c>
      <c r="H917" s="5">
        <v>10155.043798521312</v>
      </c>
      <c r="I917" s="5">
        <v>13691.523735985831</v>
      </c>
      <c r="J917" s="5">
        <v>74496.17509347756</v>
      </c>
      <c r="K917" s="5">
        <f t="shared" si="3"/>
        <v>74496.17509</v>
      </c>
      <c r="L917" s="5">
        <f t="shared" si="4"/>
        <v>0</v>
      </c>
      <c r="M917" s="5">
        <v>23050.139738453872</v>
      </c>
      <c r="N917" s="5">
        <f t="shared" si="5"/>
        <v>0</v>
      </c>
      <c r="O917" s="5">
        <f t="shared" si="6"/>
        <v>23050.13974</v>
      </c>
      <c r="P917" s="5">
        <f t="shared" si="9"/>
        <v>145927.9229</v>
      </c>
      <c r="Q917" s="5">
        <f t="shared" si="7"/>
        <v>61276.704</v>
      </c>
      <c r="R917" s="5">
        <f t="shared" si="8"/>
        <v>84651.21889</v>
      </c>
    </row>
    <row r="918" ht="15.75" customHeight="1">
      <c r="A918" s="4">
        <v>2010.0</v>
      </c>
      <c r="B918" s="4">
        <v>103.0</v>
      </c>
      <c r="C918" s="4" t="s">
        <v>18</v>
      </c>
      <c r="D918" s="5">
        <v>1279.3978880664067</v>
      </c>
      <c r="E918" s="5">
        <f t="shared" si="1"/>
        <v>0</v>
      </c>
      <c r="F918" s="5">
        <f t="shared" si="2"/>
        <v>1279.397888</v>
      </c>
      <c r="G918" s="5" t="s">
        <v>19</v>
      </c>
      <c r="H918" s="5" t="s">
        <v>19</v>
      </c>
      <c r="I918" s="5" t="s">
        <v>19</v>
      </c>
      <c r="J918" s="5">
        <v>4728.507557870762</v>
      </c>
      <c r="K918" s="5">
        <f t="shared" si="3"/>
        <v>4728.507558</v>
      </c>
      <c r="L918" s="5">
        <f t="shared" si="4"/>
        <v>0</v>
      </c>
      <c r="M918" s="5">
        <v>4316.110771573083</v>
      </c>
      <c r="N918" s="5">
        <f t="shared" si="5"/>
        <v>0</v>
      </c>
      <c r="O918" s="5">
        <f t="shared" si="6"/>
        <v>4316.110772</v>
      </c>
      <c r="P918" s="5">
        <f t="shared" si="9"/>
        <v>10324.01622</v>
      </c>
      <c r="Q918" s="5">
        <f t="shared" si="7"/>
        <v>5595.50866</v>
      </c>
      <c r="R918" s="5">
        <f t="shared" si="8"/>
        <v>4728.507558</v>
      </c>
    </row>
    <row r="919" ht="15.75" customHeight="1">
      <c r="A919" s="4">
        <v>2010.0</v>
      </c>
      <c r="B919" s="4">
        <v>104.0</v>
      </c>
      <c r="C919" s="4" t="s">
        <v>18</v>
      </c>
      <c r="D919" s="5">
        <v>2790.7206698844266</v>
      </c>
      <c r="E919" s="5">
        <f t="shared" si="1"/>
        <v>0</v>
      </c>
      <c r="F919" s="5">
        <f t="shared" si="2"/>
        <v>2790.72067</v>
      </c>
      <c r="G919" s="5">
        <v>886.9638024502433</v>
      </c>
      <c r="H919" s="5">
        <v>530.9485222986378</v>
      </c>
      <c r="I919" s="5">
        <v>356.01528015160545</v>
      </c>
      <c r="J919" s="5">
        <v>7501.7370199738425</v>
      </c>
      <c r="K919" s="5">
        <f t="shared" si="3"/>
        <v>7501.73702</v>
      </c>
      <c r="L919" s="5">
        <f t="shared" si="4"/>
        <v>0</v>
      </c>
      <c r="M919" s="5">
        <v>2406.237133259785</v>
      </c>
      <c r="N919" s="5">
        <f t="shared" si="5"/>
        <v>0</v>
      </c>
      <c r="O919" s="5">
        <f t="shared" si="6"/>
        <v>2406.237133</v>
      </c>
      <c r="P919" s="5">
        <f t="shared" si="9"/>
        <v>13585.65863</v>
      </c>
      <c r="Q919" s="5">
        <f t="shared" si="7"/>
        <v>5552.973083</v>
      </c>
      <c r="R919" s="5">
        <f t="shared" si="8"/>
        <v>8032.685542</v>
      </c>
    </row>
    <row r="920" ht="15.75" customHeight="1">
      <c r="A920" s="4">
        <v>2010.0</v>
      </c>
      <c r="B920" s="4">
        <v>105.0</v>
      </c>
      <c r="C920" s="4" t="s">
        <v>18</v>
      </c>
      <c r="D920" s="5">
        <v>13027.537048315338</v>
      </c>
      <c r="E920" s="5">
        <f t="shared" si="1"/>
        <v>0</v>
      </c>
      <c r="F920" s="5">
        <f t="shared" si="2"/>
        <v>13027.53705</v>
      </c>
      <c r="G920" s="5">
        <v>992.5181313380249</v>
      </c>
      <c r="H920" s="5">
        <v>598.1753570077493</v>
      </c>
      <c r="I920" s="5">
        <v>394.3427743302756</v>
      </c>
      <c r="J920" s="5">
        <v>58614.69756156481</v>
      </c>
      <c r="K920" s="5">
        <f t="shared" si="3"/>
        <v>58614.69756</v>
      </c>
      <c r="L920" s="5">
        <f t="shared" si="4"/>
        <v>0</v>
      </c>
      <c r="M920" s="5">
        <v>10477.844720397341</v>
      </c>
      <c r="N920" s="5">
        <f t="shared" si="5"/>
        <v>0</v>
      </c>
      <c r="O920" s="5">
        <f t="shared" si="6"/>
        <v>10477.84472</v>
      </c>
      <c r="P920" s="5">
        <f t="shared" si="9"/>
        <v>83112.59746</v>
      </c>
      <c r="Q920" s="5">
        <f t="shared" si="7"/>
        <v>23899.72454</v>
      </c>
      <c r="R920" s="5">
        <f t="shared" si="8"/>
        <v>59212.87292</v>
      </c>
    </row>
    <row r="921" ht="15.75" customHeight="1">
      <c r="A921" s="4">
        <v>2010.0</v>
      </c>
      <c r="B921" s="4">
        <v>106.0</v>
      </c>
      <c r="C921" s="4" t="s">
        <v>18</v>
      </c>
      <c r="D921" s="5">
        <v>24299.30465449699</v>
      </c>
      <c r="E921" s="5">
        <f t="shared" si="1"/>
        <v>0</v>
      </c>
      <c r="F921" s="5">
        <f t="shared" si="2"/>
        <v>24299.30465</v>
      </c>
      <c r="G921" s="5">
        <v>6605.087750135679</v>
      </c>
      <c r="H921" s="5">
        <v>4190.199417052057</v>
      </c>
      <c r="I921" s="5">
        <v>2414.8883330836225</v>
      </c>
      <c r="J921" s="5">
        <v>124830.52876483536</v>
      </c>
      <c r="K921" s="5">
        <f t="shared" si="3"/>
        <v>124830.5288</v>
      </c>
      <c r="L921" s="5">
        <f t="shared" si="4"/>
        <v>0</v>
      </c>
      <c r="M921" s="5">
        <v>81643.08955488756</v>
      </c>
      <c r="N921" s="5">
        <f t="shared" si="5"/>
        <v>0</v>
      </c>
      <c r="O921" s="5">
        <f t="shared" si="6"/>
        <v>81643.08955</v>
      </c>
      <c r="P921" s="5">
        <f t="shared" si="9"/>
        <v>237378.0107</v>
      </c>
      <c r="Q921" s="5">
        <f t="shared" si="7"/>
        <v>108357.2825</v>
      </c>
      <c r="R921" s="5">
        <f t="shared" si="8"/>
        <v>129020.7282</v>
      </c>
    </row>
    <row r="922" ht="15.75" customHeight="1">
      <c r="A922" s="4">
        <v>2010.0</v>
      </c>
      <c r="B922" s="4">
        <v>107.0</v>
      </c>
      <c r="C922" s="4" t="s">
        <v>18</v>
      </c>
      <c r="D922" s="5">
        <v>15003.254042269806</v>
      </c>
      <c r="E922" s="5">
        <f t="shared" si="1"/>
        <v>0</v>
      </c>
      <c r="F922" s="5">
        <f t="shared" si="2"/>
        <v>15003.25404</v>
      </c>
      <c r="G922" s="5">
        <v>1057.0804878422023</v>
      </c>
      <c r="H922" s="5">
        <v>518.5484506525975</v>
      </c>
      <c r="I922" s="5">
        <v>538.5320371896048</v>
      </c>
      <c r="J922" s="5">
        <v>31955.8545973469</v>
      </c>
      <c r="K922" s="5">
        <f t="shared" si="3"/>
        <v>31955.8546</v>
      </c>
      <c r="L922" s="5">
        <f t="shared" si="4"/>
        <v>0</v>
      </c>
      <c r="M922" s="5">
        <v>104032.682923788</v>
      </c>
      <c r="N922" s="5">
        <f t="shared" si="5"/>
        <v>0</v>
      </c>
      <c r="O922" s="5">
        <f t="shared" si="6"/>
        <v>104032.6829</v>
      </c>
      <c r="P922" s="5">
        <f t="shared" si="9"/>
        <v>152048.8721</v>
      </c>
      <c r="Q922" s="5">
        <f t="shared" si="7"/>
        <v>119574.469</v>
      </c>
      <c r="R922" s="5">
        <f t="shared" si="8"/>
        <v>32474.40305</v>
      </c>
    </row>
    <row r="923" ht="15.75" customHeight="1">
      <c r="A923" s="4">
        <v>2010.0</v>
      </c>
      <c r="B923" s="4">
        <v>108.0</v>
      </c>
      <c r="C923" s="4" t="s">
        <v>18</v>
      </c>
      <c r="D923" s="5">
        <v>2859.318173670114</v>
      </c>
      <c r="E923" s="5">
        <f t="shared" si="1"/>
        <v>0</v>
      </c>
      <c r="F923" s="5">
        <f t="shared" si="2"/>
        <v>2859.318174</v>
      </c>
      <c r="G923" s="5">
        <v>2129.532965328256</v>
      </c>
      <c r="H923" s="5">
        <v>866.467816258441</v>
      </c>
      <c r="I923" s="5">
        <v>1263.065149069815</v>
      </c>
      <c r="J923" s="5">
        <v>23689.28924524854</v>
      </c>
      <c r="K923" s="5">
        <f t="shared" si="3"/>
        <v>23689.28925</v>
      </c>
      <c r="L923" s="5">
        <f t="shared" si="4"/>
        <v>0</v>
      </c>
      <c r="M923" s="5">
        <v>34714.61016159238</v>
      </c>
      <c r="N923" s="5">
        <f t="shared" si="5"/>
        <v>0</v>
      </c>
      <c r="O923" s="5">
        <f t="shared" si="6"/>
        <v>34714.61016</v>
      </c>
      <c r="P923" s="5">
        <f t="shared" si="9"/>
        <v>63392.75055</v>
      </c>
      <c r="Q923" s="5">
        <f t="shared" si="7"/>
        <v>38836.99348</v>
      </c>
      <c r="R923" s="5">
        <f t="shared" si="8"/>
        <v>24555.75706</v>
      </c>
    </row>
    <row r="924" ht="15.75" customHeight="1">
      <c r="A924" s="4">
        <v>2010.0</v>
      </c>
      <c r="B924" s="4">
        <v>120.0</v>
      </c>
      <c r="C924" s="4" t="s">
        <v>18</v>
      </c>
      <c r="D924" s="5">
        <v>9732.134743436207</v>
      </c>
      <c r="E924" s="5">
        <f t="shared" si="1"/>
        <v>0</v>
      </c>
      <c r="F924" s="5">
        <f t="shared" si="2"/>
        <v>9732.134743</v>
      </c>
      <c r="G924" s="5">
        <v>11491.074658433943</v>
      </c>
      <c r="H924" s="5">
        <v>4077.6764528590625</v>
      </c>
      <c r="I924" s="5">
        <v>7413.39820557488</v>
      </c>
      <c r="J924" s="5">
        <v>19532.073328149327</v>
      </c>
      <c r="K924" s="5">
        <f t="shared" si="3"/>
        <v>19532.07333</v>
      </c>
      <c r="L924" s="5">
        <f t="shared" si="4"/>
        <v>0</v>
      </c>
      <c r="M924" s="5">
        <v>73306.79301476729</v>
      </c>
      <c r="N924" s="5">
        <f t="shared" si="5"/>
        <v>0</v>
      </c>
      <c r="O924" s="5">
        <f t="shared" si="6"/>
        <v>73306.79301</v>
      </c>
      <c r="P924" s="5">
        <f t="shared" si="9"/>
        <v>114062.0757</v>
      </c>
      <c r="Q924" s="5">
        <f t="shared" si="7"/>
        <v>90452.32596</v>
      </c>
      <c r="R924" s="5">
        <f t="shared" si="8"/>
        <v>23609.74978</v>
      </c>
    </row>
    <row r="925" ht="15.75" customHeight="1">
      <c r="A925" s="4">
        <v>2010.0</v>
      </c>
      <c r="B925" s="4">
        <v>121.0</v>
      </c>
      <c r="C925" s="4" t="s">
        <v>18</v>
      </c>
      <c r="D925" s="5">
        <v>41470.72979856444</v>
      </c>
      <c r="E925" s="5">
        <f t="shared" si="1"/>
        <v>0</v>
      </c>
      <c r="F925" s="5">
        <f t="shared" si="2"/>
        <v>41470.7298</v>
      </c>
      <c r="G925" s="5">
        <v>28999.258463126236</v>
      </c>
      <c r="H925" s="5">
        <v>12202.59281908236</v>
      </c>
      <c r="I925" s="5">
        <v>16796.665644043875</v>
      </c>
      <c r="J925" s="5">
        <v>154271.87980207923</v>
      </c>
      <c r="K925" s="5">
        <f t="shared" si="3"/>
        <v>154271.8798</v>
      </c>
      <c r="L925" s="5">
        <f t="shared" si="4"/>
        <v>0</v>
      </c>
      <c r="M925" s="5">
        <v>764660.7423491674</v>
      </c>
      <c r="N925" s="5">
        <f t="shared" si="5"/>
        <v>0</v>
      </c>
      <c r="O925" s="5">
        <f t="shared" si="6"/>
        <v>764660.7423</v>
      </c>
      <c r="P925" s="5">
        <f t="shared" si="9"/>
        <v>989402.6104</v>
      </c>
      <c r="Q925" s="5">
        <f t="shared" si="7"/>
        <v>822928.1378</v>
      </c>
      <c r="R925" s="5">
        <f t="shared" si="8"/>
        <v>166474.4726</v>
      </c>
    </row>
    <row r="926" ht="15.75" customHeight="1">
      <c r="A926" s="4">
        <v>2010.0</v>
      </c>
      <c r="B926" s="4">
        <v>122.0</v>
      </c>
      <c r="C926" s="4" t="s">
        <v>18</v>
      </c>
      <c r="D926" s="5">
        <v>66257.18561486644</v>
      </c>
      <c r="E926" s="5">
        <f t="shared" si="1"/>
        <v>0</v>
      </c>
      <c r="F926" s="5">
        <f t="shared" si="2"/>
        <v>66257.18561</v>
      </c>
      <c r="G926" s="5">
        <v>89706.9860841766</v>
      </c>
      <c r="H926" s="5">
        <v>21749.746163141004</v>
      </c>
      <c r="I926" s="5">
        <v>67957.2399210356</v>
      </c>
      <c r="J926" s="5">
        <v>25539.515943528746</v>
      </c>
      <c r="K926" s="5">
        <f t="shared" si="3"/>
        <v>25539.51594</v>
      </c>
      <c r="L926" s="5">
        <f t="shared" si="4"/>
        <v>0</v>
      </c>
      <c r="M926" s="5">
        <v>156728.71681896708</v>
      </c>
      <c r="N926" s="5">
        <f t="shared" si="5"/>
        <v>0</v>
      </c>
      <c r="O926" s="5">
        <f t="shared" si="6"/>
        <v>156728.7168</v>
      </c>
      <c r="P926" s="5">
        <f t="shared" si="9"/>
        <v>338232.4045</v>
      </c>
      <c r="Q926" s="5">
        <f t="shared" si="7"/>
        <v>290943.1424</v>
      </c>
      <c r="R926" s="5">
        <f t="shared" si="8"/>
        <v>47289.26211</v>
      </c>
    </row>
    <row r="927" ht="15.75" customHeight="1">
      <c r="A927" s="4">
        <v>2010.0</v>
      </c>
      <c r="B927" s="4">
        <v>123.0</v>
      </c>
      <c r="C927" s="4" t="s">
        <v>18</v>
      </c>
      <c r="D927" s="5">
        <v>4861.711974652345</v>
      </c>
      <c r="E927" s="5">
        <f t="shared" si="1"/>
        <v>0</v>
      </c>
      <c r="F927" s="5">
        <f t="shared" si="2"/>
        <v>4861.711975</v>
      </c>
      <c r="G927" s="5" t="s">
        <v>19</v>
      </c>
      <c r="H927" s="5" t="s">
        <v>19</v>
      </c>
      <c r="I927" s="5" t="s">
        <v>19</v>
      </c>
      <c r="J927" s="5">
        <v>0.0</v>
      </c>
      <c r="K927" s="5">
        <f t="shared" si="3"/>
        <v>0</v>
      </c>
      <c r="L927" s="5">
        <f t="shared" si="4"/>
        <v>0</v>
      </c>
      <c r="M927" s="5">
        <v>6810.262040170113</v>
      </c>
      <c r="N927" s="5">
        <f t="shared" si="5"/>
        <v>0</v>
      </c>
      <c r="O927" s="5">
        <f t="shared" si="6"/>
        <v>6810.26204</v>
      </c>
      <c r="P927" s="5">
        <f t="shared" si="9"/>
        <v>11671.97401</v>
      </c>
      <c r="Q927" s="5">
        <f t="shared" si="7"/>
        <v>11671.97401</v>
      </c>
      <c r="R927" s="5">
        <f t="shared" si="8"/>
        <v>0</v>
      </c>
    </row>
    <row r="928" ht="15.75" customHeight="1">
      <c r="A928" s="4">
        <v>2010.0</v>
      </c>
      <c r="B928" s="4">
        <v>124.0</v>
      </c>
      <c r="C928" s="4" t="s">
        <v>18</v>
      </c>
      <c r="D928" s="5">
        <v>956.0096559338767</v>
      </c>
      <c r="E928" s="5">
        <f t="shared" si="1"/>
        <v>0</v>
      </c>
      <c r="F928" s="5">
        <f t="shared" si="2"/>
        <v>956.0096559</v>
      </c>
      <c r="G928" s="5" t="s">
        <v>19</v>
      </c>
      <c r="H928" s="5" t="s">
        <v>19</v>
      </c>
      <c r="I928" s="5" t="s">
        <v>19</v>
      </c>
      <c r="J928" s="5">
        <v>0.0</v>
      </c>
      <c r="K928" s="5">
        <f t="shared" si="3"/>
        <v>0</v>
      </c>
      <c r="L928" s="5">
        <f t="shared" si="4"/>
        <v>0</v>
      </c>
      <c r="M928" s="5">
        <v>28018.808596809962</v>
      </c>
      <c r="N928" s="5">
        <f t="shared" si="5"/>
        <v>0</v>
      </c>
      <c r="O928" s="5">
        <f t="shared" si="6"/>
        <v>28018.8086</v>
      </c>
      <c r="P928" s="5">
        <f t="shared" si="9"/>
        <v>28974.81825</v>
      </c>
      <c r="Q928" s="5">
        <f t="shared" si="7"/>
        <v>28974.81825</v>
      </c>
      <c r="R928" s="5">
        <f t="shared" si="8"/>
        <v>0</v>
      </c>
    </row>
    <row r="929" ht="15.75" customHeight="1">
      <c r="A929" s="4">
        <v>2010.0</v>
      </c>
      <c r="B929" s="4">
        <v>125.0</v>
      </c>
      <c r="C929" s="4" t="s">
        <v>18</v>
      </c>
      <c r="D929" s="5">
        <v>13463.076754891139</v>
      </c>
      <c r="E929" s="5">
        <f t="shared" si="1"/>
        <v>0</v>
      </c>
      <c r="F929" s="5">
        <f t="shared" si="2"/>
        <v>13463.07675</v>
      </c>
      <c r="G929" s="5">
        <v>2915.041636129078</v>
      </c>
      <c r="H929" s="5">
        <v>2098.993945902471</v>
      </c>
      <c r="I929" s="5">
        <v>816.0476902266073</v>
      </c>
      <c r="J929" s="5">
        <v>5888.533035054315</v>
      </c>
      <c r="K929" s="5">
        <f t="shared" si="3"/>
        <v>5888.533035</v>
      </c>
      <c r="L929" s="5">
        <f t="shared" si="4"/>
        <v>0</v>
      </c>
      <c r="M929" s="5">
        <v>368509.95358391234</v>
      </c>
      <c r="N929" s="5">
        <f t="shared" si="5"/>
        <v>0</v>
      </c>
      <c r="O929" s="5">
        <f t="shared" si="6"/>
        <v>368509.9536</v>
      </c>
      <c r="P929" s="5">
        <f t="shared" si="9"/>
        <v>390776.605</v>
      </c>
      <c r="Q929" s="5">
        <f t="shared" si="7"/>
        <v>382789.078</v>
      </c>
      <c r="R929" s="5">
        <f t="shared" si="8"/>
        <v>7987.526981</v>
      </c>
    </row>
    <row r="930" ht="15.75" customHeight="1">
      <c r="A930" s="4">
        <v>2010.0</v>
      </c>
      <c r="B930" s="4">
        <v>126.0</v>
      </c>
      <c r="C930" s="4" t="s">
        <v>18</v>
      </c>
      <c r="D930" s="5">
        <v>9494.221178719177</v>
      </c>
      <c r="E930" s="5">
        <f t="shared" si="1"/>
        <v>0</v>
      </c>
      <c r="F930" s="5">
        <f t="shared" si="2"/>
        <v>9494.221179</v>
      </c>
      <c r="G930" s="5">
        <v>4953.879862558609</v>
      </c>
      <c r="H930" s="5">
        <v>1826.0898897586233</v>
      </c>
      <c r="I930" s="5">
        <v>3127.7899727999857</v>
      </c>
      <c r="J930" s="5">
        <v>42561.267059845006</v>
      </c>
      <c r="K930" s="5">
        <f t="shared" si="3"/>
        <v>42561.26706</v>
      </c>
      <c r="L930" s="5">
        <f t="shared" si="4"/>
        <v>0</v>
      </c>
      <c r="M930" s="5">
        <v>479155.15628065495</v>
      </c>
      <c r="N930" s="5">
        <f t="shared" si="5"/>
        <v>0</v>
      </c>
      <c r="O930" s="5">
        <f t="shared" si="6"/>
        <v>479155.1563</v>
      </c>
      <c r="P930" s="5">
        <f t="shared" si="9"/>
        <v>536164.5244</v>
      </c>
      <c r="Q930" s="5">
        <f t="shared" si="7"/>
        <v>491777.1674</v>
      </c>
      <c r="R930" s="5">
        <f t="shared" si="8"/>
        <v>44387.35695</v>
      </c>
    </row>
    <row r="931" ht="15.75" customHeight="1">
      <c r="A931" s="4">
        <v>2010.0</v>
      </c>
      <c r="B931" s="4">
        <v>127.0</v>
      </c>
      <c r="C931" s="4" t="s">
        <v>18</v>
      </c>
      <c r="D931" s="5">
        <v>2474.4099579837525</v>
      </c>
      <c r="E931" s="5">
        <f t="shared" si="1"/>
        <v>0</v>
      </c>
      <c r="F931" s="5">
        <f t="shared" si="2"/>
        <v>2474.409958</v>
      </c>
      <c r="G931" s="5" t="s">
        <v>19</v>
      </c>
      <c r="H931" s="5" t="s">
        <v>19</v>
      </c>
      <c r="I931" s="5" t="s">
        <v>19</v>
      </c>
      <c r="J931" s="5">
        <v>4726.914663291724</v>
      </c>
      <c r="K931" s="5">
        <f t="shared" si="3"/>
        <v>4726.914663</v>
      </c>
      <c r="L931" s="5">
        <f t="shared" si="4"/>
        <v>0</v>
      </c>
      <c r="M931" s="5">
        <v>80564.77177222256</v>
      </c>
      <c r="N931" s="5">
        <f t="shared" si="5"/>
        <v>0</v>
      </c>
      <c r="O931" s="5">
        <f t="shared" si="6"/>
        <v>80564.77177</v>
      </c>
      <c r="P931" s="5">
        <f t="shared" si="9"/>
        <v>87766.09639</v>
      </c>
      <c r="Q931" s="5">
        <f t="shared" si="7"/>
        <v>83039.18173</v>
      </c>
      <c r="R931" s="5">
        <f t="shared" si="8"/>
        <v>4726.914663</v>
      </c>
    </row>
    <row r="932" ht="15.75" customHeight="1">
      <c r="A932" s="4">
        <v>2010.0</v>
      </c>
      <c r="B932" s="4">
        <v>128.0</v>
      </c>
      <c r="C932" s="4" t="s">
        <v>18</v>
      </c>
      <c r="D932" s="5">
        <v>2775.4767801542735</v>
      </c>
      <c r="E932" s="5">
        <f t="shared" si="1"/>
        <v>0</v>
      </c>
      <c r="F932" s="5">
        <f t="shared" si="2"/>
        <v>2775.47678</v>
      </c>
      <c r="G932" s="5" t="s">
        <v>19</v>
      </c>
      <c r="H932" s="5" t="s">
        <v>19</v>
      </c>
      <c r="I932" s="5" t="s">
        <v>19</v>
      </c>
      <c r="J932" s="5">
        <v>0.0</v>
      </c>
      <c r="K932" s="5">
        <f t="shared" si="3"/>
        <v>0</v>
      </c>
      <c r="L932" s="5">
        <f t="shared" si="4"/>
        <v>0</v>
      </c>
      <c r="M932" s="5">
        <v>6693.23441466409</v>
      </c>
      <c r="N932" s="5">
        <f t="shared" si="5"/>
        <v>0</v>
      </c>
      <c r="O932" s="5">
        <f t="shared" si="6"/>
        <v>6693.234415</v>
      </c>
      <c r="P932" s="5">
        <f t="shared" si="9"/>
        <v>9468.711195</v>
      </c>
      <c r="Q932" s="5">
        <f t="shared" si="7"/>
        <v>9468.711195</v>
      </c>
      <c r="R932" s="5">
        <f t="shared" si="8"/>
        <v>0</v>
      </c>
    </row>
    <row r="933" ht="15.75" customHeight="1">
      <c r="A933" s="4">
        <v>2010.0</v>
      </c>
      <c r="B933" s="4">
        <v>300.0</v>
      </c>
      <c r="C933" s="4" t="s">
        <v>20</v>
      </c>
      <c r="D933" s="5">
        <v>2426.5465391425028</v>
      </c>
      <c r="E933" s="5">
        <f t="shared" si="1"/>
        <v>0</v>
      </c>
      <c r="F933" s="5">
        <f t="shared" si="2"/>
        <v>2426.546539</v>
      </c>
      <c r="G933" s="5">
        <v>16211.016230771282</v>
      </c>
      <c r="H933" s="5">
        <v>6842.377523968611</v>
      </c>
      <c r="I933" s="5">
        <v>9368.63870680267</v>
      </c>
      <c r="J933" s="5">
        <v>250394.7236084415</v>
      </c>
      <c r="K933" s="5">
        <f t="shared" si="3"/>
        <v>250394.7236</v>
      </c>
      <c r="L933" s="5">
        <f t="shared" si="4"/>
        <v>0</v>
      </c>
      <c r="M933" s="5">
        <v>2372.269770274118</v>
      </c>
      <c r="N933" s="5">
        <f t="shared" si="5"/>
        <v>0</v>
      </c>
      <c r="O933" s="5">
        <f t="shared" si="6"/>
        <v>2372.26977</v>
      </c>
      <c r="P933" s="5">
        <f t="shared" si="9"/>
        <v>271404.5561</v>
      </c>
      <c r="Q933" s="5">
        <f t="shared" si="7"/>
        <v>14167.45502</v>
      </c>
      <c r="R933" s="5">
        <f t="shared" si="8"/>
        <v>257237.1011</v>
      </c>
    </row>
    <row r="934" ht="15.75" customHeight="1">
      <c r="A934" s="4">
        <v>2010.0</v>
      </c>
      <c r="B934" s="4">
        <v>301.0</v>
      </c>
      <c r="C934" s="4" t="s">
        <v>20</v>
      </c>
      <c r="D934" s="5" t="s">
        <v>19</v>
      </c>
      <c r="E934" s="5" t="str">
        <f t="shared" si="1"/>
        <v/>
      </c>
      <c r="F934" s="5" t="str">
        <f t="shared" si="2"/>
        <v/>
      </c>
      <c r="G934" s="5">
        <v>11718.039857700827</v>
      </c>
      <c r="H934" s="5">
        <v>6245.966743272063</v>
      </c>
      <c r="I934" s="5">
        <v>5472.073114428765</v>
      </c>
      <c r="J934" s="5">
        <v>22438.17832442948</v>
      </c>
      <c r="K934" s="5">
        <f t="shared" si="3"/>
        <v>22438.17832</v>
      </c>
      <c r="L934" s="5">
        <f t="shared" si="4"/>
        <v>0</v>
      </c>
      <c r="M934" s="5">
        <v>128.28092444638202</v>
      </c>
      <c r="N934" s="5">
        <f t="shared" si="5"/>
        <v>0</v>
      </c>
      <c r="O934" s="5">
        <f t="shared" si="6"/>
        <v>128.2809244</v>
      </c>
      <c r="P934" s="5">
        <f t="shared" si="9"/>
        <v>34284.49911</v>
      </c>
      <c r="Q934" s="5">
        <f t="shared" si="7"/>
        <v>5600.354039</v>
      </c>
      <c r="R934" s="5">
        <f t="shared" si="8"/>
        <v>28684.14507</v>
      </c>
    </row>
    <row r="935" ht="15.75" customHeight="1">
      <c r="A935" s="4">
        <v>2010.0</v>
      </c>
      <c r="B935" s="4">
        <v>302.0</v>
      </c>
      <c r="C935" s="4" t="s">
        <v>20</v>
      </c>
      <c r="D935" s="5">
        <v>12626.708241180806</v>
      </c>
      <c r="E935" s="5">
        <f t="shared" si="1"/>
        <v>0</v>
      </c>
      <c r="F935" s="5">
        <f t="shared" si="2"/>
        <v>12626.70824</v>
      </c>
      <c r="G935" s="5">
        <v>2169.4764677660432</v>
      </c>
      <c r="H935" s="5">
        <v>1517.5955004181603</v>
      </c>
      <c r="I935" s="5">
        <v>651.8809673478829</v>
      </c>
      <c r="J935" s="5">
        <v>105839.12284374138</v>
      </c>
      <c r="K935" s="5">
        <f t="shared" si="3"/>
        <v>105839.1228</v>
      </c>
      <c r="L935" s="5">
        <f t="shared" si="4"/>
        <v>0</v>
      </c>
      <c r="M935" s="5">
        <v>3673.471099086274</v>
      </c>
      <c r="N935" s="5">
        <f t="shared" si="5"/>
        <v>0</v>
      </c>
      <c r="O935" s="5">
        <f t="shared" si="6"/>
        <v>3673.471099</v>
      </c>
      <c r="P935" s="5">
        <f t="shared" si="9"/>
        <v>124308.7787</v>
      </c>
      <c r="Q935" s="5">
        <f t="shared" si="7"/>
        <v>16952.06031</v>
      </c>
      <c r="R935" s="5">
        <f t="shared" si="8"/>
        <v>107356.7183</v>
      </c>
    </row>
    <row r="936" ht="15.75" customHeight="1">
      <c r="A936" s="4">
        <v>2010.0</v>
      </c>
      <c r="B936" s="4">
        <v>303.0</v>
      </c>
      <c r="C936" s="4" t="s">
        <v>20</v>
      </c>
      <c r="D936" s="5">
        <v>9442.678368335004</v>
      </c>
      <c r="E936" s="5">
        <f t="shared" si="1"/>
        <v>0</v>
      </c>
      <c r="F936" s="5">
        <f t="shared" si="2"/>
        <v>9442.678368</v>
      </c>
      <c r="G936" s="5">
        <v>1907.9925189284409</v>
      </c>
      <c r="H936" s="5">
        <v>1028.1410464692117</v>
      </c>
      <c r="I936" s="5">
        <v>879.8514724592292</v>
      </c>
      <c r="J936" s="5">
        <v>9676.410167064954</v>
      </c>
      <c r="K936" s="5">
        <f t="shared" si="3"/>
        <v>9676.410167</v>
      </c>
      <c r="L936" s="5">
        <f t="shared" si="4"/>
        <v>0</v>
      </c>
      <c r="M936" s="5">
        <v>5393.517373982402</v>
      </c>
      <c r="N936" s="5">
        <f t="shared" si="5"/>
        <v>0</v>
      </c>
      <c r="O936" s="5">
        <f t="shared" si="6"/>
        <v>5393.517374</v>
      </c>
      <c r="P936" s="5">
        <f t="shared" si="9"/>
        <v>26420.59843</v>
      </c>
      <c r="Q936" s="5">
        <f t="shared" si="7"/>
        <v>15716.04721</v>
      </c>
      <c r="R936" s="5">
        <f t="shared" si="8"/>
        <v>10704.55121</v>
      </c>
    </row>
    <row r="937" ht="15.75" customHeight="1">
      <c r="A937" s="4">
        <v>2010.0</v>
      </c>
      <c r="B937" s="4">
        <v>304.0</v>
      </c>
      <c r="C937" s="4" t="s">
        <v>20</v>
      </c>
      <c r="D937" s="5">
        <v>24625.655893328993</v>
      </c>
      <c r="E937" s="5">
        <f t="shared" si="1"/>
        <v>0</v>
      </c>
      <c r="F937" s="5">
        <f t="shared" si="2"/>
        <v>24625.65589</v>
      </c>
      <c r="G937" s="5">
        <v>12123.1669738961</v>
      </c>
      <c r="H937" s="5">
        <v>5790.806724805823</v>
      </c>
      <c r="I937" s="5">
        <v>6332.360249090278</v>
      </c>
      <c r="J937" s="5">
        <v>432.70479979003005</v>
      </c>
      <c r="K937" s="5">
        <f t="shared" si="3"/>
        <v>432.7047998</v>
      </c>
      <c r="L937" s="5">
        <f t="shared" si="4"/>
        <v>0</v>
      </c>
      <c r="M937" s="5">
        <v>1133.3542397172523</v>
      </c>
      <c r="N937" s="5">
        <f t="shared" si="5"/>
        <v>0</v>
      </c>
      <c r="O937" s="5">
        <f t="shared" si="6"/>
        <v>1133.35424</v>
      </c>
      <c r="P937" s="5">
        <f t="shared" si="9"/>
        <v>38314.88191</v>
      </c>
      <c r="Q937" s="5">
        <f t="shared" si="7"/>
        <v>32091.37038</v>
      </c>
      <c r="R937" s="5">
        <f t="shared" si="8"/>
        <v>6223.511525</v>
      </c>
    </row>
    <row r="938" ht="15.75" customHeight="1">
      <c r="A938" s="4">
        <v>2010.0</v>
      </c>
      <c r="B938" s="4">
        <v>305.0</v>
      </c>
      <c r="C938" s="4" t="s">
        <v>20</v>
      </c>
      <c r="D938" s="5">
        <v>48087.32774366307</v>
      </c>
      <c r="E938" s="5">
        <f t="shared" si="1"/>
        <v>0</v>
      </c>
      <c r="F938" s="5">
        <f t="shared" si="2"/>
        <v>48087.32774</v>
      </c>
      <c r="G938" s="5">
        <v>13615.454387016556</v>
      </c>
      <c r="H938" s="5">
        <v>5146.735675022464</v>
      </c>
      <c r="I938" s="5">
        <v>8468.718711994092</v>
      </c>
      <c r="J938" s="5">
        <v>35920.54525545522</v>
      </c>
      <c r="K938" s="5">
        <f t="shared" si="3"/>
        <v>35920.54526</v>
      </c>
      <c r="L938" s="5">
        <f t="shared" si="4"/>
        <v>0</v>
      </c>
      <c r="M938" s="5">
        <v>7470.818295695171</v>
      </c>
      <c r="N938" s="5">
        <f t="shared" si="5"/>
        <v>0</v>
      </c>
      <c r="O938" s="5">
        <f t="shared" si="6"/>
        <v>7470.818296</v>
      </c>
      <c r="P938" s="5">
        <f t="shared" si="9"/>
        <v>105094.1457</v>
      </c>
      <c r="Q938" s="5">
        <f t="shared" si="7"/>
        <v>64026.86475</v>
      </c>
      <c r="R938" s="5">
        <f t="shared" si="8"/>
        <v>41067.28093</v>
      </c>
    </row>
    <row r="939" ht="15.75" customHeight="1">
      <c r="A939" s="4">
        <v>2010.0</v>
      </c>
      <c r="B939" s="4">
        <v>306.0</v>
      </c>
      <c r="C939" s="4" t="s">
        <v>20</v>
      </c>
      <c r="D939" s="5">
        <v>3319.8731478495843</v>
      </c>
      <c r="E939" s="5">
        <f t="shared" si="1"/>
        <v>0</v>
      </c>
      <c r="F939" s="5">
        <f t="shared" si="2"/>
        <v>3319.873148</v>
      </c>
      <c r="G939" s="5" t="s">
        <v>19</v>
      </c>
      <c r="H939" s="5" t="s">
        <v>19</v>
      </c>
      <c r="I939" s="5" t="s">
        <v>19</v>
      </c>
      <c r="J939" s="5">
        <v>210.4625886456044</v>
      </c>
      <c r="K939" s="5">
        <f t="shared" si="3"/>
        <v>210.4625886</v>
      </c>
      <c r="L939" s="5">
        <f t="shared" si="4"/>
        <v>0</v>
      </c>
      <c r="M939" s="5">
        <v>1432.727915202363</v>
      </c>
      <c r="N939" s="5">
        <f t="shared" si="5"/>
        <v>0</v>
      </c>
      <c r="O939" s="5">
        <f t="shared" si="6"/>
        <v>1432.727915</v>
      </c>
      <c r="P939" s="5">
        <f t="shared" si="9"/>
        <v>4963.063652</v>
      </c>
      <c r="Q939" s="5">
        <f t="shared" si="7"/>
        <v>4752.601063</v>
      </c>
      <c r="R939" s="5">
        <f t="shared" si="8"/>
        <v>210.4625886</v>
      </c>
    </row>
    <row r="940" ht="15.75" customHeight="1">
      <c r="A940" s="4">
        <v>2010.0</v>
      </c>
      <c r="B940" s="4">
        <v>307.0</v>
      </c>
      <c r="C940" s="4" t="s">
        <v>20</v>
      </c>
      <c r="D940" s="5" t="s">
        <v>19</v>
      </c>
      <c r="E940" s="5" t="str">
        <f t="shared" si="1"/>
        <v/>
      </c>
      <c r="F940" s="5" t="str">
        <f t="shared" si="2"/>
        <v/>
      </c>
      <c r="G940" s="5" t="s">
        <v>19</v>
      </c>
      <c r="H940" s="5" t="s">
        <v>19</v>
      </c>
      <c r="I940" s="5" t="s">
        <v>19</v>
      </c>
      <c r="J940" s="5">
        <v>0.0</v>
      </c>
      <c r="K940" s="5">
        <f t="shared" si="3"/>
        <v>0</v>
      </c>
      <c r="L940" s="5">
        <f t="shared" si="4"/>
        <v>0</v>
      </c>
      <c r="M940" s="5">
        <v>0.0</v>
      </c>
      <c r="N940" s="5">
        <f t="shared" si="5"/>
        <v>0</v>
      </c>
      <c r="O940" s="5">
        <f t="shared" si="6"/>
        <v>0</v>
      </c>
      <c r="P940" s="5">
        <f t="shared" si="9"/>
        <v>0</v>
      </c>
      <c r="Q940" s="5">
        <f t="shared" si="7"/>
        <v>0</v>
      </c>
      <c r="R940" s="5">
        <f t="shared" si="8"/>
        <v>0</v>
      </c>
    </row>
    <row r="941" ht="15.75" customHeight="1">
      <c r="A941" s="4">
        <v>2010.0</v>
      </c>
      <c r="B941" s="4">
        <v>308.0</v>
      </c>
      <c r="C941" s="4" t="s">
        <v>20</v>
      </c>
      <c r="D941" s="5">
        <v>29371.775100747782</v>
      </c>
      <c r="E941" s="5">
        <f t="shared" si="1"/>
        <v>0</v>
      </c>
      <c r="F941" s="5">
        <f t="shared" si="2"/>
        <v>29371.7751</v>
      </c>
      <c r="G941" s="5">
        <v>9170.227256777316</v>
      </c>
      <c r="H941" s="5">
        <v>2436.3977009840123</v>
      </c>
      <c r="I941" s="5">
        <v>6733.829555793303</v>
      </c>
      <c r="J941" s="5">
        <v>4913.673198341594</v>
      </c>
      <c r="K941" s="5">
        <f t="shared" si="3"/>
        <v>4913.673198</v>
      </c>
      <c r="L941" s="5">
        <f t="shared" si="4"/>
        <v>0</v>
      </c>
      <c r="M941" s="5">
        <v>7740.285514697902</v>
      </c>
      <c r="N941" s="5">
        <f t="shared" si="5"/>
        <v>0</v>
      </c>
      <c r="O941" s="5">
        <f t="shared" si="6"/>
        <v>7740.285515</v>
      </c>
      <c r="P941" s="5">
        <f t="shared" si="9"/>
        <v>51195.96107</v>
      </c>
      <c r="Q941" s="5">
        <f t="shared" si="7"/>
        <v>43845.89017</v>
      </c>
      <c r="R941" s="5">
        <f t="shared" si="8"/>
        <v>7350.070899</v>
      </c>
    </row>
    <row r="942" ht="15.75" customHeight="1">
      <c r="A942" s="4">
        <v>2010.0</v>
      </c>
      <c r="B942" s="4">
        <v>309.0</v>
      </c>
      <c r="C942" s="4" t="s">
        <v>20</v>
      </c>
      <c r="D942" s="5" t="s">
        <v>19</v>
      </c>
      <c r="E942" s="5" t="str">
        <f t="shared" si="1"/>
        <v/>
      </c>
      <c r="F942" s="5" t="str">
        <f t="shared" si="2"/>
        <v/>
      </c>
      <c r="G942" s="5">
        <v>381.1042052056549</v>
      </c>
      <c r="H942" s="5">
        <v>142.95114934562312</v>
      </c>
      <c r="I942" s="5">
        <v>238.1530558600318</v>
      </c>
      <c r="J942" s="5">
        <v>587.1356507495751</v>
      </c>
      <c r="K942" s="5">
        <f t="shared" si="3"/>
        <v>587.1356507</v>
      </c>
      <c r="L942" s="5">
        <f t="shared" si="4"/>
        <v>0</v>
      </c>
      <c r="M942" s="5">
        <v>300.61011813037715</v>
      </c>
      <c r="N942" s="5">
        <f t="shared" si="5"/>
        <v>0</v>
      </c>
      <c r="O942" s="5">
        <f t="shared" si="6"/>
        <v>300.6101181</v>
      </c>
      <c r="P942" s="5">
        <f t="shared" si="9"/>
        <v>1268.849974</v>
      </c>
      <c r="Q942" s="5">
        <f t="shared" si="7"/>
        <v>538.763174</v>
      </c>
      <c r="R942" s="5">
        <f t="shared" si="8"/>
        <v>730.0868001</v>
      </c>
    </row>
    <row r="943" ht="15.75" customHeight="1">
      <c r="A943" s="4">
        <v>2010.0</v>
      </c>
      <c r="B943" s="4">
        <v>310.0</v>
      </c>
      <c r="C943" s="4" t="s">
        <v>20</v>
      </c>
      <c r="D943" s="5" t="s">
        <v>19</v>
      </c>
      <c r="E943" s="5" t="str">
        <f t="shared" si="1"/>
        <v/>
      </c>
      <c r="F943" s="5" t="str">
        <f t="shared" si="2"/>
        <v/>
      </c>
      <c r="G943" s="5" t="s">
        <v>19</v>
      </c>
      <c r="H943" s="5" t="s">
        <v>19</v>
      </c>
      <c r="I943" s="5" t="s">
        <v>19</v>
      </c>
      <c r="J943" s="5">
        <v>5410.773267791845</v>
      </c>
      <c r="K943" s="5">
        <f t="shared" si="3"/>
        <v>5410.773268</v>
      </c>
      <c r="L943" s="5">
        <f t="shared" si="4"/>
        <v>0</v>
      </c>
      <c r="M943" s="5">
        <v>1578.0099260211568</v>
      </c>
      <c r="N943" s="5">
        <f t="shared" si="5"/>
        <v>0</v>
      </c>
      <c r="O943" s="5">
        <f t="shared" si="6"/>
        <v>1578.009926</v>
      </c>
      <c r="P943" s="5">
        <f t="shared" si="9"/>
        <v>6988.783194</v>
      </c>
      <c r="Q943" s="5">
        <f t="shared" si="7"/>
        <v>1578.009926</v>
      </c>
      <c r="R943" s="5">
        <f t="shared" si="8"/>
        <v>5410.773268</v>
      </c>
    </row>
    <row r="944" ht="15.75" customHeight="1">
      <c r="A944" s="4">
        <v>2010.0</v>
      </c>
      <c r="B944" s="4">
        <v>311.0</v>
      </c>
      <c r="C944" s="4" t="s">
        <v>20</v>
      </c>
      <c r="D944" s="5">
        <v>4415.989717327863</v>
      </c>
      <c r="E944" s="5">
        <f t="shared" si="1"/>
        <v>0</v>
      </c>
      <c r="F944" s="5">
        <f t="shared" si="2"/>
        <v>4415.989717</v>
      </c>
      <c r="G944" s="5">
        <v>2817.2547568996506</v>
      </c>
      <c r="H944" s="5">
        <v>1790.5471763125354</v>
      </c>
      <c r="I944" s="5">
        <v>1026.7075805871152</v>
      </c>
      <c r="J944" s="5">
        <v>7096.829901456444</v>
      </c>
      <c r="K944" s="5">
        <f t="shared" si="3"/>
        <v>7096.829901</v>
      </c>
      <c r="L944" s="5">
        <f t="shared" si="4"/>
        <v>0</v>
      </c>
      <c r="M944" s="5">
        <v>1220.9871122005034</v>
      </c>
      <c r="N944" s="5">
        <f t="shared" si="5"/>
        <v>0</v>
      </c>
      <c r="O944" s="5">
        <f t="shared" si="6"/>
        <v>1220.987112</v>
      </c>
      <c r="P944" s="5">
        <f t="shared" si="9"/>
        <v>15551.06149</v>
      </c>
      <c r="Q944" s="5">
        <f t="shared" si="7"/>
        <v>6663.68441</v>
      </c>
      <c r="R944" s="5">
        <f t="shared" si="8"/>
        <v>8887.377078</v>
      </c>
    </row>
    <row r="945" ht="15.75" customHeight="1">
      <c r="A945" s="4">
        <v>2010.0</v>
      </c>
      <c r="B945" s="4">
        <v>312.0</v>
      </c>
      <c r="C945" s="4" t="s">
        <v>20</v>
      </c>
      <c r="D945" s="5">
        <v>20585.56423362722</v>
      </c>
      <c r="E945" s="5">
        <f t="shared" si="1"/>
        <v>0</v>
      </c>
      <c r="F945" s="5">
        <f t="shared" si="2"/>
        <v>20585.56423</v>
      </c>
      <c r="G945" s="5" t="s">
        <v>19</v>
      </c>
      <c r="H945" s="5" t="s">
        <v>19</v>
      </c>
      <c r="I945" s="5" t="s">
        <v>19</v>
      </c>
      <c r="J945" s="5">
        <v>35755.0808247551</v>
      </c>
      <c r="K945" s="5">
        <f t="shared" si="3"/>
        <v>35755.08082</v>
      </c>
      <c r="L945" s="5">
        <f t="shared" si="4"/>
        <v>0</v>
      </c>
      <c r="M945" s="5">
        <v>1035.5207154105533</v>
      </c>
      <c r="N945" s="5">
        <f t="shared" si="5"/>
        <v>0</v>
      </c>
      <c r="O945" s="5">
        <f t="shared" si="6"/>
        <v>1035.520715</v>
      </c>
      <c r="P945" s="5">
        <f t="shared" si="9"/>
        <v>57376.16577</v>
      </c>
      <c r="Q945" s="5">
        <f t="shared" si="7"/>
        <v>21621.08495</v>
      </c>
      <c r="R945" s="5">
        <f t="shared" si="8"/>
        <v>35755.08082</v>
      </c>
    </row>
    <row r="946" ht="15.75" customHeight="1">
      <c r="A946" s="4">
        <v>2010.0</v>
      </c>
      <c r="B946" s="4">
        <v>313.0</v>
      </c>
      <c r="C946" s="4" t="s">
        <v>20</v>
      </c>
      <c r="D946" s="5">
        <v>74714.34289193214</v>
      </c>
      <c r="E946" s="5">
        <f t="shared" si="1"/>
        <v>0</v>
      </c>
      <c r="F946" s="5">
        <f t="shared" si="2"/>
        <v>74714.34289</v>
      </c>
      <c r="G946" s="5">
        <v>2970.240167419949</v>
      </c>
      <c r="H946" s="5">
        <v>1884.1673273708377</v>
      </c>
      <c r="I946" s="5">
        <v>1086.0728400491114</v>
      </c>
      <c r="J946" s="5">
        <v>0.0</v>
      </c>
      <c r="K946" s="5">
        <f t="shared" si="3"/>
        <v>0</v>
      </c>
      <c r="L946" s="5">
        <f t="shared" si="4"/>
        <v>0</v>
      </c>
      <c r="M946" s="5">
        <v>7543.845689431211</v>
      </c>
      <c r="N946" s="5">
        <f t="shared" si="5"/>
        <v>0</v>
      </c>
      <c r="O946" s="5">
        <f t="shared" si="6"/>
        <v>7543.845689</v>
      </c>
      <c r="P946" s="5">
        <f t="shared" si="9"/>
        <v>85228.42875</v>
      </c>
      <c r="Q946" s="5">
        <f t="shared" si="7"/>
        <v>83344.26142</v>
      </c>
      <c r="R946" s="5">
        <f t="shared" si="8"/>
        <v>1884.167327</v>
      </c>
    </row>
    <row r="947" ht="15.75" customHeight="1">
      <c r="A947" s="4">
        <v>2010.0</v>
      </c>
      <c r="B947" s="4">
        <v>314.0</v>
      </c>
      <c r="C947" s="4" t="s">
        <v>20</v>
      </c>
      <c r="D947" s="5">
        <v>4761.555943214675</v>
      </c>
      <c r="E947" s="5">
        <f t="shared" si="1"/>
        <v>0</v>
      </c>
      <c r="F947" s="5">
        <f t="shared" si="2"/>
        <v>4761.555943</v>
      </c>
      <c r="G947" s="5">
        <v>1371.1842610123044</v>
      </c>
      <c r="H947" s="5">
        <v>561.9186257818269</v>
      </c>
      <c r="I947" s="5">
        <v>809.2656352304775</v>
      </c>
      <c r="J947" s="5">
        <v>0.0</v>
      </c>
      <c r="K947" s="5">
        <f t="shared" si="3"/>
        <v>0</v>
      </c>
      <c r="L947" s="5">
        <f t="shared" si="4"/>
        <v>0</v>
      </c>
      <c r="M947" s="5">
        <v>1617.5760906696796</v>
      </c>
      <c r="N947" s="5">
        <f t="shared" si="5"/>
        <v>0</v>
      </c>
      <c r="O947" s="5">
        <f t="shared" si="6"/>
        <v>1617.576091</v>
      </c>
      <c r="P947" s="5">
        <f t="shared" si="9"/>
        <v>7750.316295</v>
      </c>
      <c r="Q947" s="5">
        <f t="shared" si="7"/>
        <v>7188.397669</v>
      </c>
      <c r="R947" s="5">
        <f t="shared" si="8"/>
        <v>561.9186258</v>
      </c>
    </row>
    <row r="948" ht="15.75" customHeight="1">
      <c r="A948" s="4">
        <v>2010.0</v>
      </c>
      <c r="B948" s="4">
        <v>320.0</v>
      </c>
      <c r="C948" s="4" t="s">
        <v>20</v>
      </c>
      <c r="D948" s="5">
        <v>175588.1574114664</v>
      </c>
      <c r="E948" s="5">
        <f t="shared" si="1"/>
        <v>0</v>
      </c>
      <c r="F948" s="5">
        <f t="shared" si="2"/>
        <v>175588.1574</v>
      </c>
      <c r="G948" s="5">
        <v>36027.24858487326</v>
      </c>
      <c r="H948" s="5">
        <v>19598.009416988887</v>
      </c>
      <c r="I948" s="5">
        <v>16429.239167884374</v>
      </c>
      <c r="J948" s="5">
        <v>104160.33031061772</v>
      </c>
      <c r="K948" s="5">
        <f t="shared" si="3"/>
        <v>104160.3303</v>
      </c>
      <c r="L948" s="5">
        <f t="shared" si="4"/>
        <v>0</v>
      </c>
      <c r="M948" s="5">
        <v>23450.989431443893</v>
      </c>
      <c r="N948" s="5">
        <f t="shared" si="5"/>
        <v>0</v>
      </c>
      <c r="O948" s="5">
        <f t="shared" si="6"/>
        <v>23450.98943</v>
      </c>
      <c r="P948" s="5">
        <f t="shared" si="9"/>
        <v>339226.7257</v>
      </c>
      <c r="Q948" s="5">
        <f t="shared" si="7"/>
        <v>215468.386</v>
      </c>
      <c r="R948" s="5">
        <f t="shared" si="8"/>
        <v>123758.3397</v>
      </c>
    </row>
    <row r="949" ht="15.75" customHeight="1">
      <c r="A949" s="4">
        <v>2010.0</v>
      </c>
      <c r="B949" s="4">
        <v>321.0</v>
      </c>
      <c r="C949" s="4" t="s">
        <v>20</v>
      </c>
      <c r="D949" s="5">
        <v>89061.29930461217</v>
      </c>
      <c r="E949" s="5">
        <f t="shared" si="1"/>
        <v>0</v>
      </c>
      <c r="F949" s="5">
        <f t="shared" si="2"/>
        <v>89061.2993</v>
      </c>
      <c r="G949" s="5">
        <v>22368.493642245794</v>
      </c>
      <c r="H949" s="5">
        <v>14336.438295853093</v>
      </c>
      <c r="I949" s="5">
        <v>8032.055346392701</v>
      </c>
      <c r="J949" s="5">
        <v>3822.8801549507543</v>
      </c>
      <c r="K949" s="5">
        <f t="shared" si="3"/>
        <v>3822.880155</v>
      </c>
      <c r="L949" s="5">
        <f t="shared" si="4"/>
        <v>0</v>
      </c>
      <c r="M949" s="5">
        <v>6285.919853203377</v>
      </c>
      <c r="N949" s="5">
        <f t="shared" si="5"/>
        <v>0</v>
      </c>
      <c r="O949" s="5">
        <f t="shared" si="6"/>
        <v>6285.919853</v>
      </c>
      <c r="P949" s="5">
        <f t="shared" si="9"/>
        <v>121538.593</v>
      </c>
      <c r="Q949" s="5">
        <f t="shared" si="7"/>
        <v>103379.2745</v>
      </c>
      <c r="R949" s="5">
        <f t="shared" si="8"/>
        <v>18159.31845</v>
      </c>
    </row>
    <row r="950" ht="15.75" customHeight="1">
      <c r="A950" s="4">
        <v>2010.0</v>
      </c>
      <c r="B950" s="4">
        <v>322.0</v>
      </c>
      <c r="C950" s="4" t="s">
        <v>20</v>
      </c>
      <c r="D950" s="5">
        <v>12299.286950352316</v>
      </c>
      <c r="E950" s="5">
        <f t="shared" si="1"/>
        <v>0</v>
      </c>
      <c r="F950" s="5">
        <f t="shared" si="2"/>
        <v>12299.28695</v>
      </c>
      <c r="G950" s="5" t="s">
        <v>19</v>
      </c>
      <c r="H950" s="5" t="s">
        <v>19</v>
      </c>
      <c r="I950" s="5" t="s">
        <v>19</v>
      </c>
      <c r="J950" s="5">
        <v>1738.4759537843534</v>
      </c>
      <c r="K950" s="5">
        <f t="shared" si="3"/>
        <v>1738.475954</v>
      </c>
      <c r="L950" s="5">
        <f t="shared" si="4"/>
        <v>0</v>
      </c>
      <c r="M950" s="5">
        <v>31539.79721677625</v>
      </c>
      <c r="N950" s="5">
        <f t="shared" si="5"/>
        <v>0</v>
      </c>
      <c r="O950" s="5">
        <f t="shared" si="6"/>
        <v>31539.79722</v>
      </c>
      <c r="P950" s="5">
        <f t="shared" si="9"/>
        <v>45577.56012</v>
      </c>
      <c r="Q950" s="5">
        <f t="shared" si="7"/>
        <v>43839.08417</v>
      </c>
      <c r="R950" s="5">
        <f t="shared" si="8"/>
        <v>1738.475954</v>
      </c>
    </row>
    <row r="951" ht="15.75" customHeight="1">
      <c r="A951" s="4">
        <v>2010.0</v>
      </c>
      <c r="B951" s="4">
        <v>323.0</v>
      </c>
      <c r="C951" s="4" t="s">
        <v>20</v>
      </c>
      <c r="D951" s="5">
        <v>3396.081875094529</v>
      </c>
      <c r="E951" s="5">
        <f t="shared" si="1"/>
        <v>0</v>
      </c>
      <c r="F951" s="5">
        <f t="shared" si="2"/>
        <v>3396.081875</v>
      </c>
      <c r="G951" s="5" t="s">
        <v>19</v>
      </c>
      <c r="H951" s="5" t="s">
        <v>19</v>
      </c>
      <c r="I951" s="5" t="s">
        <v>19</v>
      </c>
      <c r="J951" s="5">
        <v>15902.490373408542</v>
      </c>
      <c r="K951" s="5">
        <f t="shared" si="3"/>
        <v>15902.49037</v>
      </c>
      <c r="L951" s="5">
        <f t="shared" si="4"/>
        <v>0</v>
      </c>
      <c r="M951" s="5">
        <v>316386.7398956489</v>
      </c>
      <c r="N951" s="5">
        <f t="shared" si="5"/>
        <v>0</v>
      </c>
      <c r="O951" s="5">
        <f t="shared" si="6"/>
        <v>316386.7399</v>
      </c>
      <c r="P951" s="5">
        <f t="shared" si="9"/>
        <v>335685.3121</v>
      </c>
      <c r="Q951" s="5">
        <f t="shared" si="7"/>
        <v>319782.8218</v>
      </c>
      <c r="R951" s="5">
        <f t="shared" si="8"/>
        <v>15902.49037</v>
      </c>
    </row>
    <row r="952" ht="15.75" customHeight="1">
      <c r="A952" s="4">
        <v>2010.0</v>
      </c>
      <c r="B952" s="4">
        <v>324.0</v>
      </c>
      <c r="C952" s="4" t="s">
        <v>20</v>
      </c>
      <c r="D952" s="5">
        <v>18613.453530721454</v>
      </c>
      <c r="E952" s="5">
        <f t="shared" si="1"/>
        <v>0</v>
      </c>
      <c r="F952" s="5">
        <f t="shared" si="2"/>
        <v>18613.45353</v>
      </c>
      <c r="G952" s="5">
        <v>5390.326015262863</v>
      </c>
      <c r="H952" s="5">
        <v>1383.2451463651166</v>
      </c>
      <c r="I952" s="5">
        <v>4007.080868897746</v>
      </c>
      <c r="J952" s="5">
        <v>0.0</v>
      </c>
      <c r="K952" s="5">
        <f t="shared" si="3"/>
        <v>0</v>
      </c>
      <c r="L952" s="5">
        <f t="shared" si="4"/>
        <v>0</v>
      </c>
      <c r="M952" s="5">
        <v>46648.97178660019</v>
      </c>
      <c r="N952" s="5">
        <f t="shared" si="5"/>
        <v>0</v>
      </c>
      <c r="O952" s="5">
        <f t="shared" si="6"/>
        <v>46648.97179</v>
      </c>
      <c r="P952" s="5">
        <f t="shared" si="9"/>
        <v>70652.75133</v>
      </c>
      <c r="Q952" s="5">
        <f t="shared" si="7"/>
        <v>69269.50619</v>
      </c>
      <c r="R952" s="5">
        <f t="shared" si="8"/>
        <v>1383.245146</v>
      </c>
    </row>
    <row r="953" ht="15.75" customHeight="1">
      <c r="A953" s="4">
        <v>2010.0</v>
      </c>
      <c r="B953" s="4">
        <v>325.0</v>
      </c>
      <c r="C953" s="4" t="s">
        <v>20</v>
      </c>
      <c r="D953" s="5">
        <v>19584.938770142435</v>
      </c>
      <c r="E953" s="5">
        <f t="shared" si="1"/>
        <v>0</v>
      </c>
      <c r="F953" s="5">
        <f t="shared" si="2"/>
        <v>19584.93877</v>
      </c>
      <c r="G953" s="5" t="s">
        <v>19</v>
      </c>
      <c r="H953" s="5" t="s">
        <v>19</v>
      </c>
      <c r="I953" s="5" t="s">
        <v>19</v>
      </c>
      <c r="J953" s="5">
        <v>0.0</v>
      </c>
      <c r="K953" s="5">
        <f t="shared" si="3"/>
        <v>0</v>
      </c>
      <c r="L953" s="5">
        <f t="shared" si="4"/>
        <v>0</v>
      </c>
      <c r="M953" s="5">
        <v>10186.58728835734</v>
      </c>
      <c r="N953" s="5">
        <f t="shared" si="5"/>
        <v>0</v>
      </c>
      <c r="O953" s="5">
        <f t="shared" si="6"/>
        <v>10186.58729</v>
      </c>
      <c r="P953" s="5">
        <f t="shared" si="9"/>
        <v>29771.52606</v>
      </c>
      <c r="Q953" s="5">
        <f t="shared" si="7"/>
        <v>29771.52606</v>
      </c>
      <c r="R953" s="5">
        <f t="shared" si="8"/>
        <v>0</v>
      </c>
    </row>
    <row r="954" ht="15.75" customHeight="1">
      <c r="A954" s="4">
        <v>2010.0</v>
      </c>
      <c r="B954" s="4">
        <v>326.0</v>
      </c>
      <c r="C954" s="4" t="s">
        <v>20</v>
      </c>
      <c r="D954" s="5" t="s">
        <v>19</v>
      </c>
      <c r="E954" s="5" t="str">
        <f t="shared" si="1"/>
        <v/>
      </c>
      <c r="F954" s="5" t="str">
        <f t="shared" si="2"/>
        <v/>
      </c>
      <c r="G954" s="5" t="s">
        <v>19</v>
      </c>
      <c r="H954" s="5" t="s">
        <v>19</v>
      </c>
      <c r="I954" s="5" t="s">
        <v>19</v>
      </c>
      <c r="J954" s="5">
        <v>0.0</v>
      </c>
      <c r="K954" s="5">
        <f t="shared" si="3"/>
        <v>0</v>
      </c>
      <c r="L954" s="5">
        <f t="shared" si="4"/>
        <v>0</v>
      </c>
      <c r="M954" s="5">
        <v>29019.77255039281</v>
      </c>
      <c r="N954" s="5">
        <f t="shared" si="5"/>
        <v>0</v>
      </c>
      <c r="O954" s="5">
        <f t="shared" si="6"/>
        <v>29019.77255</v>
      </c>
      <c r="P954" s="5">
        <f t="shared" si="9"/>
        <v>29019.77255</v>
      </c>
      <c r="Q954" s="5">
        <f t="shared" si="7"/>
        <v>29019.77255</v>
      </c>
      <c r="R954" s="5">
        <f t="shared" si="8"/>
        <v>0</v>
      </c>
    </row>
    <row r="955" ht="15.75" customHeight="1">
      <c r="A955" s="4">
        <v>2010.0</v>
      </c>
      <c r="B955" s="4">
        <v>327.0</v>
      </c>
      <c r="C955" s="4" t="s">
        <v>20</v>
      </c>
      <c r="D955" s="5">
        <v>83312.38807429865</v>
      </c>
      <c r="E955" s="5">
        <f t="shared" si="1"/>
        <v>0</v>
      </c>
      <c r="F955" s="5">
        <f t="shared" si="2"/>
        <v>83312.38807</v>
      </c>
      <c r="G955" s="5">
        <v>6519.798270638897</v>
      </c>
      <c r="H955" s="5">
        <v>2419.3938298308676</v>
      </c>
      <c r="I955" s="5">
        <v>4100.404440808029</v>
      </c>
      <c r="J955" s="5">
        <v>1227.044010293869</v>
      </c>
      <c r="K955" s="5">
        <f t="shared" si="3"/>
        <v>1227.04401</v>
      </c>
      <c r="L955" s="5">
        <f t="shared" si="4"/>
        <v>0</v>
      </c>
      <c r="M955" s="5">
        <v>33802.48725761364</v>
      </c>
      <c r="N955" s="5">
        <f t="shared" si="5"/>
        <v>0</v>
      </c>
      <c r="O955" s="5">
        <f t="shared" si="6"/>
        <v>33802.48726</v>
      </c>
      <c r="P955" s="5">
        <f t="shared" si="9"/>
        <v>124861.7176</v>
      </c>
      <c r="Q955" s="5">
        <f t="shared" si="7"/>
        <v>121215.2798</v>
      </c>
      <c r="R955" s="5">
        <f t="shared" si="8"/>
        <v>3646.43784</v>
      </c>
    </row>
    <row r="956" ht="15.75" customHeight="1">
      <c r="A956" s="4">
        <v>2010.0</v>
      </c>
      <c r="B956" s="4">
        <v>328.0</v>
      </c>
      <c r="C956" s="4" t="s">
        <v>20</v>
      </c>
      <c r="D956" s="5">
        <v>4909.965262796158</v>
      </c>
      <c r="E956" s="5">
        <f t="shared" si="1"/>
        <v>0</v>
      </c>
      <c r="F956" s="5">
        <f t="shared" si="2"/>
        <v>4909.965263</v>
      </c>
      <c r="G956" s="5">
        <v>4568.010897519507</v>
      </c>
      <c r="H956" s="5">
        <v>1877.1878314207677</v>
      </c>
      <c r="I956" s="5">
        <v>2690.823066098739</v>
      </c>
      <c r="J956" s="5">
        <v>396.5806241269785</v>
      </c>
      <c r="K956" s="5">
        <f t="shared" si="3"/>
        <v>396.5806241</v>
      </c>
      <c r="L956" s="5">
        <f t="shared" si="4"/>
        <v>0</v>
      </c>
      <c r="M956" s="5">
        <v>123521.19211683003</v>
      </c>
      <c r="N956" s="5">
        <f t="shared" si="5"/>
        <v>0</v>
      </c>
      <c r="O956" s="5">
        <f t="shared" si="6"/>
        <v>123521.1921</v>
      </c>
      <c r="P956" s="5">
        <f t="shared" si="9"/>
        <v>133395.7489</v>
      </c>
      <c r="Q956" s="5">
        <f t="shared" si="7"/>
        <v>131121.9804</v>
      </c>
      <c r="R956" s="5">
        <f t="shared" si="8"/>
        <v>2273.768456</v>
      </c>
    </row>
    <row r="957" ht="15.75" customHeight="1">
      <c r="A957" s="4">
        <v>2010.0</v>
      </c>
      <c r="B957" s="4">
        <v>331.0</v>
      </c>
      <c r="C957" s="4" t="s">
        <v>20</v>
      </c>
      <c r="D957" s="5">
        <v>231991.3901383354</v>
      </c>
      <c r="E957" s="5">
        <f t="shared" si="1"/>
        <v>0</v>
      </c>
      <c r="F957" s="5">
        <f t="shared" si="2"/>
        <v>231991.3901</v>
      </c>
      <c r="G957" s="5">
        <v>160984.64444097708</v>
      </c>
      <c r="H957" s="5">
        <v>44851.36797591128</v>
      </c>
      <c r="I957" s="5">
        <v>116133.2764650658</v>
      </c>
      <c r="J957" s="5">
        <v>5838.373564499053</v>
      </c>
      <c r="K957" s="5">
        <f t="shared" si="3"/>
        <v>5838.373564</v>
      </c>
      <c r="L957" s="5">
        <f t="shared" si="4"/>
        <v>0</v>
      </c>
      <c r="M957" s="5">
        <v>54966.58328343906</v>
      </c>
      <c r="N957" s="5">
        <f t="shared" si="5"/>
        <v>0</v>
      </c>
      <c r="O957" s="5">
        <f t="shared" si="6"/>
        <v>54966.58328</v>
      </c>
      <c r="P957" s="5">
        <f t="shared" si="9"/>
        <v>453780.9914</v>
      </c>
      <c r="Q957" s="5">
        <f t="shared" si="7"/>
        <v>403091.2499</v>
      </c>
      <c r="R957" s="5">
        <f t="shared" si="8"/>
        <v>50689.74154</v>
      </c>
    </row>
    <row r="958" ht="15.75" customHeight="1">
      <c r="A958" s="4">
        <v>2010.0</v>
      </c>
      <c r="B958" s="4">
        <v>332.0</v>
      </c>
      <c r="C958" s="4" t="s">
        <v>20</v>
      </c>
      <c r="D958" s="5" t="s">
        <v>19</v>
      </c>
      <c r="E958" s="5" t="str">
        <f t="shared" si="1"/>
        <v/>
      </c>
      <c r="F958" s="5" t="str">
        <f t="shared" si="2"/>
        <v/>
      </c>
      <c r="G958" s="5" t="s">
        <v>19</v>
      </c>
      <c r="H958" s="5" t="s">
        <v>19</v>
      </c>
      <c r="I958" s="5" t="s">
        <v>19</v>
      </c>
      <c r="J958" s="5">
        <v>0.0</v>
      </c>
      <c r="K958" s="5">
        <f t="shared" si="3"/>
        <v>0</v>
      </c>
      <c r="L958" s="5">
        <f t="shared" si="4"/>
        <v>0</v>
      </c>
      <c r="M958" s="5">
        <v>7561.310441795598</v>
      </c>
      <c r="N958" s="5">
        <f t="shared" si="5"/>
        <v>0</v>
      </c>
      <c r="O958" s="5">
        <f t="shared" si="6"/>
        <v>7561.310442</v>
      </c>
      <c r="P958" s="5">
        <f t="shared" si="9"/>
        <v>7561.310442</v>
      </c>
      <c r="Q958" s="5">
        <f t="shared" si="7"/>
        <v>7561.310442</v>
      </c>
      <c r="R958" s="5">
        <f t="shared" si="8"/>
        <v>0</v>
      </c>
    </row>
    <row r="959" ht="15.75" customHeight="1">
      <c r="A959" s="4">
        <v>2010.0</v>
      </c>
      <c r="B959" s="4">
        <v>333.0</v>
      </c>
      <c r="C959" s="4" t="s">
        <v>20</v>
      </c>
      <c r="D959" s="5">
        <v>19071.139206073105</v>
      </c>
      <c r="E959" s="5">
        <f t="shared" si="1"/>
        <v>0</v>
      </c>
      <c r="F959" s="5">
        <f t="shared" si="2"/>
        <v>19071.13921</v>
      </c>
      <c r="G959" s="5" t="s">
        <v>19</v>
      </c>
      <c r="H959" s="5" t="s">
        <v>19</v>
      </c>
      <c r="I959" s="5" t="s">
        <v>19</v>
      </c>
      <c r="J959" s="5">
        <v>0.0</v>
      </c>
      <c r="K959" s="5">
        <f t="shared" si="3"/>
        <v>0</v>
      </c>
      <c r="L959" s="5">
        <f t="shared" si="4"/>
        <v>0</v>
      </c>
      <c r="M959" s="5">
        <v>1163.1834185343027</v>
      </c>
      <c r="N959" s="5">
        <f t="shared" si="5"/>
        <v>0</v>
      </c>
      <c r="O959" s="5">
        <f t="shared" si="6"/>
        <v>1163.183419</v>
      </c>
      <c r="P959" s="5">
        <f t="shared" si="9"/>
        <v>20234.32262</v>
      </c>
      <c r="Q959" s="5">
        <f t="shared" si="7"/>
        <v>20234.32262</v>
      </c>
      <c r="R959" s="5">
        <f t="shared" si="8"/>
        <v>0</v>
      </c>
    </row>
    <row r="960" ht="15.75" customHeight="1">
      <c r="A960" s="4">
        <v>2010.0</v>
      </c>
      <c r="B960" s="4">
        <v>400.0</v>
      </c>
      <c r="C960" s="4" t="s">
        <v>21</v>
      </c>
      <c r="D960" s="5">
        <v>3585.2784856757717</v>
      </c>
      <c r="E960" s="5">
        <f t="shared" si="1"/>
        <v>0</v>
      </c>
      <c r="F960" s="5">
        <f t="shared" si="2"/>
        <v>3585.278486</v>
      </c>
      <c r="G960" s="5">
        <v>4403.613873274197</v>
      </c>
      <c r="H960" s="5">
        <v>3338.5809427895756</v>
      </c>
      <c r="I960" s="5">
        <v>1065.0329304846218</v>
      </c>
      <c r="J960" s="5">
        <v>78478.05077272569</v>
      </c>
      <c r="K960" s="5">
        <f t="shared" si="3"/>
        <v>78478.05077</v>
      </c>
      <c r="L960" s="5">
        <f t="shared" si="4"/>
        <v>0</v>
      </c>
      <c r="M960" s="5">
        <v>428.9537001432425</v>
      </c>
      <c r="N960" s="5">
        <f t="shared" si="5"/>
        <v>0</v>
      </c>
      <c r="O960" s="5">
        <f t="shared" si="6"/>
        <v>428.9537001</v>
      </c>
      <c r="P960" s="5">
        <f t="shared" si="9"/>
        <v>86895.89683</v>
      </c>
      <c r="Q960" s="5">
        <f t="shared" si="7"/>
        <v>5079.265116</v>
      </c>
      <c r="R960" s="5">
        <f t="shared" si="8"/>
        <v>81816.63172</v>
      </c>
    </row>
    <row r="961" ht="15.75" customHeight="1">
      <c r="A961" s="4">
        <v>2010.0</v>
      </c>
      <c r="B961" s="4">
        <v>401.0</v>
      </c>
      <c r="C961" s="4" t="s">
        <v>21</v>
      </c>
      <c r="D961" s="5">
        <v>1611.9621119518304</v>
      </c>
      <c r="E961" s="5">
        <f t="shared" si="1"/>
        <v>0</v>
      </c>
      <c r="F961" s="5">
        <f t="shared" si="2"/>
        <v>1611.962112</v>
      </c>
      <c r="G961" s="5">
        <v>11265.208890600283</v>
      </c>
      <c r="H961" s="5">
        <v>8314.893662235114</v>
      </c>
      <c r="I961" s="5">
        <v>2950.315228365169</v>
      </c>
      <c r="J961" s="5">
        <v>290641.1983546158</v>
      </c>
      <c r="K961" s="5">
        <f t="shared" si="3"/>
        <v>290641.1984</v>
      </c>
      <c r="L961" s="5">
        <f t="shared" si="4"/>
        <v>0</v>
      </c>
      <c r="M961" s="5">
        <v>3508.4728406808026</v>
      </c>
      <c r="N961" s="5">
        <f t="shared" si="5"/>
        <v>0</v>
      </c>
      <c r="O961" s="5">
        <f t="shared" si="6"/>
        <v>3508.472841</v>
      </c>
      <c r="P961" s="5">
        <f t="shared" si="9"/>
        <v>307026.8422</v>
      </c>
      <c r="Q961" s="5">
        <f t="shared" si="7"/>
        <v>8070.750181</v>
      </c>
      <c r="R961" s="5">
        <f t="shared" si="8"/>
        <v>298956.092</v>
      </c>
    </row>
    <row r="962" ht="15.75" customHeight="1">
      <c r="A962" s="4">
        <v>2010.0</v>
      </c>
      <c r="B962" s="4">
        <v>402.0</v>
      </c>
      <c r="C962" s="4" t="s">
        <v>21</v>
      </c>
      <c r="D962" s="5">
        <v>1338.5466308264447</v>
      </c>
      <c r="E962" s="5">
        <f t="shared" si="1"/>
        <v>0</v>
      </c>
      <c r="F962" s="5">
        <f t="shared" si="2"/>
        <v>1338.546631</v>
      </c>
      <c r="G962" s="5">
        <v>23365.731698447467</v>
      </c>
      <c r="H962" s="5">
        <v>16729.889721030988</v>
      </c>
      <c r="I962" s="5">
        <v>6635.8419774164795</v>
      </c>
      <c r="J962" s="5">
        <v>195512.77969743713</v>
      </c>
      <c r="K962" s="5">
        <f t="shared" si="3"/>
        <v>195512.7797</v>
      </c>
      <c r="L962" s="5">
        <f t="shared" si="4"/>
        <v>0</v>
      </c>
      <c r="M962" s="5">
        <v>4465.153628771237</v>
      </c>
      <c r="N962" s="5">
        <f t="shared" si="5"/>
        <v>0</v>
      </c>
      <c r="O962" s="5">
        <f t="shared" si="6"/>
        <v>4465.153629</v>
      </c>
      <c r="P962" s="5">
        <f t="shared" si="9"/>
        <v>224682.2117</v>
      </c>
      <c r="Q962" s="5">
        <f t="shared" si="7"/>
        <v>12439.54224</v>
      </c>
      <c r="R962" s="5">
        <f t="shared" si="8"/>
        <v>212242.6694</v>
      </c>
    </row>
    <row r="963" ht="15.75" customHeight="1">
      <c r="A963" s="4">
        <v>2010.0</v>
      </c>
      <c r="B963" s="4">
        <v>403.0</v>
      </c>
      <c r="C963" s="4" t="s">
        <v>21</v>
      </c>
      <c r="D963" s="5">
        <v>5746.951301633936</v>
      </c>
      <c r="E963" s="5">
        <f t="shared" si="1"/>
        <v>0</v>
      </c>
      <c r="F963" s="5">
        <f t="shared" si="2"/>
        <v>5746.951302</v>
      </c>
      <c r="G963" s="5">
        <v>24471.4901534952</v>
      </c>
      <c r="H963" s="5">
        <v>15835.957283275531</v>
      </c>
      <c r="I963" s="5">
        <v>8635.53287021967</v>
      </c>
      <c r="J963" s="5">
        <v>619400.5814769577</v>
      </c>
      <c r="K963" s="5">
        <f t="shared" si="3"/>
        <v>619400.5815</v>
      </c>
      <c r="L963" s="5">
        <f t="shared" si="4"/>
        <v>0</v>
      </c>
      <c r="M963" s="5">
        <v>41098.755775468686</v>
      </c>
      <c r="N963" s="5">
        <f t="shared" si="5"/>
        <v>0</v>
      </c>
      <c r="O963" s="5">
        <f t="shared" si="6"/>
        <v>41098.75578</v>
      </c>
      <c r="P963" s="5">
        <f t="shared" si="9"/>
        <v>690717.7787</v>
      </c>
      <c r="Q963" s="5">
        <f t="shared" si="7"/>
        <v>55481.23995</v>
      </c>
      <c r="R963" s="5">
        <f t="shared" si="8"/>
        <v>635236.5388</v>
      </c>
    </row>
    <row r="964" ht="15.75" customHeight="1">
      <c r="A964" s="4">
        <v>2010.0</v>
      </c>
      <c r="B964" s="4">
        <v>404.0</v>
      </c>
      <c r="C964" s="4" t="s">
        <v>21</v>
      </c>
      <c r="D964" s="5">
        <v>8242.460847033279</v>
      </c>
      <c r="E964" s="5">
        <f t="shared" si="1"/>
        <v>0</v>
      </c>
      <c r="F964" s="5">
        <f t="shared" si="2"/>
        <v>8242.460847</v>
      </c>
      <c r="G964" s="5">
        <v>13310.042192990919</v>
      </c>
      <c r="H964" s="5">
        <v>7277.4175851853715</v>
      </c>
      <c r="I964" s="5">
        <v>6032.624607805547</v>
      </c>
      <c r="J964" s="5">
        <v>299461.24458611535</v>
      </c>
      <c r="K964" s="5">
        <f t="shared" si="3"/>
        <v>299461.2446</v>
      </c>
      <c r="L964" s="5">
        <f t="shared" si="4"/>
        <v>0</v>
      </c>
      <c r="M964" s="5">
        <v>3965.4094100153925</v>
      </c>
      <c r="N964" s="5">
        <f t="shared" si="5"/>
        <v>0</v>
      </c>
      <c r="O964" s="5">
        <f t="shared" si="6"/>
        <v>3965.40941</v>
      </c>
      <c r="P964" s="5">
        <f t="shared" si="9"/>
        <v>324979.157</v>
      </c>
      <c r="Q964" s="5">
        <f t="shared" si="7"/>
        <v>18240.49486</v>
      </c>
      <c r="R964" s="5">
        <f t="shared" si="8"/>
        <v>306738.6622</v>
      </c>
    </row>
    <row r="965" ht="15.75" customHeight="1">
      <c r="A965" s="4">
        <v>2010.0</v>
      </c>
      <c r="B965" s="4">
        <v>405.0</v>
      </c>
      <c r="C965" s="4" t="s">
        <v>21</v>
      </c>
      <c r="D965" s="5">
        <v>13737.434745055465</v>
      </c>
      <c r="E965" s="5">
        <f t="shared" si="1"/>
        <v>0</v>
      </c>
      <c r="F965" s="5">
        <f t="shared" si="2"/>
        <v>13737.43475</v>
      </c>
      <c r="G965" s="5">
        <v>7145.720625909944</v>
      </c>
      <c r="H965" s="5">
        <v>4688.497833347154</v>
      </c>
      <c r="I965" s="5">
        <v>2457.2227925627903</v>
      </c>
      <c r="J965" s="5">
        <v>54646.21110807893</v>
      </c>
      <c r="K965" s="5">
        <f t="shared" si="3"/>
        <v>54646.21111</v>
      </c>
      <c r="L965" s="5">
        <f t="shared" si="4"/>
        <v>0</v>
      </c>
      <c r="M965" s="5">
        <v>2342.1398351379503</v>
      </c>
      <c r="N965" s="5">
        <f t="shared" si="5"/>
        <v>0</v>
      </c>
      <c r="O965" s="5">
        <f t="shared" si="6"/>
        <v>2342.139835</v>
      </c>
      <c r="P965" s="5">
        <f t="shared" si="9"/>
        <v>77871.50631</v>
      </c>
      <c r="Q965" s="5">
        <f t="shared" si="7"/>
        <v>18536.79737</v>
      </c>
      <c r="R965" s="5">
        <f t="shared" si="8"/>
        <v>59334.70894</v>
      </c>
    </row>
    <row r="966" ht="15.75" customHeight="1">
      <c r="A966" s="4">
        <v>2010.0</v>
      </c>
      <c r="B966" s="4">
        <v>406.0</v>
      </c>
      <c r="C966" s="4" t="s">
        <v>21</v>
      </c>
      <c r="D966" s="5">
        <v>1075.1569172944999</v>
      </c>
      <c r="E966" s="5">
        <f t="shared" si="1"/>
        <v>0</v>
      </c>
      <c r="F966" s="5">
        <f t="shared" si="2"/>
        <v>1075.156917</v>
      </c>
      <c r="G966" s="5" t="s">
        <v>19</v>
      </c>
      <c r="H966" s="5" t="s">
        <v>19</v>
      </c>
      <c r="I966" s="5" t="s">
        <v>19</v>
      </c>
      <c r="J966" s="5">
        <v>210070.07352286892</v>
      </c>
      <c r="K966" s="5">
        <f t="shared" si="3"/>
        <v>210070.0735</v>
      </c>
      <c r="L966" s="5">
        <f t="shared" si="4"/>
        <v>0</v>
      </c>
      <c r="M966" s="5">
        <v>88.597799007091</v>
      </c>
      <c r="N966" s="5">
        <f t="shared" si="5"/>
        <v>0</v>
      </c>
      <c r="O966" s="5">
        <f t="shared" si="6"/>
        <v>88.59779901</v>
      </c>
      <c r="P966" s="5">
        <f t="shared" si="9"/>
        <v>211233.8282</v>
      </c>
      <c r="Q966" s="5">
        <f t="shared" si="7"/>
        <v>1163.754716</v>
      </c>
      <c r="R966" s="5">
        <f t="shared" si="8"/>
        <v>210070.0735</v>
      </c>
    </row>
    <row r="967" ht="15.75" customHeight="1">
      <c r="A967" s="4">
        <v>2010.0</v>
      </c>
      <c r="B967" s="4">
        <v>407.0</v>
      </c>
      <c r="C967" s="4" t="s">
        <v>21</v>
      </c>
      <c r="D967" s="5">
        <v>3093.322602433782</v>
      </c>
      <c r="E967" s="5">
        <f t="shared" si="1"/>
        <v>0</v>
      </c>
      <c r="F967" s="5">
        <f t="shared" si="2"/>
        <v>3093.322602</v>
      </c>
      <c r="G967" s="5" t="s">
        <v>19</v>
      </c>
      <c r="H967" s="5" t="s">
        <v>19</v>
      </c>
      <c r="I967" s="5" t="s">
        <v>19</v>
      </c>
      <c r="J967" s="5">
        <v>126055.41220299783</v>
      </c>
      <c r="K967" s="5">
        <f t="shared" si="3"/>
        <v>126055.4122</v>
      </c>
      <c r="L967" s="5">
        <f t="shared" si="4"/>
        <v>0</v>
      </c>
      <c r="M967" s="5">
        <v>161.4058912604429</v>
      </c>
      <c r="N967" s="5">
        <f t="shared" si="5"/>
        <v>0</v>
      </c>
      <c r="O967" s="5">
        <f t="shared" si="6"/>
        <v>161.4058913</v>
      </c>
      <c r="P967" s="5">
        <f t="shared" si="9"/>
        <v>129310.1407</v>
      </c>
      <c r="Q967" s="5">
        <f t="shared" si="7"/>
        <v>3254.728494</v>
      </c>
      <c r="R967" s="5">
        <f t="shared" si="8"/>
        <v>126055.4122</v>
      </c>
    </row>
    <row r="968" ht="15.75" customHeight="1">
      <c r="A968" s="4">
        <v>2010.0</v>
      </c>
      <c r="B968" s="4">
        <v>408.0</v>
      </c>
      <c r="C968" s="4" t="s">
        <v>21</v>
      </c>
      <c r="D968" s="5" t="s">
        <v>19</v>
      </c>
      <c r="E968" s="5" t="str">
        <f t="shared" si="1"/>
        <v/>
      </c>
      <c r="F968" s="5" t="str">
        <f t="shared" si="2"/>
        <v/>
      </c>
      <c r="G968" s="5">
        <v>1321.1712699235743</v>
      </c>
      <c r="H968" s="5">
        <v>961.6306801469789</v>
      </c>
      <c r="I968" s="5">
        <v>359.5405897765954</v>
      </c>
      <c r="J968" s="5">
        <v>80514.35094999554</v>
      </c>
      <c r="K968" s="5">
        <f t="shared" si="3"/>
        <v>80514.35095</v>
      </c>
      <c r="L968" s="5">
        <f t="shared" si="4"/>
        <v>0</v>
      </c>
      <c r="M968" s="5">
        <v>155.2654497451</v>
      </c>
      <c r="N968" s="5">
        <f t="shared" si="5"/>
        <v>0</v>
      </c>
      <c r="O968" s="5">
        <f t="shared" si="6"/>
        <v>155.2654497</v>
      </c>
      <c r="P968" s="5">
        <f t="shared" si="9"/>
        <v>81990.78767</v>
      </c>
      <c r="Q968" s="5">
        <f t="shared" si="7"/>
        <v>514.8060395</v>
      </c>
      <c r="R968" s="5">
        <f t="shared" si="8"/>
        <v>81475.98163</v>
      </c>
    </row>
    <row r="969" ht="15.75" customHeight="1">
      <c r="A969" s="4">
        <v>2010.0</v>
      </c>
      <c r="B969" s="4">
        <v>409.0</v>
      </c>
      <c r="C969" s="4" t="s">
        <v>21</v>
      </c>
      <c r="D969" s="5">
        <v>1673.4499312882008</v>
      </c>
      <c r="E969" s="5">
        <f t="shared" si="1"/>
        <v>0</v>
      </c>
      <c r="F969" s="5">
        <f t="shared" si="2"/>
        <v>1673.449931</v>
      </c>
      <c r="G969" s="5">
        <v>2164.37614185432</v>
      </c>
      <c r="H969" s="5">
        <v>1454.8050998941253</v>
      </c>
      <c r="I969" s="5">
        <v>709.5710419601946</v>
      </c>
      <c r="J969" s="5">
        <v>60855.700147773954</v>
      </c>
      <c r="K969" s="5">
        <f t="shared" si="3"/>
        <v>60855.70015</v>
      </c>
      <c r="L969" s="5">
        <f t="shared" si="4"/>
        <v>0</v>
      </c>
      <c r="M969" s="5">
        <v>1344.098787412031</v>
      </c>
      <c r="N969" s="5">
        <f t="shared" si="5"/>
        <v>0</v>
      </c>
      <c r="O969" s="5">
        <f t="shared" si="6"/>
        <v>1344.098787</v>
      </c>
      <c r="P969" s="5">
        <f t="shared" si="9"/>
        <v>66037.62501</v>
      </c>
      <c r="Q969" s="5">
        <f t="shared" si="7"/>
        <v>3727.119761</v>
      </c>
      <c r="R969" s="5">
        <f t="shared" si="8"/>
        <v>62310.50525</v>
      </c>
    </row>
    <row r="970" ht="15.75" customHeight="1">
      <c r="A970" s="4">
        <v>2010.0</v>
      </c>
      <c r="B970" s="4">
        <v>420.0</v>
      </c>
      <c r="C970" s="4" t="s">
        <v>21</v>
      </c>
      <c r="D970" s="5">
        <v>2114.477048297551</v>
      </c>
      <c r="E970" s="5">
        <f t="shared" si="1"/>
        <v>0</v>
      </c>
      <c r="F970" s="5">
        <f t="shared" si="2"/>
        <v>2114.477048</v>
      </c>
      <c r="G970" s="5" t="s">
        <v>19</v>
      </c>
      <c r="H970" s="5" t="s">
        <v>19</v>
      </c>
      <c r="I970" s="5" t="s">
        <v>19</v>
      </c>
      <c r="J970" s="5">
        <v>5007.055250647259</v>
      </c>
      <c r="K970" s="5">
        <f t="shared" si="3"/>
        <v>5007.055251</v>
      </c>
      <c r="L970" s="5">
        <f t="shared" si="4"/>
        <v>0</v>
      </c>
      <c r="M970" s="5">
        <v>16466.032526357478</v>
      </c>
      <c r="N970" s="5">
        <f t="shared" si="5"/>
        <v>0</v>
      </c>
      <c r="O970" s="5">
        <f t="shared" si="6"/>
        <v>16466.03253</v>
      </c>
      <c r="P970" s="5">
        <f t="shared" si="9"/>
        <v>23587.56483</v>
      </c>
      <c r="Q970" s="5">
        <f t="shared" si="7"/>
        <v>18580.50957</v>
      </c>
      <c r="R970" s="5">
        <f t="shared" si="8"/>
        <v>5007.055251</v>
      </c>
    </row>
    <row r="971" ht="15.75" customHeight="1">
      <c r="A971" s="4">
        <v>2010.0</v>
      </c>
      <c r="B971" s="4">
        <v>421.0</v>
      </c>
      <c r="C971" s="4" t="s">
        <v>21</v>
      </c>
      <c r="D971" s="5">
        <v>4432.6691615256605</v>
      </c>
      <c r="E971" s="5">
        <f t="shared" si="1"/>
        <v>0</v>
      </c>
      <c r="F971" s="5">
        <f t="shared" si="2"/>
        <v>4432.669162</v>
      </c>
      <c r="G971" s="5">
        <v>2853.553677553671</v>
      </c>
      <c r="H971" s="5">
        <v>2150.6438311058128</v>
      </c>
      <c r="I971" s="5">
        <v>702.9098464478584</v>
      </c>
      <c r="J971" s="5">
        <v>246.8429641360534</v>
      </c>
      <c r="K971" s="5">
        <f t="shared" si="3"/>
        <v>246.8429641</v>
      </c>
      <c r="L971" s="5">
        <f t="shared" si="4"/>
        <v>0</v>
      </c>
      <c r="M971" s="5">
        <v>100173.18039590114</v>
      </c>
      <c r="N971" s="5">
        <f t="shared" si="5"/>
        <v>0</v>
      </c>
      <c r="O971" s="5">
        <f t="shared" si="6"/>
        <v>100173.1804</v>
      </c>
      <c r="P971" s="5">
        <f t="shared" si="9"/>
        <v>107706.2462</v>
      </c>
      <c r="Q971" s="5">
        <f t="shared" si="7"/>
        <v>105308.7594</v>
      </c>
      <c r="R971" s="5">
        <f t="shared" si="8"/>
        <v>2397.486795</v>
      </c>
    </row>
    <row r="972" ht="15.75" customHeight="1">
      <c r="A972" s="4">
        <v>2010.0</v>
      </c>
      <c r="B972" s="4">
        <v>422.0</v>
      </c>
      <c r="C972" s="4" t="s">
        <v>21</v>
      </c>
      <c r="D972" s="5">
        <v>460.8653379921169</v>
      </c>
      <c r="E972" s="5">
        <f t="shared" si="1"/>
        <v>0</v>
      </c>
      <c r="F972" s="5">
        <f t="shared" si="2"/>
        <v>460.865338</v>
      </c>
      <c r="G972" s="5" t="s">
        <v>19</v>
      </c>
      <c r="H972" s="5" t="s">
        <v>19</v>
      </c>
      <c r="I972" s="5" t="s">
        <v>19</v>
      </c>
      <c r="J972" s="5">
        <v>7322.095131325124</v>
      </c>
      <c r="K972" s="5">
        <f t="shared" si="3"/>
        <v>7322.095131</v>
      </c>
      <c r="L972" s="5">
        <f t="shared" si="4"/>
        <v>0</v>
      </c>
      <c r="M972" s="5">
        <v>50530.24586949343</v>
      </c>
      <c r="N972" s="5">
        <f t="shared" si="5"/>
        <v>0</v>
      </c>
      <c r="O972" s="5">
        <f t="shared" si="6"/>
        <v>50530.24587</v>
      </c>
      <c r="P972" s="5">
        <f t="shared" si="9"/>
        <v>58313.20634</v>
      </c>
      <c r="Q972" s="5">
        <f t="shared" si="7"/>
        <v>50991.11121</v>
      </c>
      <c r="R972" s="5">
        <f t="shared" si="8"/>
        <v>7322.095131</v>
      </c>
    </row>
    <row r="973" ht="15.75" customHeight="1">
      <c r="A973" s="4">
        <v>2010.0</v>
      </c>
      <c r="B973" s="4">
        <v>423.0</v>
      </c>
      <c r="C973" s="4" t="s">
        <v>21</v>
      </c>
      <c r="D973" s="5">
        <v>11634.370006678106</v>
      </c>
      <c r="E973" s="5">
        <f t="shared" si="1"/>
        <v>0</v>
      </c>
      <c r="F973" s="5">
        <f t="shared" si="2"/>
        <v>11634.37001</v>
      </c>
      <c r="G973" s="5">
        <v>12661.446709951335</v>
      </c>
      <c r="H973" s="5">
        <v>5951.4809984722015</v>
      </c>
      <c r="I973" s="5">
        <v>6709.9657114791335</v>
      </c>
      <c r="J973" s="5">
        <v>62352.60987919339</v>
      </c>
      <c r="K973" s="5">
        <f t="shared" si="3"/>
        <v>62352.60988</v>
      </c>
      <c r="L973" s="5">
        <f t="shared" si="4"/>
        <v>0</v>
      </c>
      <c r="M973" s="5">
        <v>240886.16972024785</v>
      </c>
      <c r="N973" s="5">
        <f t="shared" si="5"/>
        <v>0</v>
      </c>
      <c r="O973" s="5">
        <f t="shared" si="6"/>
        <v>240886.1697</v>
      </c>
      <c r="P973" s="5">
        <f t="shared" si="9"/>
        <v>327534.5963</v>
      </c>
      <c r="Q973" s="5">
        <f t="shared" si="7"/>
        <v>259230.5054</v>
      </c>
      <c r="R973" s="5">
        <f t="shared" si="8"/>
        <v>68304.09088</v>
      </c>
    </row>
    <row r="974" ht="15.75" customHeight="1">
      <c r="A974" s="4">
        <v>2010.0</v>
      </c>
      <c r="B974" s="4">
        <v>424.0</v>
      </c>
      <c r="C974" s="4" t="s">
        <v>21</v>
      </c>
      <c r="D974" s="5">
        <v>2486.1770489692767</v>
      </c>
      <c r="E974" s="5">
        <f t="shared" si="1"/>
        <v>0</v>
      </c>
      <c r="F974" s="5">
        <f t="shared" si="2"/>
        <v>2486.177049</v>
      </c>
      <c r="G974" s="5">
        <v>5231.60047545753</v>
      </c>
      <c r="H974" s="5">
        <v>3699.5255076203102</v>
      </c>
      <c r="I974" s="5">
        <v>1532.0749678372194</v>
      </c>
      <c r="J974" s="5">
        <v>2560.7643376326764</v>
      </c>
      <c r="K974" s="5">
        <f t="shared" si="3"/>
        <v>2560.764338</v>
      </c>
      <c r="L974" s="5">
        <f t="shared" si="4"/>
        <v>0</v>
      </c>
      <c r="M974" s="5">
        <v>34925.51553037451</v>
      </c>
      <c r="N974" s="5">
        <f t="shared" si="5"/>
        <v>0</v>
      </c>
      <c r="O974" s="5">
        <f t="shared" si="6"/>
        <v>34925.51553</v>
      </c>
      <c r="P974" s="5">
        <f t="shared" si="9"/>
        <v>45204.05739</v>
      </c>
      <c r="Q974" s="5">
        <f t="shared" si="7"/>
        <v>38943.76755</v>
      </c>
      <c r="R974" s="5">
        <f t="shared" si="8"/>
        <v>6260.289845</v>
      </c>
    </row>
    <row r="975" ht="15.75" customHeight="1">
      <c r="A975" s="4">
        <v>2010.0</v>
      </c>
      <c r="B975" s="4">
        <v>425.0</v>
      </c>
      <c r="C975" s="4" t="s">
        <v>21</v>
      </c>
      <c r="D975" s="5">
        <v>8992.79356001049</v>
      </c>
      <c r="E975" s="5">
        <f t="shared" si="1"/>
        <v>0</v>
      </c>
      <c r="F975" s="5">
        <f t="shared" si="2"/>
        <v>8992.79356</v>
      </c>
      <c r="G975" s="5">
        <v>2561.998273975284</v>
      </c>
      <c r="H975" s="5">
        <v>1732.9356325168824</v>
      </c>
      <c r="I975" s="5">
        <v>829.0626414584017</v>
      </c>
      <c r="J975" s="5">
        <v>663.3904661156437</v>
      </c>
      <c r="K975" s="5">
        <f t="shared" si="3"/>
        <v>663.3904661</v>
      </c>
      <c r="L975" s="5">
        <f t="shared" si="4"/>
        <v>0</v>
      </c>
      <c r="M975" s="5">
        <v>114380.54800349218</v>
      </c>
      <c r="N975" s="5">
        <f t="shared" si="5"/>
        <v>0</v>
      </c>
      <c r="O975" s="5">
        <f t="shared" si="6"/>
        <v>114380.548</v>
      </c>
      <c r="P975" s="5">
        <f t="shared" si="9"/>
        <v>126598.7303</v>
      </c>
      <c r="Q975" s="5">
        <f t="shared" si="7"/>
        <v>124202.4042</v>
      </c>
      <c r="R975" s="5">
        <f t="shared" si="8"/>
        <v>2396.326099</v>
      </c>
    </row>
    <row r="976" ht="15.75" customHeight="1">
      <c r="A976" s="4">
        <v>2010.0</v>
      </c>
      <c r="B976" s="4">
        <v>426.0</v>
      </c>
      <c r="C976" s="4" t="s">
        <v>21</v>
      </c>
      <c r="D976" s="5">
        <v>7404.669310368598</v>
      </c>
      <c r="E976" s="5">
        <f t="shared" si="1"/>
        <v>0</v>
      </c>
      <c r="F976" s="5">
        <f t="shared" si="2"/>
        <v>7404.66931</v>
      </c>
      <c r="G976" s="5">
        <v>883.8894045214729</v>
      </c>
      <c r="H976" s="5">
        <v>388.9113379894481</v>
      </c>
      <c r="I976" s="5">
        <v>494.9780665320248</v>
      </c>
      <c r="J976" s="5">
        <v>0.0</v>
      </c>
      <c r="K976" s="5">
        <f t="shared" si="3"/>
        <v>0</v>
      </c>
      <c r="L976" s="5">
        <f t="shared" si="4"/>
        <v>0</v>
      </c>
      <c r="M976" s="5">
        <v>85627.75516671268</v>
      </c>
      <c r="N976" s="5">
        <f t="shared" si="5"/>
        <v>0</v>
      </c>
      <c r="O976" s="5">
        <f t="shared" si="6"/>
        <v>85627.75517</v>
      </c>
      <c r="P976" s="5">
        <f t="shared" si="9"/>
        <v>93916.31388</v>
      </c>
      <c r="Q976" s="5">
        <f t="shared" si="7"/>
        <v>93527.40254</v>
      </c>
      <c r="R976" s="5">
        <f t="shared" si="8"/>
        <v>388.911338</v>
      </c>
    </row>
    <row r="977" ht="15.75" customHeight="1">
      <c r="A977" s="4">
        <v>2010.0</v>
      </c>
      <c r="B977" s="4">
        <v>427.0</v>
      </c>
      <c r="C977" s="4" t="s">
        <v>21</v>
      </c>
      <c r="D977" s="5">
        <v>730.6011490965057</v>
      </c>
      <c r="E977" s="5">
        <f t="shared" si="1"/>
        <v>0</v>
      </c>
      <c r="F977" s="5">
        <f t="shared" si="2"/>
        <v>730.6011491</v>
      </c>
      <c r="G977" s="5" t="s">
        <v>19</v>
      </c>
      <c r="H977" s="5" t="s">
        <v>19</v>
      </c>
      <c r="I977" s="5" t="s">
        <v>19</v>
      </c>
      <c r="J977" s="5">
        <v>0.0</v>
      </c>
      <c r="K977" s="5">
        <f t="shared" si="3"/>
        <v>0</v>
      </c>
      <c r="L977" s="5">
        <f t="shared" si="4"/>
        <v>0</v>
      </c>
      <c r="M977" s="5">
        <v>104578.63138902467</v>
      </c>
      <c r="N977" s="5">
        <f t="shared" si="5"/>
        <v>0</v>
      </c>
      <c r="O977" s="5">
        <f t="shared" si="6"/>
        <v>104578.6314</v>
      </c>
      <c r="P977" s="5">
        <f t="shared" si="9"/>
        <v>105309.2325</v>
      </c>
      <c r="Q977" s="5">
        <f t="shared" si="7"/>
        <v>105309.2325</v>
      </c>
      <c r="R977" s="5">
        <f t="shared" si="8"/>
        <v>0</v>
      </c>
    </row>
    <row r="978" ht="15.75" customHeight="1">
      <c r="A978" s="4">
        <v>2010.0</v>
      </c>
      <c r="B978" s="4">
        <v>428.0</v>
      </c>
      <c r="C978" s="4" t="s">
        <v>21</v>
      </c>
      <c r="D978" s="5" t="s">
        <v>19</v>
      </c>
      <c r="E978" s="5" t="str">
        <f t="shared" si="1"/>
        <v/>
      </c>
      <c r="F978" s="5" t="str">
        <f t="shared" si="2"/>
        <v/>
      </c>
      <c r="G978" s="5">
        <v>742.9794994528323</v>
      </c>
      <c r="H978" s="5">
        <v>422.2173155511268</v>
      </c>
      <c r="I978" s="5">
        <v>320.76218390170555</v>
      </c>
      <c r="J978" s="5">
        <v>669.1758480875824</v>
      </c>
      <c r="K978" s="5">
        <f t="shared" si="3"/>
        <v>669.1758481</v>
      </c>
      <c r="L978" s="5">
        <f t="shared" si="4"/>
        <v>0</v>
      </c>
      <c r="M978" s="5">
        <v>11967.281910438003</v>
      </c>
      <c r="N978" s="5">
        <f t="shared" si="5"/>
        <v>0</v>
      </c>
      <c r="O978" s="5">
        <f t="shared" si="6"/>
        <v>11967.28191</v>
      </c>
      <c r="P978" s="5">
        <f t="shared" si="9"/>
        <v>13379.43726</v>
      </c>
      <c r="Q978" s="5">
        <f t="shared" si="7"/>
        <v>12288.04409</v>
      </c>
      <c r="R978" s="5">
        <f t="shared" si="8"/>
        <v>1091.393164</v>
      </c>
    </row>
    <row r="979" ht="15.75" customHeight="1">
      <c r="A979" s="4">
        <v>2010.0</v>
      </c>
      <c r="B979" s="4">
        <v>429.0</v>
      </c>
      <c r="C979" s="4" t="s">
        <v>21</v>
      </c>
      <c r="D979" s="5">
        <v>8788.545209569646</v>
      </c>
      <c r="E979" s="5">
        <f t="shared" si="1"/>
        <v>0</v>
      </c>
      <c r="F979" s="5">
        <f t="shared" si="2"/>
        <v>8788.54521</v>
      </c>
      <c r="G979" s="5">
        <v>2244.310488002349</v>
      </c>
      <c r="H979" s="5">
        <v>733.2439060117264</v>
      </c>
      <c r="I979" s="5">
        <v>1511.0665819906226</v>
      </c>
      <c r="J979" s="5">
        <v>183.20376244472715</v>
      </c>
      <c r="K979" s="5">
        <f t="shared" si="3"/>
        <v>183.2037624</v>
      </c>
      <c r="L979" s="5">
        <f t="shared" si="4"/>
        <v>0</v>
      </c>
      <c r="M979" s="5">
        <v>8639.952094459826</v>
      </c>
      <c r="N979" s="5">
        <f t="shared" si="5"/>
        <v>0</v>
      </c>
      <c r="O979" s="5">
        <f t="shared" si="6"/>
        <v>8639.952094</v>
      </c>
      <c r="P979" s="5">
        <f t="shared" si="9"/>
        <v>19856.01155</v>
      </c>
      <c r="Q979" s="5">
        <f t="shared" si="7"/>
        <v>18939.56389</v>
      </c>
      <c r="R979" s="5">
        <f t="shared" si="8"/>
        <v>916.4476685</v>
      </c>
    </row>
    <row r="980" ht="15.75" customHeight="1">
      <c r="A980" s="4">
        <v>2010.0</v>
      </c>
      <c r="B980" s="4">
        <v>500.0</v>
      </c>
      <c r="C980" s="4" t="s">
        <v>22</v>
      </c>
      <c r="D980" s="5">
        <v>5455.745944993637</v>
      </c>
      <c r="E980" s="5">
        <f t="shared" si="1"/>
        <v>0</v>
      </c>
      <c r="F980" s="5">
        <f t="shared" si="2"/>
        <v>5455.745945</v>
      </c>
      <c r="G980" s="5">
        <v>20253.651787672272</v>
      </c>
      <c r="H980" s="5">
        <v>10677.753825500682</v>
      </c>
      <c r="I980" s="5">
        <v>9575.89796217159</v>
      </c>
      <c r="J980" s="5">
        <v>986144.4783602317</v>
      </c>
      <c r="K980" s="5">
        <f t="shared" si="3"/>
        <v>986144.4784</v>
      </c>
      <c r="L980" s="5">
        <f t="shared" si="4"/>
        <v>0</v>
      </c>
      <c r="M980" s="5">
        <v>16993.35303631769</v>
      </c>
      <c r="N980" s="5">
        <f t="shared" si="5"/>
        <v>0</v>
      </c>
      <c r="O980" s="5">
        <f t="shared" si="6"/>
        <v>16993.35304</v>
      </c>
      <c r="P980" s="5">
        <f t="shared" si="9"/>
        <v>1028847.229</v>
      </c>
      <c r="Q980" s="5">
        <f t="shared" si="7"/>
        <v>32024.99694</v>
      </c>
      <c r="R980" s="5">
        <f t="shared" si="8"/>
        <v>996822.2322</v>
      </c>
    </row>
    <row r="981" ht="15.75" customHeight="1">
      <c r="A981" s="4">
        <v>2010.0</v>
      </c>
      <c r="B981" s="4">
        <v>501.0</v>
      </c>
      <c r="C981" s="4" t="s">
        <v>22</v>
      </c>
      <c r="D981" s="5">
        <v>1767.4446353550352</v>
      </c>
      <c r="E981" s="5">
        <f t="shared" si="1"/>
        <v>0</v>
      </c>
      <c r="F981" s="5">
        <f t="shared" si="2"/>
        <v>1767.444635</v>
      </c>
      <c r="G981" s="5">
        <v>9311.958672162069</v>
      </c>
      <c r="H981" s="5">
        <v>4242.543826570104</v>
      </c>
      <c r="I981" s="5">
        <v>5069.414845591965</v>
      </c>
      <c r="J981" s="5">
        <v>0.0</v>
      </c>
      <c r="K981" s="5">
        <f t="shared" si="3"/>
        <v>0</v>
      </c>
      <c r="L981" s="5">
        <f t="shared" si="4"/>
        <v>0</v>
      </c>
      <c r="M981" s="5">
        <v>1745.347400241999</v>
      </c>
      <c r="N981" s="5">
        <f t="shared" si="5"/>
        <v>0</v>
      </c>
      <c r="O981" s="5">
        <f t="shared" si="6"/>
        <v>1745.3474</v>
      </c>
      <c r="P981" s="5">
        <f t="shared" si="9"/>
        <v>12824.75071</v>
      </c>
      <c r="Q981" s="5">
        <f t="shared" si="7"/>
        <v>8582.206881</v>
      </c>
      <c r="R981" s="5">
        <f t="shared" si="8"/>
        <v>4242.543827</v>
      </c>
    </row>
    <row r="982" ht="15.75" customHeight="1">
      <c r="A982" s="4">
        <v>2010.0</v>
      </c>
      <c r="B982" s="4">
        <v>502.0</v>
      </c>
      <c r="C982" s="4" t="s">
        <v>22</v>
      </c>
      <c r="D982" s="5">
        <v>2610.7528226509594</v>
      </c>
      <c r="E982" s="5">
        <f t="shared" si="1"/>
        <v>0</v>
      </c>
      <c r="F982" s="5">
        <f t="shared" si="2"/>
        <v>2610.752823</v>
      </c>
      <c r="G982" s="5" t="s">
        <v>19</v>
      </c>
      <c r="H982" s="5" t="s">
        <v>19</v>
      </c>
      <c r="I982" s="5" t="s">
        <v>19</v>
      </c>
      <c r="J982" s="5">
        <v>0.0</v>
      </c>
      <c r="K982" s="5">
        <f t="shared" si="3"/>
        <v>0</v>
      </c>
      <c r="L982" s="5">
        <f t="shared" si="4"/>
        <v>0</v>
      </c>
      <c r="M982" s="5">
        <v>4337.1971312801925</v>
      </c>
      <c r="N982" s="5">
        <f t="shared" si="5"/>
        <v>0</v>
      </c>
      <c r="O982" s="5">
        <f t="shared" si="6"/>
        <v>4337.197131</v>
      </c>
      <c r="P982" s="5">
        <f t="shared" si="9"/>
        <v>6947.949954</v>
      </c>
      <c r="Q982" s="5">
        <f t="shared" si="7"/>
        <v>6947.949954</v>
      </c>
      <c r="R982" s="5">
        <f t="shared" si="8"/>
        <v>0</v>
      </c>
    </row>
    <row r="983" ht="15.75" customHeight="1">
      <c r="A983" s="4">
        <v>2010.0</v>
      </c>
      <c r="B983" s="4">
        <v>503.0</v>
      </c>
      <c r="C983" s="4" t="s">
        <v>22</v>
      </c>
      <c r="D983" s="5">
        <v>9968.818827459801</v>
      </c>
      <c r="E983" s="5">
        <f t="shared" si="1"/>
        <v>0</v>
      </c>
      <c r="F983" s="5">
        <f t="shared" si="2"/>
        <v>9968.818827</v>
      </c>
      <c r="G983" s="5">
        <v>5325.976694484729</v>
      </c>
      <c r="H983" s="5">
        <v>3126.9634498785563</v>
      </c>
      <c r="I983" s="5">
        <v>2199.0132446061725</v>
      </c>
      <c r="J983" s="5">
        <v>5720.503542821427</v>
      </c>
      <c r="K983" s="5">
        <f t="shared" si="3"/>
        <v>5720.503543</v>
      </c>
      <c r="L983" s="5">
        <f t="shared" si="4"/>
        <v>0</v>
      </c>
      <c r="M983" s="5">
        <v>6682.540856650978</v>
      </c>
      <c r="N983" s="5">
        <f t="shared" si="5"/>
        <v>0</v>
      </c>
      <c r="O983" s="5">
        <f t="shared" si="6"/>
        <v>6682.540857</v>
      </c>
      <c r="P983" s="5">
        <f t="shared" si="9"/>
        <v>27697.83992</v>
      </c>
      <c r="Q983" s="5">
        <f t="shared" si="7"/>
        <v>18850.37293</v>
      </c>
      <c r="R983" s="5">
        <f t="shared" si="8"/>
        <v>8847.466993</v>
      </c>
    </row>
    <row r="984" ht="15.75" customHeight="1">
      <c r="A984" s="4">
        <v>2010.0</v>
      </c>
      <c r="B984" s="4">
        <v>504.0</v>
      </c>
      <c r="C984" s="4" t="s">
        <v>22</v>
      </c>
      <c r="D984" s="5">
        <v>15331.773929097299</v>
      </c>
      <c r="E984" s="5">
        <f t="shared" si="1"/>
        <v>0</v>
      </c>
      <c r="F984" s="5">
        <f t="shared" si="2"/>
        <v>15331.77393</v>
      </c>
      <c r="G984" s="5">
        <v>17944.646666080946</v>
      </c>
      <c r="H984" s="5">
        <v>9899.423483994235</v>
      </c>
      <c r="I984" s="5">
        <v>8045.223182086711</v>
      </c>
      <c r="J984" s="5">
        <v>78210.2528905331</v>
      </c>
      <c r="K984" s="5">
        <f t="shared" si="3"/>
        <v>78210.25289</v>
      </c>
      <c r="L984" s="5">
        <f t="shared" si="4"/>
        <v>0</v>
      </c>
      <c r="M984" s="5">
        <v>46168.24065829604</v>
      </c>
      <c r="N984" s="5">
        <f t="shared" si="5"/>
        <v>0</v>
      </c>
      <c r="O984" s="5">
        <f t="shared" si="6"/>
        <v>46168.24066</v>
      </c>
      <c r="P984" s="5">
        <f t="shared" si="9"/>
        <v>157654.9141</v>
      </c>
      <c r="Q984" s="5">
        <f t="shared" si="7"/>
        <v>69545.23777</v>
      </c>
      <c r="R984" s="5">
        <f t="shared" si="8"/>
        <v>88109.67637</v>
      </c>
    </row>
    <row r="985" ht="15.75" customHeight="1">
      <c r="A985" s="4">
        <v>2010.0</v>
      </c>
      <c r="B985" s="4">
        <v>505.0</v>
      </c>
      <c r="C985" s="4" t="s">
        <v>22</v>
      </c>
      <c r="D985" s="5" t="s">
        <v>19</v>
      </c>
      <c r="E985" s="5" t="str">
        <f t="shared" si="1"/>
        <v/>
      </c>
      <c r="F985" s="5" t="str">
        <f t="shared" si="2"/>
        <v/>
      </c>
      <c r="G985" s="5">
        <v>22458.435097956353</v>
      </c>
      <c r="H985" s="5">
        <v>7427.929191437494</v>
      </c>
      <c r="I985" s="5">
        <v>15030.505906518858</v>
      </c>
      <c r="J985" s="5">
        <v>19343.813796284594</v>
      </c>
      <c r="K985" s="5">
        <f t="shared" si="3"/>
        <v>19343.8138</v>
      </c>
      <c r="L985" s="5">
        <f t="shared" si="4"/>
        <v>0</v>
      </c>
      <c r="M985" s="5">
        <v>5760.353755104672</v>
      </c>
      <c r="N985" s="5">
        <f t="shared" si="5"/>
        <v>0</v>
      </c>
      <c r="O985" s="5">
        <f t="shared" si="6"/>
        <v>5760.353755</v>
      </c>
      <c r="P985" s="5">
        <f t="shared" si="9"/>
        <v>47562.60265</v>
      </c>
      <c r="Q985" s="5">
        <f t="shared" si="7"/>
        <v>20790.85966</v>
      </c>
      <c r="R985" s="5">
        <f t="shared" si="8"/>
        <v>26771.74299</v>
      </c>
    </row>
    <row r="986" ht="15.75" customHeight="1">
      <c r="A986" s="4">
        <v>2010.0</v>
      </c>
      <c r="B986" s="4">
        <v>506.0</v>
      </c>
      <c r="C986" s="4" t="s">
        <v>22</v>
      </c>
      <c r="D986" s="5">
        <v>6283.050136658449</v>
      </c>
      <c r="E986" s="5">
        <f t="shared" si="1"/>
        <v>0</v>
      </c>
      <c r="F986" s="5">
        <f t="shared" si="2"/>
        <v>6283.050137</v>
      </c>
      <c r="G986" s="5">
        <v>31143.414312081284</v>
      </c>
      <c r="H986" s="5">
        <v>10989.296157352956</v>
      </c>
      <c r="I986" s="5">
        <v>20154.118154728327</v>
      </c>
      <c r="J986" s="5">
        <v>83637.55814838296</v>
      </c>
      <c r="K986" s="5">
        <f t="shared" si="3"/>
        <v>83637.55815</v>
      </c>
      <c r="L986" s="5">
        <f t="shared" si="4"/>
        <v>0</v>
      </c>
      <c r="M986" s="5">
        <v>11744.048317352772</v>
      </c>
      <c r="N986" s="5">
        <f t="shared" si="5"/>
        <v>0</v>
      </c>
      <c r="O986" s="5">
        <f t="shared" si="6"/>
        <v>11744.04832</v>
      </c>
      <c r="P986" s="5">
        <f t="shared" si="9"/>
        <v>132808.0709</v>
      </c>
      <c r="Q986" s="5">
        <f t="shared" si="7"/>
        <v>38181.21661</v>
      </c>
      <c r="R986" s="5">
        <f t="shared" si="8"/>
        <v>94626.85431</v>
      </c>
    </row>
    <row r="987" ht="15.75" customHeight="1">
      <c r="A987" s="4">
        <v>2010.0</v>
      </c>
      <c r="B987" s="4">
        <v>507.0</v>
      </c>
      <c r="C987" s="4" t="s">
        <v>22</v>
      </c>
      <c r="D987" s="5" t="s">
        <v>19</v>
      </c>
      <c r="E987" s="5" t="str">
        <f t="shared" si="1"/>
        <v/>
      </c>
      <c r="F987" s="5" t="str">
        <f t="shared" si="2"/>
        <v/>
      </c>
      <c r="G987" s="5" t="s">
        <v>19</v>
      </c>
      <c r="H987" s="5" t="s">
        <v>19</v>
      </c>
      <c r="I987" s="5" t="s">
        <v>19</v>
      </c>
      <c r="J987" s="5">
        <v>0.0</v>
      </c>
      <c r="K987" s="5">
        <f t="shared" si="3"/>
        <v>0</v>
      </c>
      <c r="L987" s="5">
        <f t="shared" si="4"/>
        <v>0</v>
      </c>
      <c r="M987" s="5">
        <v>0.0</v>
      </c>
      <c r="N987" s="5">
        <f t="shared" si="5"/>
        <v>0</v>
      </c>
      <c r="O987" s="5">
        <f t="shared" si="6"/>
        <v>0</v>
      </c>
      <c r="P987" s="5">
        <f t="shared" si="9"/>
        <v>0</v>
      </c>
      <c r="Q987" s="5">
        <f t="shared" si="7"/>
        <v>0</v>
      </c>
      <c r="R987" s="5">
        <f t="shared" si="8"/>
        <v>0</v>
      </c>
    </row>
    <row r="988" ht="15.75" customHeight="1">
      <c r="A988" s="4">
        <v>2010.0</v>
      </c>
      <c r="B988" s="4">
        <v>508.0</v>
      </c>
      <c r="C988" s="4" t="s">
        <v>22</v>
      </c>
      <c r="D988" s="5" t="s">
        <v>19</v>
      </c>
      <c r="E988" s="5" t="str">
        <f t="shared" si="1"/>
        <v/>
      </c>
      <c r="F988" s="5" t="str">
        <f t="shared" si="2"/>
        <v/>
      </c>
      <c r="G988" s="5" t="s">
        <v>19</v>
      </c>
      <c r="H988" s="5" t="s">
        <v>19</v>
      </c>
      <c r="I988" s="5" t="s">
        <v>19</v>
      </c>
      <c r="J988" s="5">
        <v>1626.0376469256294</v>
      </c>
      <c r="K988" s="5">
        <f t="shared" si="3"/>
        <v>1626.037647</v>
      </c>
      <c r="L988" s="5">
        <f t="shared" si="4"/>
        <v>0</v>
      </c>
      <c r="M988" s="5">
        <v>33435.69264820235</v>
      </c>
      <c r="N988" s="5">
        <f t="shared" si="5"/>
        <v>0</v>
      </c>
      <c r="O988" s="5">
        <f t="shared" si="6"/>
        <v>33435.69265</v>
      </c>
      <c r="P988" s="5">
        <f t="shared" si="9"/>
        <v>35061.7303</v>
      </c>
      <c r="Q988" s="5">
        <f t="shared" si="7"/>
        <v>33435.69265</v>
      </c>
      <c r="R988" s="5">
        <f t="shared" si="8"/>
        <v>1626.037647</v>
      </c>
    </row>
    <row r="989" ht="15.75" customHeight="1">
      <c r="A989" s="4">
        <v>2010.0</v>
      </c>
      <c r="B989" s="4">
        <v>520.0</v>
      </c>
      <c r="C989" s="4" t="s">
        <v>22</v>
      </c>
      <c r="D989" s="5">
        <v>2980.4074018746037</v>
      </c>
      <c r="E989" s="5">
        <f t="shared" si="1"/>
        <v>0</v>
      </c>
      <c r="F989" s="5">
        <f t="shared" si="2"/>
        <v>2980.407402</v>
      </c>
      <c r="G989" s="5">
        <v>9559.247201215336</v>
      </c>
      <c r="H989" s="5">
        <v>3919.523185494275</v>
      </c>
      <c r="I989" s="5">
        <v>5639.724015721061</v>
      </c>
      <c r="J989" s="5">
        <v>103600.45710628398</v>
      </c>
      <c r="K989" s="5">
        <f t="shared" si="3"/>
        <v>103600.4571</v>
      </c>
      <c r="L989" s="5">
        <f t="shared" si="4"/>
        <v>0</v>
      </c>
      <c r="M989" s="5">
        <v>305985.2169645942</v>
      </c>
      <c r="N989" s="5">
        <f t="shared" si="5"/>
        <v>0</v>
      </c>
      <c r="O989" s="5">
        <f t="shared" si="6"/>
        <v>305985.217</v>
      </c>
      <c r="P989" s="5">
        <f t="shared" si="9"/>
        <v>422125.3287</v>
      </c>
      <c r="Q989" s="5">
        <f t="shared" si="7"/>
        <v>314605.3484</v>
      </c>
      <c r="R989" s="5">
        <f t="shared" si="8"/>
        <v>107519.9803</v>
      </c>
    </row>
    <row r="990" ht="15.75" customHeight="1">
      <c r="A990" s="4">
        <v>2010.0</v>
      </c>
      <c r="B990" s="4">
        <v>521.0</v>
      </c>
      <c r="C990" s="4" t="s">
        <v>22</v>
      </c>
      <c r="D990" s="5" t="s">
        <v>19</v>
      </c>
      <c r="E990" s="5" t="str">
        <f t="shared" si="1"/>
        <v/>
      </c>
      <c r="F990" s="5" t="str">
        <f t="shared" si="2"/>
        <v/>
      </c>
      <c r="G990" s="5" t="s">
        <v>19</v>
      </c>
      <c r="H990" s="5" t="s">
        <v>19</v>
      </c>
      <c r="I990" s="5" t="s">
        <v>19</v>
      </c>
      <c r="J990" s="5">
        <v>0.0</v>
      </c>
      <c r="K990" s="5">
        <f t="shared" si="3"/>
        <v>0</v>
      </c>
      <c r="L990" s="5">
        <f t="shared" si="4"/>
        <v>0</v>
      </c>
      <c r="M990" s="5">
        <v>20037.01255536179</v>
      </c>
      <c r="N990" s="5">
        <f t="shared" si="5"/>
        <v>0</v>
      </c>
      <c r="O990" s="5">
        <f t="shared" si="6"/>
        <v>20037.01256</v>
      </c>
      <c r="P990" s="5">
        <f t="shared" si="9"/>
        <v>20037.01256</v>
      </c>
      <c r="Q990" s="5">
        <f t="shared" si="7"/>
        <v>20037.01256</v>
      </c>
      <c r="R990" s="5">
        <f t="shared" si="8"/>
        <v>0</v>
      </c>
    </row>
    <row r="991" ht="15.75" customHeight="1">
      <c r="A991" s="4">
        <v>2010.0</v>
      </c>
      <c r="B991" s="4">
        <v>522.0</v>
      </c>
      <c r="C991" s="4" t="s">
        <v>22</v>
      </c>
      <c r="D991" s="5" t="s">
        <v>19</v>
      </c>
      <c r="E991" s="5" t="str">
        <f t="shared" si="1"/>
        <v/>
      </c>
      <c r="F991" s="5" t="str">
        <f t="shared" si="2"/>
        <v/>
      </c>
      <c r="G991" s="5" t="s">
        <v>19</v>
      </c>
      <c r="H991" s="5" t="s">
        <v>19</v>
      </c>
      <c r="I991" s="5" t="s">
        <v>19</v>
      </c>
      <c r="J991" s="5">
        <v>0.0</v>
      </c>
      <c r="K991" s="5">
        <f t="shared" si="3"/>
        <v>0</v>
      </c>
      <c r="L991" s="5">
        <f t="shared" si="4"/>
        <v>0</v>
      </c>
      <c r="M991" s="5">
        <v>12394.265378212942</v>
      </c>
      <c r="N991" s="5">
        <f t="shared" si="5"/>
        <v>0</v>
      </c>
      <c r="O991" s="5">
        <f t="shared" si="6"/>
        <v>12394.26538</v>
      </c>
      <c r="P991" s="5">
        <f t="shared" si="9"/>
        <v>12394.26538</v>
      </c>
      <c r="Q991" s="5">
        <f t="shared" si="7"/>
        <v>12394.26538</v>
      </c>
      <c r="R991" s="5">
        <f t="shared" si="8"/>
        <v>0</v>
      </c>
    </row>
    <row r="992" ht="15.75" customHeight="1">
      <c r="A992" s="4">
        <v>2010.0</v>
      </c>
      <c r="B992" s="4">
        <v>523.0</v>
      </c>
      <c r="C992" s="4" t="s">
        <v>22</v>
      </c>
      <c r="D992" s="5">
        <v>9012.88993016717</v>
      </c>
      <c r="E992" s="5">
        <f t="shared" si="1"/>
        <v>0</v>
      </c>
      <c r="F992" s="5">
        <f t="shared" si="2"/>
        <v>9012.88993</v>
      </c>
      <c r="G992" s="5" t="s">
        <v>19</v>
      </c>
      <c r="H992" s="5" t="s">
        <v>19</v>
      </c>
      <c r="I992" s="5" t="s">
        <v>19</v>
      </c>
      <c r="J992" s="5">
        <v>0.0</v>
      </c>
      <c r="K992" s="5">
        <f t="shared" si="3"/>
        <v>0</v>
      </c>
      <c r="L992" s="5">
        <f t="shared" si="4"/>
        <v>0</v>
      </c>
      <c r="M992" s="5">
        <v>73883.27868932221</v>
      </c>
      <c r="N992" s="5">
        <f t="shared" si="5"/>
        <v>0</v>
      </c>
      <c r="O992" s="5">
        <f t="shared" si="6"/>
        <v>73883.27869</v>
      </c>
      <c r="P992" s="5">
        <f t="shared" si="9"/>
        <v>82896.16862</v>
      </c>
      <c r="Q992" s="5">
        <f t="shared" si="7"/>
        <v>82896.16862</v>
      </c>
      <c r="R992" s="5">
        <f t="shared" si="8"/>
        <v>0</v>
      </c>
    </row>
    <row r="993" ht="15.75" customHeight="1">
      <c r="A993" s="4">
        <v>2010.0</v>
      </c>
      <c r="B993" s="4">
        <v>524.0</v>
      </c>
      <c r="C993" s="4" t="s">
        <v>22</v>
      </c>
      <c r="D993" s="5">
        <v>8655.090162522125</v>
      </c>
      <c r="E993" s="5">
        <f t="shared" si="1"/>
        <v>0</v>
      </c>
      <c r="F993" s="5">
        <f t="shared" si="2"/>
        <v>8655.090163</v>
      </c>
      <c r="G993" s="5">
        <v>16187.094964278407</v>
      </c>
      <c r="H993" s="5">
        <v>7704.068048880309</v>
      </c>
      <c r="I993" s="5">
        <v>8483.026915398099</v>
      </c>
      <c r="J993" s="5">
        <v>27668.01561596617</v>
      </c>
      <c r="K993" s="5">
        <f t="shared" si="3"/>
        <v>27668.01562</v>
      </c>
      <c r="L993" s="5">
        <f t="shared" si="4"/>
        <v>0</v>
      </c>
      <c r="M993" s="5">
        <v>295064.08137893</v>
      </c>
      <c r="N993" s="5">
        <f t="shared" si="5"/>
        <v>0</v>
      </c>
      <c r="O993" s="5">
        <f t="shared" si="6"/>
        <v>295064.0814</v>
      </c>
      <c r="P993" s="5">
        <f t="shared" si="9"/>
        <v>347574.2821</v>
      </c>
      <c r="Q993" s="5">
        <f t="shared" si="7"/>
        <v>312202.1985</v>
      </c>
      <c r="R993" s="5">
        <f t="shared" si="8"/>
        <v>35372.08366</v>
      </c>
    </row>
    <row r="994" ht="15.75" customHeight="1">
      <c r="A994" s="4">
        <v>2010.0</v>
      </c>
      <c r="B994" s="4">
        <v>525.0</v>
      </c>
      <c r="C994" s="4" t="s">
        <v>22</v>
      </c>
      <c r="D994" s="5">
        <v>2969.0914453677574</v>
      </c>
      <c r="E994" s="5">
        <f t="shared" si="1"/>
        <v>0</v>
      </c>
      <c r="F994" s="5">
        <f t="shared" si="2"/>
        <v>2969.091445</v>
      </c>
      <c r="G994" s="5">
        <v>4616.052542327642</v>
      </c>
      <c r="H994" s="5">
        <v>2184.382006637188</v>
      </c>
      <c r="I994" s="5">
        <v>2431.670535690454</v>
      </c>
      <c r="J994" s="5">
        <v>6046.190611448703</v>
      </c>
      <c r="K994" s="5">
        <f t="shared" si="3"/>
        <v>6046.190611</v>
      </c>
      <c r="L994" s="5">
        <f t="shared" si="4"/>
        <v>0</v>
      </c>
      <c r="M994" s="5">
        <v>9889.417766822065</v>
      </c>
      <c r="N994" s="5">
        <f t="shared" si="5"/>
        <v>0</v>
      </c>
      <c r="O994" s="5">
        <f t="shared" si="6"/>
        <v>9889.417767</v>
      </c>
      <c r="P994" s="5">
        <f t="shared" si="9"/>
        <v>23520.75237</v>
      </c>
      <c r="Q994" s="5">
        <f t="shared" si="7"/>
        <v>15290.17975</v>
      </c>
      <c r="R994" s="5">
        <f t="shared" si="8"/>
        <v>8230.572618</v>
      </c>
    </row>
    <row r="995" ht="15.75" customHeight="1">
      <c r="A995" s="4">
        <v>2010.0</v>
      </c>
      <c r="B995" s="4">
        <v>526.0</v>
      </c>
      <c r="C995" s="4" t="s">
        <v>22</v>
      </c>
      <c r="D995" s="5">
        <v>14014.057736628642</v>
      </c>
      <c r="E995" s="5">
        <f t="shared" si="1"/>
        <v>0</v>
      </c>
      <c r="F995" s="5">
        <f t="shared" si="2"/>
        <v>14014.05774</v>
      </c>
      <c r="G995" s="5">
        <v>17547.18187407137</v>
      </c>
      <c r="H995" s="5">
        <v>12499.919959207096</v>
      </c>
      <c r="I995" s="5">
        <v>5047.261914864275</v>
      </c>
      <c r="J995" s="5">
        <v>4801.386662032794</v>
      </c>
      <c r="K995" s="5">
        <f t="shared" si="3"/>
        <v>4801.386662</v>
      </c>
      <c r="L995" s="5">
        <f t="shared" si="4"/>
        <v>0</v>
      </c>
      <c r="M995" s="5">
        <v>22001.633590487283</v>
      </c>
      <c r="N995" s="5">
        <f t="shared" si="5"/>
        <v>0</v>
      </c>
      <c r="O995" s="5">
        <f t="shared" si="6"/>
        <v>22001.63359</v>
      </c>
      <c r="P995" s="5">
        <f t="shared" si="9"/>
        <v>58364.25986</v>
      </c>
      <c r="Q995" s="5">
        <f t="shared" si="7"/>
        <v>41062.95324</v>
      </c>
      <c r="R995" s="5">
        <f t="shared" si="8"/>
        <v>17301.30662</v>
      </c>
    </row>
    <row r="996" ht="15.75" customHeight="1">
      <c r="A996" s="4">
        <v>2010.0</v>
      </c>
      <c r="B996" s="4">
        <v>527.0</v>
      </c>
      <c r="C996" s="4" t="s">
        <v>22</v>
      </c>
      <c r="D996" s="5" t="s">
        <v>19</v>
      </c>
      <c r="E996" s="5" t="str">
        <f t="shared" si="1"/>
        <v/>
      </c>
      <c r="F996" s="5" t="str">
        <f t="shared" si="2"/>
        <v/>
      </c>
      <c r="G996" s="5" t="s">
        <v>19</v>
      </c>
      <c r="H996" s="5" t="s">
        <v>19</v>
      </c>
      <c r="I996" s="5" t="s">
        <v>19</v>
      </c>
      <c r="J996" s="5">
        <v>0.0</v>
      </c>
      <c r="K996" s="5">
        <f t="shared" si="3"/>
        <v>0</v>
      </c>
      <c r="L996" s="5">
        <f t="shared" si="4"/>
        <v>0</v>
      </c>
      <c r="M996" s="5">
        <v>0.0</v>
      </c>
      <c r="N996" s="5">
        <f t="shared" si="5"/>
        <v>0</v>
      </c>
      <c r="O996" s="5">
        <f t="shared" si="6"/>
        <v>0</v>
      </c>
      <c r="P996" s="5">
        <f t="shared" si="9"/>
        <v>0</v>
      </c>
      <c r="Q996" s="5">
        <f t="shared" si="7"/>
        <v>0</v>
      </c>
      <c r="R996" s="5">
        <f t="shared" si="8"/>
        <v>0</v>
      </c>
    </row>
    <row r="997" ht="15.75" customHeight="1">
      <c r="A997" s="4">
        <v>2010.0</v>
      </c>
      <c r="B997" s="4">
        <v>528.0</v>
      </c>
      <c r="C997" s="4" t="s">
        <v>22</v>
      </c>
      <c r="D997" s="5" t="s">
        <v>19</v>
      </c>
      <c r="E997" s="5" t="str">
        <f t="shared" si="1"/>
        <v/>
      </c>
      <c r="F997" s="5" t="str">
        <f t="shared" si="2"/>
        <v/>
      </c>
      <c r="G997" s="5" t="s">
        <v>19</v>
      </c>
      <c r="H997" s="5" t="s">
        <v>19</v>
      </c>
      <c r="I997" s="5" t="s">
        <v>19</v>
      </c>
      <c r="J997" s="5">
        <v>0.0</v>
      </c>
      <c r="K997" s="5">
        <f t="shared" si="3"/>
        <v>0</v>
      </c>
      <c r="L997" s="5">
        <f t="shared" si="4"/>
        <v>0</v>
      </c>
      <c r="M997" s="5">
        <v>0.0</v>
      </c>
      <c r="N997" s="5">
        <f t="shared" si="5"/>
        <v>0</v>
      </c>
      <c r="O997" s="5">
        <f t="shared" si="6"/>
        <v>0</v>
      </c>
      <c r="P997" s="5">
        <f t="shared" si="9"/>
        <v>0</v>
      </c>
      <c r="Q997" s="5">
        <f t="shared" si="7"/>
        <v>0</v>
      </c>
      <c r="R997" s="5">
        <f t="shared" si="8"/>
        <v>0</v>
      </c>
    </row>
    <row r="998" ht="15.75" customHeight="1">
      <c r="A998" s="4">
        <v>2009.0</v>
      </c>
      <c r="B998" s="4">
        <v>100.0</v>
      </c>
      <c r="C998" s="4" t="s">
        <v>18</v>
      </c>
      <c r="D998" s="5">
        <v>39309.25479680149</v>
      </c>
      <c r="E998" s="5">
        <f t="shared" si="1"/>
        <v>0</v>
      </c>
      <c r="F998" s="5">
        <f t="shared" si="2"/>
        <v>39309.2548</v>
      </c>
      <c r="G998" s="5">
        <v>2673.0874200513035</v>
      </c>
      <c r="H998" s="5">
        <v>1441.0357283454466</v>
      </c>
      <c r="I998" s="5">
        <v>1232.051691705857</v>
      </c>
      <c r="J998" s="5">
        <v>33116.07285503955</v>
      </c>
      <c r="K998" s="5">
        <f t="shared" si="3"/>
        <v>33116.07286</v>
      </c>
      <c r="L998" s="5">
        <f t="shared" si="4"/>
        <v>0</v>
      </c>
      <c r="M998" s="5">
        <v>66694.87405266226</v>
      </c>
      <c r="N998" s="5">
        <f t="shared" si="5"/>
        <v>0</v>
      </c>
      <c r="O998" s="5">
        <f t="shared" si="6"/>
        <v>66694.87405</v>
      </c>
      <c r="P998" s="5">
        <f t="shared" si="9"/>
        <v>141793.2891</v>
      </c>
      <c r="Q998" s="5">
        <f t="shared" si="7"/>
        <v>107236.1805</v>
      </c>
      <c r="R998" s="5">
        <f t="shared" si="8"/>
        <v>34557.10858</v>
      </c>
    </row>
    <row r="999" ht="15.75" customHeight="1">
      <c r="A999" s="4">
        <v>2009.0</v>
      </c>
      <c r="B999" s="4">
        <v>101.0</v>
      </c>
      <c r="C999" s="4" t="s">
        <v>18</v>
      </c>
      <c r="D999" s="5">
        <v>31456.451348354873</v>
      </c>
      <c r="E999" s="5">
        <f t="shared" si="1"/>
        <v>0</v>
      </c>
      <c r="F999" s="5">
        <f t="shared" si="2"/>
        <v>31456.45135</v>
      </c>
      <c r="G999" s="5">
        <v>13632.181575103317</v>
      </c>
      <c r="H999" s="5">
        <v>4926.770450420407</v>
      </c>
      <c r="I999" s="5">
        <v>8705.41112468291</v>
      </c>
      <c r="J999" s="5">
        <v>583099.9427393472</v>
      </c>
      <c r="K999" s="5">
        <f t="shared" si="3"/>
        <v>583099.9427</v>
      </c>
      <c r="L999" s="5">
        <f t="shared" si="4"/>
        <v>0</v>
      </c>
      <c r="M999" s="5">
        <v>191736.25888380443</v>
      </c>
      <c r="N999" s="5">
        <f t="shared" si="5"/>
        <v>0</v>
      </c>
      <c r="O999" s="5">
        <f t="shared" si="6"/>
        <v>191736.2589</v>
      </c>
      <c r="P999" s="5">
        <f t="shared" si="9"/>
        <v>819924.8345</v>
      </c>
      <c r="Q999" s="5">
        <f t="shared" si="7"/>
        <v>231898.1214</v>
      </c>
      <c r="R999" s="5">
        <f t="shared" si="8"/>
        <v>588026.7132</v>
      </c>
    </row>
    <row r="1000" ht="15.75" customHeight="1">
      <c r="A1000" s="4">
        <v>2009.0</v>
      </c>
      <c r="B1000" s="4">
        <v>102.0</v>
      </c>
      <c r="C1000" s="4" t="s">
        <v>18</v>
      </c>
      <c r="D1000" s="5">
        <v>38265.520857061405</v>
      </c>
      <c r="E1000" s="5">
        <f t="shared" si="1"/>
        <v>0</v>
      </c>
      <c r="F1000" s="5">
        <f t="shared" si="2"/>
        <v>38265.52086</v>
      </c>
      <c r="G1000" s="5">
        <v>19026.575608735926</v>
      </c>
      <c r="H1000" s="5">
        <v>6703.391246928887</v>
      </c>
      <c r="I1000" s="5">
        <v>12323.184361807038</v>
      </c>
      <c r="J1000" s="5">
        <v>45296.14746790828</v>
      </c>
      <c r="K1000" s="5">
        <f t="shared" si="3"/>
        <v>45296.14747</v>
      </c>
      <c r="L1000" s="5">
        <f t="shared" si="4"/>
        <v>0</v>
      </c>
      <c r="M1000" s="5">
        <v>47692.749556140436</v>
      </c>
      <c r="N1000" s="5">
        <f t="shared" si="5"/>
        <v>0</v>
      </c>
      <c r="O1000" s="5">
        <f t="shared" si="6"/>
        <v>47692.74956</v>
      </c>
      <c r="P1000" s="5">
        <f t="shared" si="9"/>
        <v>150280.9935</v>
      </c>
      <c r="Q1000" s="5">
        <f t="shared" si="7"/>
        <v>98281.45478</v>
      </c>
      <c r="R1000" s="5">
        <f t="shared" si="8"/>
        <v>51999.53871</v>
      </c>
    </row>
    <row r="1001" ht="15.75" customHeight="1">
      <c r="A1001" s="4">
        <v>2009.0</v>
      </c>
      <c r="B1001" s="4">
        <v>103.0</v>
      </c>
      <c r="C1001" s="4" t="s">
        <v>18</v>
      </c>
      <c r="D1001" s="5">
        <v>5888.512524779106</v>
      </c>
      <c r="E1001" s="5">
        <f t="shared" si="1"/>
        <v>0</v>
      </c>
      <c r="F1001" s="5">
        <f t="shared" si="2"/>
        <v>5888.512525</v>
      </c>
      <c r="G1001" s="5">
        <v>5147.655394399315</v>
      </c>
      <c r="H1001" s="5">
        <v>1749.7411609662245</v>
      </c>
      <c r="I1001" s="5">
        <v>3397.9142334330904</v>
      </c>
      <c r="J1001" s="5">
        <v>11865.925005807325</v>
      </c>
      <c r="K1001" s="5">
        <f t="shared" si="3"/>
        <v>11865.92501</v>
      </c>
      <c r="L1001" s="5">
        <f t="shared" si="4"/>
        <v>0</v>
      </c>
      <c r="M1001" s="5">
        <v>9192.158736679667</v>
      </c>
      <c r="N1001" s="5">
        <f t="shared" si="5"/>
        <v>0</v>
      </c>
      <c r="O1001" s="5">
        <f t="shared" si="6"/>
        <v>9192.158737</v>
      </c>
      <c r="P1001" s="5">
        <f t="shared" si="9"/>
        <v>32094.25166</v>
      </c>
      <c r="Q1001" s="5">
        <f t="shared" si="7"/>
        <v>18478.58549</v>
      </c>
      <c r="R1001" s="5">
        <f t="shared" si="8"/>
        <v>13615.66617</v>
      </c>
    </row>
    <row r="1002" ht="15.75" customHeight="1">
      <c r="A1002" s="4">
        <v>2009.0</v>
      </c>
      <c r="B1002" s="4">
        <v>104.0</v>
      </c>
      <c r="C1002" s="4" t="s">
        <v>18</v>
      </c>
      <c r="D1002" s="5">
        <v>4061.0243263725574</v>
      </c>
      <c r="E1002" s="5">
        <f t="shared" si="1"/>
        <v>0</v>
      </c>
      <c r="F1002" s="5">
        <f t="shared" si="2"/>
        <v>4061.024326</v>
      </c>
      <c r="G1002" s="5" t="s">
        <v>19</v>
      </c>
      <c r="H1002" s="5" t="s">
        <v>19</v>
      </c>
      <c r="I1002" s="5" t="s">
        <v>19</v>
      </c>
      <c r="J1002" s="5">
        <v>14769.815536055292</v>
      </c>
      <c r="K1002" s="5">
        <f t="shared" si="3"/>
        <v>14769.81554</v>
      </c>
      <c r="L1002" s="5">
        <f t="shared" si="4"/>
        <v>0</v>
      </c>
      <c r="M1002" s="5">
        <v>2430.883269617535</v>
      </c>
      <c r="N1002" s="5">
        <f t="shared" si="5"/>
        <v>0</v>
      </c>
      <c r="O1002" s="5">
        <f t="shared" si="6"/>
        <v>2430.88327</v>
      </c>
      <c r="P1002" s="5">
        <f t="shared" si="9"/>
        <v>21261.72313</v>
      </c>
      <c r="Q1002" s="5">
        <f t="shared" si="7"/>
        <v>6491.907596</v>
      </c>
      <c r="R1002" s="5">
        <f t="shared" si="8"/>
        <v>14769.81554</v>
      </c>
    </row>
    <row r="1003" ht="15.75" customHeight="1">
      <c r="A1003" s="4">
        <v>2009.0</v>
      </c>
      <c r="B1003" s="4">
        <v>105.0</v>
      </c>
      <c r="C1003" s="4" t="s">
        <v>18</v>
      </c>
      <c r="D1003" s="5">
        <v>22278.133047977222</v>
      </c>
      <c r="E1003" s="5">
        <f t="shared" si="1"/>
        <v>0</v>
      </c>
      <c r="F1003" s="5">
        <f t="shared" si="2"/>
        <v>22278.13305</v>
      </c>
      <c r="G1003" s="5">
        <v>1846.6925181701577</v>
      </c>
      <c r="H1003" s="5">
        <v>738.3692251817014</v>
      </c>
      <c r="I1003" s="5">
        <v>1108.3232929884562</v>
      </c>
      <c r="J1003" s="5">
        <v>63911.903688381775</v>
      </c>
      <c r="K1003" s="5">
        <f t="shared" si="3"/>
        <v>63911.90369</v>
      </c>
      <c r="L1003" s="5">
        <f t="shared" si="4"/>
        <v>0</v>
      </c>
      <c r="M1003" s="5">
        <v>13282.20490652166</v>
      </c>
      <c r="N1003" s="5">
        <f t="shared" si="5"/>
        <v>0</v>
      </c>
      <c r="O1003" s="5">
        <f t="shared" si="6"/>
        <v>13282.20491</v>
      </c>
      <c r="P1003" s="5">
        <f t="shared" si="9"/>
        <v>101318.9342</v>
      </c>
      <c r="Q1003" s="5">
        <f t="shared" si="7"/>
        <v>36668.66125</v>
      </c>
      <c r="R1003" s="5">
        <f t="shared" si="8"/>
        <v>64650.27291</v>
      </c>
    </row>
    <row r="1004" ht="15.75" customHeight="1">
      <c r="A1004" s="4">
        <v>2009.0</v>
      </c>
      <c r="B1004" s="4">
        <v>106.0</v>
      </c>
      <c r="C1004" s="4" t="s">
        <v>18</v>
      </c>
      <c r="D1004" s="5">
        <v>24046.212891589166</v>
      </c>
      <c r="E1004" s="5">
        <f t="shared" si="1"/>
        <v>0</v>
      </c>
      <c r="F1004" s="5">
        <f t="shared" si="2"/>
        <v>24046.21289</v>
      </c>
      <c r="G1004" s="5">
        <v>5432.35382428388</v>
      </c>
      <c r="H1004" s="5">
        <v>2743.5695178281308</v>
      </c>
      <c r="I1004" s="5">
        <v>2688.7843064557496</v>
      </c>
      <c r="J1004" s="5">
        <v>68313.18752335398</v>
      </c>
      <c r="K1004" s="5">
        <f t="shared" si="3"/>
        <v>68313.18752</v>
      </c>
      <c r="L1004" s="5">
        <f t="shared" si="4"/>
        <v>0</v>
      </c>
      <c r="M1004" s="5">
        <v>126566.30428106291</v>
      </c>
      <c r="N1004" s="5">
        <f t="shared" si="5"/>
        <v>0</v>
      </c>
      <c r="O1004" s="5">
        <f t="shared" si="6"/>
        <v>126566.3043</v>
      </c>
      <c r="P1004" s="5">
        <f t="shared" si="9"/>
        <v>224358.0585</v>
      </c>
      <c r="Q1004" s="5">
        <f t="shared" si="7"/>
        <v>153301.3015</v>
      </c>
      <c r="R1004" s="5">
        <f t="shared" si="8"/>
        <v>71056.75704</v>
      </c>
    </row>
    <row r="1005" ht="15.75" customHeight="1">
      <c r="A1005" s="4">
        <v>2009.0</v>
      </c>
      <c r="B1005" s="4">
        <v>107.0</v>
      </c>
      <c r="C1005" s="4" t="s">
        <v>18</v>
      </c>
      <c r="D1005" s="5">
        <v>9511.877136472134</v>
      </c>
      <c r="E1005" s="5">
        <f t="shared" si="1"/>
        <v>0</v>
      </c>
      <c r="F1005" s="5">
        <f t="shared" si="2"/>
        <v>9511.877136</v>
      </c>
      <c r="G1005" s="5">
        <v>1185.9869727803903</v>
      </c>
      <c r="H1005" s="5">
        <v>806.9020364115719</v>
      </c>
      <c r="I1005" s="5">
        <v>379.0849363688184</v>
      </c>
      <c r="J1005" s="5">
        <v>22549.004980965867</v>
      </c>
      <c r="K1005" s="5">
        <f t="shared" si="3"/>
        <v>22549.00498</v>
      </c>
      <c r="L1005" s="5">
        <f t="shared" si="4"/>
        <v>0</v>
      </c>
      <c r="M1005" s="5">
        <v>43706.078021826426</v>
      </c>
      <c r="N1005" s="5">
        <f t="shared" si="5"/>
        <v>0</v>
      </c>
      <c r="O1005" s="5">
        <f t="shared" si="6"/>
        <v>43706.07802</v>
      </c>
      <c r="P1005" s="5">
        <f t="shared" si="9"/>
        <v>76952.94711</v>
      </c>
      <c r="Q1005" s="5">
        <f t="shared" si="7"/>
        <v>53597.04009</v>
      </c>
      <c r="R1005" s="5">
        <f t="shared" si="8"/>
        <v>23355.90702</v>
      </c>
    </row>
    <row r="1006" ht="15.75" customHeight="1">
      <c r="A1006" s="4">
        <v>2009.0</v>
      </c>
      <c r="B1006" s="4">
        <v>108.0</v>
      </c>
      <c r="C1006" s="4" t="s">
        <v>18</v>
      </c>
      <c r="D1006" s="5">
        <v>13492.236907710732</v>
      </c>
      <c r="E1006" s="5">
        <f t="shared" si="1"/>
        <v>0</v>
      </c>
      <c r="F1006" s="5">
        <f t="shared" si="2"/>
        <v>13492.23691</v>
      </c>
      <c r="G1006" s="5">
        <v>5565.213091563346</v>
      </c>
      <c r="H1006" s="5">
        <v>2899.717629642297</v>
      </c>
      <c r="I1006" s="5">
        <v>2665.495461921049</v>
      </c>
      <c r="J1006" s="5">
        <v>17240.355022044674</v>
      </c>
      <c r="K1006" s="5">
        <f t="shared" si="3"/>
        <v>17240.35502</v>
      </c>
      <c r="L1006" s="5">
        <f t="shared" si="4"/>
        <v>0</v>
      </c>
      <c r="M1006" s="5">
        <v>57750.67086536714</v>
      </c>
      <c r="N1006" s="5">
        <f t="shared" si="5"/>
        <v>0</v>
      </c>
      <c r="O1006" s="5">
        <f t="shared" si="6"/>
        <v>57750.67087</v>
      </c>
      <c r="P1006" s="5">
        <f t="shared" si="9"/>
        <v>94048.47589</v>
      </c>
      <c r="Q1006" s="5">
        <f t="shared" si="7"/>
        <v>73908.40323</v>
      </c>
      <c r="R1006" s="5">
        <f t="shared" si="8"/>
        <v>20140.07265</v>
      </c>
    </row>
    <row r="1007" ht="15.75" customHeight="1">
      <c r="A1007" s="4">
        <v>2009.0</v>
      </c>
      <c r="B1007" s="4">
        <v>120.0</v>
      </c>
      <c r="C1007" s="4" t="s">
        <v>18</v>
      </c>
      <c r="D1007" s="5">
        <v>61148.09303776541</v>
      </c>
      <c r="E1007" s="5">
        <f t="shared" si="1"/>
        <v>0</v>
      </c>
      <c r="F1007" s="5">
        <f t="shared" si="2"/>
        <v>61148.09304</v>
      </c>
      <c r="G1007" s="5">
        <v>2953.6820887843805</v>
      </c>
      <c r="H1007" s="5">
        <v>1845.5639838534985</v>
      </c>
      <c r="I1007" s="5">
        <v>1108.118104930882</v>
      </c>
      <c r="J1007" s="5">
        <v>977.5315184195524</v>
      </c>
      <c r="K1007" s="5">
        <f t="shared" si="3"/>
        <v>977.5315184</v>
      </c>
      <c r="L1007" s="5">
        <f t="shared" si="4"/>
        <v>0</v>
      </c>
      <c r="M1007" s="5">
        <v>94306.95708160533</v>
      </c>
      <c r="N1007" s="5">
        <f t="shared" si="5"/>
        <v>0</v>
      </c>
      <c r="O1007" s="5">
        <f t="shared" si="6"/>
        <v>94306.95708</v>
      </c>
      <c r="P1007" s="5">
        <f t="shared" si="9"/>
        <v>159386.2637</v>
      </c>
      <c r="Q1007" s="5">
        <f t="shared" si="7"/>
        <v>156563.1682</v>
      </c>
      <c r="R1007" s="5">
        <f t="shared" si="8"/>
        <v>2823.095502</v>
      </c>
    </row>
    <row r="1008" ht="15.75" customHeight="1">
      <c r="A1008" s="4">
        <v>2009.0</v>
      </c>
      <c r="B1008" s="4">
        <v>121.0</v>
      </c>
      <c r="C1008" s="4" t="s">
        <v>18</v>
      </c>
      <c r="D1008" s="5">
        <v>112021.81088073156</v>
      </c>
      <c r="E1008" s="5">
        <f t="shared" si="1"/>
        <v>0</v>
      </c>
      <c r="F1008" s="5">
        <f t="shared" si="2"/>
        <v>112021.8109</v>
      </c>
      <c r="G1008" s="5">
        <v>14469.86182015106</v>
      </c>
      <c r="H1008" s="5">
        <v>6290.655469117855</v>
      </c>
      <c r="I1008" s="5">
        <v>8179.206351033205</v>
      </c>
      <c r="J1008" s="5">
        <v>116138.07986130111</v>
      </c>
      <c r="K1008" s="5">
        <f t="shared" si="3"/>
        <v>116138.0799</v>
      </c>
      <c r="L1008" s="5">
        <f t="shared" si="4"/>
        <v>0</v>
      </c>
      <c r="M1008" s="5">
        <v>1166680.1063819737</v>
      </c>
      <c r="N1008" s="5">
        <f t="shared" si="5"/>
        <v>0</v>
      </c>
      <c r="O1008" s="5">
        <f t="shared" si="6"/>
        <v>1166680.106</v>
      </c>
      <c r="P1008" s="5">
        <f t="shared" si="9"/>
        <v>1409309.859</v>
      </c>
      <c r="Q1008" s="5">
        <f t="shared" si="7"/>
        <v>1286881.124</v>
      </c>
      <c r="R1008" s="5">
        <f t="shared" si="8"/>
        <v>122428.7353</v>
      </c>
    </row>
    <row r="1009" ht="15.75" customHeight="1">
      <c r="A1009" s="4">
        <v>2009.0</v>
      </c>
      <c r="B1009" s="4">
        <v>122.0</v>
      </c>
      <c r="C1009" s="4" t="s">
        <v>18</v>
      </c>
      <c r="D1009" s="5">
        <v>89212.81785504842</v>
      </c>
      <c r="E1009" s="5">
        <f t="shared" si="1"/>
        <v>0</v>
      </c>
      <c r="F1009" s="5">
        <f t="shared" si="2"/>
        <v>89212.81786</v>
      </c>
      <c r="G1009" s="5">
        <v>17268.113955322784</v>
      </c>
      <c r="H1009" s="5">
        <v>4886.348403078238</v>
      </c>
      <c r="I1009" s="5">
        <v>12381.765552244546</v>
      </c>
      <c r="J1009" s="5">
        <v>9572.393674050521</v>
      </c>
      <c r="K1009" s="5">
        <f t="shared" si="3"/>
        <v>9572.393674</v>
      </c>
      <c r="L1009" s="5">
        <f t="shared" si="4"/>
        <v>0</v>
      </c>
      <c r="M1009" s="5">
        <v>197809.9494487226</v>
      </c>
      <c r="N1009" s="5">
        <f t="shared" si="5"/>
        <v>0</v>
      </c>
      <c r="O1009" s="5">
        <f t="shared" si="6"/>
        <v>197809.9494</v>
      </c>
      <c r="P1009" s="5">
        <f t="shared" si="9"/>
        <v>313863.2749</v>
      </c>
      <c r="Q1009" s="5">
        <f t="shared" si="7"/>
        <v>299404.5329</v>
      </c>
      <c r="R1009" s="5">
        <f t="shared" si="8"/>
        <v>14458.74208</v>
      </c>
    </row>
    <row r="1010" ht="15.75" customHeight="1">
      <c r="A1010" s="4">
        <v>2009.0</v>
      </c>
      <c r="B1010" s="4">
        <v>123.0</v>
      </c>
      <c r="C1010" s="4" t="s">
        <v>18</v>
      </c>
      <c r="D1010" s="5" t="s">
        <v>19</v>
      </c>
      <c r="E1010" s="5" t="str">
        <f t="shared" si="1"/>
        <v/>
      </c>
      <c r="F1010" s="5" t="str">
        <f t="shared" si="2"/>
        <v/>
      </c>
      <c r="G1010" s="5" t="s">
        <v>19</v>
      </c>
      <c r="H1010" s="5" t="s">
        <v>19</v>
      </c>
      <c r="I1010" s="5" t="s">
        <v>19</v>
      </c>
      <c r="J1010" s="5">
        <v>0.0</v>
      </c>
      <c r="K1010" s="5">
        <f t="shared" si="3"/>
        <v>0</v>
      </c>
      <c r="L1010" s="5">
        <f t="shared" si="4"/>
        <v>0</v>
      </c>
      <c r="M1010" s="5">
        <v>3320.048711041042</v>
      </c>
      <c r="N1010" s="5">
        <f t="shared" si="5"/>
        <v>0</v>
      </c>
      <c r="O1010" s="5">
        <f t="shared" si="6"/>
        <v>3320.048711</v>
      </c>
      <c r="P1010" s="5">
        <f t="shared" si="9"/>
        <v>3320.048711</v>
      </c>
      <c r="Q1010" s="5">
        <f t="shared" si="7"/>
        <v>3320.048711</v>
      </c>
      <c r="R1010" s="5">
        <f t="shared" si="8"/>
        <v>0</v>
      </c>
    </row>
    <row r="1011" ht="15.75" customHeight="1">
      <c r="A1011" s="4">
        <v>2009.0</v>
      </c>
      <c r="B1011" s="4">
        <v>124.0</v>
      </c>
      <c r="C1011" s="4" t="s">
        <v>18</v>
      </c>
      <c r="D1011" s="5">
        <v>803.3753666720105</v>
      </c>
      <c r="E1011" s="5">
        <f t="shared" si="1"/>
        <v>0</v>
      </c>
      <c r="F1011" s="5">
        <f t="shared" si="2"/>
        <v>803.3753667</v>
      </c>
      <c r="G1011" s="5" t="s">
        <v>19</v>
      </c>
      <c r="H1011" s="5" t="s">
        <v>19</v>
      </c>
      <c r="I1011" s="5" t="s">
        <v>19</v>
      </c>
      <c r="J1011" s="5">
        <v>0.0</v>
      </c>
      <c r="K1011" s="5">
        <f t="shared" si="3"/>
        <v>0</v>
      </c>
      <c r="L1011" s="5">
        <f t="shared" si="4"/>
        <v>0</v>
      </c>
      <c r="M1011" s="5">
        <v>8893.233748944524</v>
      </c>
      <c r="N1011" s="5">
        <f t="shared" si="5"/>
        <v>0</v>
      </c>
      <c r="O1011" s="5">
        <f t="shared" si="6"/>
        <v>8893.233749</v>
      </c>
      <c r="P1011" s="5">
        <f t="shared" si="9"/>
        <v>9696.609116</v>
      </c>
      <c r="Q1011" s="5">
        <f t="shared" si="7"/>
        <v>9696.609116</v>
      </c>
      <c r="R1011" s="5">
        <f t="shared" si="8"/>
        <v>0</v>
      </c>
    </row>
    <row r="1012" ht="15.75" customHeight="1">
      <c r="A1012" s="4">
        <v>2009.0</v>
      </c>
      <c r="B1012" s="4">
        <v>125.0</v>
      </c>
      <c r="C1012" s="4" t="s">
        <v>18</v>
      </c>
      <c r="D1012" s="5">
        <v>13521.66856971907</v>
      </c>
      <c r="E1012" s="5">
        <f t="shared" si="1"/>
        <v>0</v>
      </c>
      <c r="F1012" s="5">
        <f t="shared" si="2"/>
        <v>13521.66857</v>
      </c>
      <c r="G1012" s="5">
        <v>1711.781370314949</v>
      </c>
      <c r="H1012" s="5">
        <v>500.5562664529001</v>
      </c>
      <c r="I1012" s="5">
        <v>1211.2251038620489</v>
      </c>
      <c r="J1012" s="5">
        <v>3214.850801197092</v>
      </c>
      <c r="K1012" s="5">
        <f t="shared" si="3"/>
        <v>3214.850801</v>
      </c>
      <c r="L1012" s="5">
        <f t="shared" si="4"/>
        <v>0</v>
      </c>
      <c r="M1012" s="5">
        <v>168428.0065140106</v>
      </c>
      <c r="N1012" s="5">
        <f t="shared" si="5"/>
        <v>0</v>
      </c>
      <c r="O1012" s="5">
        <f t="shared" si="6"/>
        <v>168428.0065</v>
      </c>
      <c r="P1012" s="5">
        <f t="shared" si="9"/>
        <v>186876.3073</v>
      </c>
      <c r="Q1012" s="5">
        <f t="shared" si="7"/>
        <v>183160.9002</v>
      </c>
      <c r="R1012" s="5">
        <f t="shared" si="8"/>
        <v>3715.407068</v>
      </c>
    </row>
    <row r="1013" ht="15.75" customHeight="1">
      <c r="A1013" s="4">
        <v>2009.0</v>
      </c>
      <c r="B1013" s="4">
        <v>126.0</v>
      </c>
      <c r="C1013" s="4" t="s">
        <v>18</v>
      </c>
      <c r="D1013" s="5">
        <v>2682.0964582041815</v>
      </c>
      <c r="E1013" s="5">
        <f t="shared" si="1"/>
        <v>0</v>
      </c>
      <c r="F1013" s="5">
        <f t="shared" si="2"/>
        <v>2682.096458</v>
      </c>
      <c r="G1013" s="5">
        <v>650.9591126549806</v>
      </c>
      <c r="H1013" s="5">
        <v>363.1828619067977</v>
      </c>
      <c r="I1013" s="5">
        <v>287.77625074818286</v>
      </c>
      <c r="J1013" s="5">
        <v>13030.03268679635</v>
      </c>
      <c r="K1013" s="5">
        <f t="shared" si="3"/>
        <v>13030.03269</v>
      </c>
      <c r="L1013" s="5">
        <f t="shared" si="4"/>
        <v>0</v>
      </c>
      <c r="M1013" s="5">
        <v>387710.1599448436</v>
      </c>
      <c r="N1013" s="5">
        <f t="shared" si="5"/>
        <v>0</v>
      </c>
      <c r="O1013" s="5">
        <f t="shared" si="6"/>
        <v>387710.1599</v>
      </c>
      <c r="P1013" s="5">
        <f t="shared" si="9"/>
        <v>404073.2482</v>
      </c>
      <c r="Q1013" s="5">
        <f t="shared" si="7"/>
        <v>390680.0327</v>
      </c>
      <c r="R1013" s="5">
        <f t="shared" si="8"/>
        <v>13393.21555</v>
      </c>
    </row>
    <row r="1014" ht="15.75" customHeight="1">
      <c r="A1014" s="4">
        <v>2009.0</v>
      </c>
      <c r="B1014" s="4">
        <v>127.0</v>
      </c>
      <c r="C1014" s="4" t="s">
        <v>18</v>
      </c>
      <c r="D1014" s="5">
        <v>17533.0950952998</v>
      </c>
      <c r="E1014" s="5">
        <f t="shared" si="1"/>
        <v>0</v>
      </c>
      <c r="F1014" s="5">
        <f t="shared" si="2"/>
        <v>17533.0951</v>
      </c>
      <c r="G1014" s="5" t="s">
        <v>19</v>
      </c>
      <c r="H1014" s="5" t="s">
        <v>19</v>
      </c>
      <c r="I1014" s="5" t="s">
        <v>19</v>
      </c>
      <c r="J1014" s="5">
        <v>0.0</v>
      </c>
      <c r="K1014" s="5">
        <f t="shared" si="3"/>
        <v>0</v>
      </c>
      <c r="L1014" s="5">
        <f t="shared" si="4"/>
        <v>0</v>
      </c>
      <c r="M1014" s="5">
        <v>47983.92144621098</v>
      </c>
      <c r="N1014" s="5">
        <f t="shared" si="5"/>
        <v>0</v>
      </c>
      <c r="O1014" s="5">
        <f t="shared" si="6"/>
        <v>47983.92145</v>
      </c>
      <c r="P1014" s="5">
        <f t="shared" si="9"/>
        <v>65517.01654</v>
      </c>
      <c r="Q1014" s="5">
        <f t="shared" si="7"/>
        <v>65517.01654</v>
      </c>
      <c r="R1014" s="5">
        <f t="shared" si="8"/>
        <v>0</v>
      </c>
    </row>
    <row r="1015" ht="15.75" customHeight="1">
      <c r="A1015" s="4">
        <v>2009.0</v>
      </c>
      <c r="B1015" s="4">
        <v>128.0</v>
      </c>
      <c r="C1015" s="4" t="s">
        <v>18</v>
      </c>
      <c r="D1015" s="5">
        <v>5155.991159238277</v>
      </c>
      <c r="E1015" s="5">
        <f t="shared" si="1"/>
        <v>0</v>
      </c>
      <c r="F1015" s="5">
        <f t="shared" si="2"/>
        <v>5155.991159</v>
      </c>
      <c r="G1015" s="5" t="s">
        <v>19</v>
      </c>
      <c r="H1015" s="5" t="s">
        <v>19</v>
      </c>
      <c r="I1015" s="5" t="s">
        <v>19</v>
      </c>
      <c r="J1015" s="5">
        <v>0.0</v>
      </c>
      <c r="K1015" s="5">
        <f t="shared" si="3"/>
        <v>0</v>
      </c>
      <c r="L1015" s="5">
        <f t="shared" si="4"/>
        <v>0</v>
      </c>
      <c r="M1015" s="5">
        <v>6980.085112263074</v>
      </c>
      <c r="N1015" s="5">
        <f t="shared" si="5"/>
        <v>0</v>
      </c>
      <c r="O1015" s="5">
        <f t="shared" si="6"/>
        <v>6980.085112</v>
      </c>
      <c r="P1015" s="5">
        <f t="shared" si="9"/>
        <v>12136.07627</v>
      </c>
      <c r="Q1015" s="5">
        <f t="shared" si="7"/>
        <v>12136.07627</v>
      </c>
      <c r="R1015" s="5">
        <f t="shared" si="8"/>
        <v>0</v>
      </c>
    </row>
    <row r="1016" ht="15.75" customHeight="1">
      <c r="A1016" s="4">
        <v>2009.0</v>
      </c>
      <c r="B1016" s="4">
        <v>300.0</v>
      </c>
      <c r="C1016" s="4" t="s">
        <v>20</v>
      </c>
      <c r="D1016" s="5">
        <v>348.66218258782226</v>
      </c>
      <c r="E1016" s="5">
        <f t="shared" si="1"/>
        <v>0</v>
      </c>
      <c r="F1016" s="5">
        <f t="shared" si="2"/>
        <v>348.6621826</v>
      </c>
      <c r="G1016" s="5">
        <v>11165.276092280354</v>
      </c>
      <c r="H1016" s="5">
        <v>5306.066986973599</v>
      </c>
      <c r="I1016" s="5">
        <v>5859.209105306754</v>
      </c>
      <c r="J1016" s="5">
        <v>175191.7297407813</v>
      </c>
      <c r="K1016" s="5">
        <f t="shared" si="3"/>
        <v>175191.7297</v>
      </c>
      <c r="L1016" s="5">
        <f t="shared" si="4"/>
        <v>0</v>
      </c>
      <c r="M1016" s="5">
        <v>2449.7990436751807</v>
      </c>
      <c r="N1016" s="5">
        <f t="shared" si="5"/>
        <v>0</v>
      </c>
      <c r="O1016" s="5">
        <f t="shared" si="6"/>
        <v>2449.799044</v>
      </c>
      <c r="P1016" s="5">
        <f t="shared" si="9"/>
        <v>189155.4671</v>
      </c>
      <c r="Q1016" s="5">
        <f t="shared" si="7"/>
        <v>8657.670332</v>
      </c>
      <c r="R1016" s="5">
        <f t="shared" si="8"/>
        <v>180497.7967</v>
      </c>
    </row>
    <row r="1017" ht="15.75" customHeight="1">
      <c r="A1017" s="4">
        <v>2009.0</v>
      </c>
      <c r="B1017" s="4">
        <v>301.0</v>
      </c>
      <c r="C1017" s="4" t="s">
        <v>20</v>
      </c>
      <c r="D1017" s="5" t="s">
        <v>19</v>
      </c>
      <c r="E1017" s="5" t="str">
        <f t="shared" si="1"/>
        <v/>
      </c>
      <c r="F1017" s="5" t="str">
        <f t="shared" si="2"/>
        <v/>
      </c>
      <c r="G1017" s="5">
        <v>3221.9612922411643</v>
      </c>
      <c r="H1017" s="5">
        <v>2301.1464293011613</v>
      </c>
      <c r="I1017" s="5">
        <v>920.814862940003</v>
      </c>
      <c r="J1017" s="5">
        <v>9291.104822894398</v>
      </c>
      <c r="K1017" s="5">
        <f t="shared" si="3"/>
        <v>9291.104823</v>
      </c>
      <c r="L1017" s="5">
        <f t="shared" si="4"/>
        <v>0</v>
      </c>
      <c r="M1017" s="5">
        <v>388.3657929403589</v>
      </c>
      <c r="N1017" s="5">
        <f t="shared" si="5"/>
        <v>0</v>
      </c>
      <c r="O1017" s="5">
        <f t="shared" si="6"/>
        <v>388.3657929</v>
      </c>
      <c r="P1017" s="5">
        <f t="shared" si="9"/>
        <v>12901.43191</v>
      </c>
      <c r="Q1017" s="5">
        <f t="shared" si="7"/>
        <v>1309.180656</v>
      </c>
      <c r="R1017" s="5">
        <f t="shared" si="8"/>
        <v>11592.25125</v>
      </c>
    </row>
    <row r="1018" ht="15.75" customHeight="1">
      <c r="A1018" s="4">
        <v>2009.0</v>
      </c>
      <c r="B1018" s="4">
        <v>302.0</v>
      </c>
      <c r="C1018" s="4" t="s">
        <v>20</v>
      </c>
      <c r="D1018" s="5">
        <v>24527.272947115034</v>
      </c>
      <c r="E1018" s="5">
        <f t="shared" si="1"/>
        <v>0</v>
      </c>
      <c r="F1018" s="5">
        <f t="shared" si="2"/>
        <v>24527.27295</v>
      </c>
      <c r="G1018" s="5">
        <v>2462.3682061422255</v>
      </c>
      <c r="H1018" s="5">
        <v>1426.8473644675428</v>
      </c>
      <c r="I1018" s="5">
        <v>1035.5208416746827</v>
      </c>
      <c r="J1018" s="5">
        <v>62315.57684290828</v>
      </c>
      <c r="K1018" s="5">
        <f t="shared" si="3"/>
        <v>62315.57684</v>
      </c>
      <c r="L1018" s="5">
        <f t="shared" si="4"/>
        <v>0</v>
      </c>
      <c r="M1018" s="5">
        <v>2708.0390868693876</v>
      </c>
      <c r="N1018" s="5">
        <f t="shared" si="5"/>
        <v>0</v>
      </c>
      <c r="O1018" s="5">
        <f t="shared" si="6"/>
        <v>2708.039087</v>
      </c>
      <c r="P1018" s="5">
        <f t="shared" si="9"/>
        <v>92013.25708</v>
      </c>
      <c r="Q1018" s="5">
        <f t="shared" si="7"/>
        <v>28270.83288</v>
      </c>
      <c r="R1018" s="5">
        <f t="shared" si="8"/>
        <v>63742.42421</v>
      </c>
    </row>
    <row r="1019" ht="15.75" customHeight="1">
      <c r="A1019" s="4">
        <v>2009.0</v>
      </c>
      <c r="B1019" s="4">
        <v>303.0</v>
      </c>
      <c r="C1019" s="4" t="s">
        <v>20</v>
      </c>
      <c r="D1019" s="5">
        <v>916.3904954485532</v>
      </c>
      <c r="E1019" s="5">
        <f t="shared" si="1"/>
        <v>0</v>
      </c>
      <c r="F1019" s="5">
        <f t="shared" si="2"/>
        <v>916.3904954</v>
      </c>
      <c r="G1019" s="5">
        <v>2528.677960889625</v>
      </c>
      <c r="H1019" s="5">
        <v>1638.4447609599897</v>
      </c>
      <c r="I1019" s="5">
        <v>890.2331999296352</v>
      </c>
      <c r="J1019" s="5">
        <v>18484.32992413959</v>
      </c>
      <c r="K1019" s="5">
        <f t="shared" si="3"/>
        <v>18484.32992</v>
      </c>
      <c r="L1019" s="5">
        <f t="shared" si="4"/>
        <v>0</v>
      </c>
      <c r="M1019" s="5">
        <v>2916.147450018704</v>
      </c>
      <c r="N1019" s="5">
        <f t="shared" si="5"/>
        <v>0</v>
      </c>
      <c r="O1019" s="5">
        <f t="shared" si="6"/>
        <v>2916.14745</v>
      </c>
      <c r="P1019" s="5">
        <f t="shared" si="9"/>
        <v>24845.54583</v>
      </c>
      <c r="Q1019" s="5">
        <f t="shared" si="7"/>
        <v>4722.771145</v>
      </c>
      <c r="R1019" s="5">
        <f t="shared" si="8"/>
        <v>20122.77469</v>
      </c>
    </row>
    <row r="1020" ht="15.75" customHeight="1">
      <c r="A1020" s="4">
        <v>2009.0</v>
      </c>
      <c r="B1020" s="4">
        <v>304.0</v>
      </c>
      <c r="C1020" s="4" t="s">
        <v>20</v>
      </c>
      <c r="D1020" s="5">
        <v>12401.0950478748</v>
      </c>
      <c r="E1020" s="5">
        <f t="shared" si="1"/>
        <v>0</v>
      </c>
      <c r="F1020" s="5">
        <f t="shared" si="2"/>
        <v>12401.09505</v>
      </c>
      <c r="G1020" s="5">
        <v>3330.333204850719</v>
      </c>
      <c r="H1020" s="5">
        <v>867.9649987084936</v>
      </c>
      <c r="I1020" s="5">
        <v>2462.3682061422255</v>
      </c>
      <c r="J1020" s="5">
        <v>428.07637299593847</v>
      </c>
      <c r="K1020" s="5">
        <f t="shared" si="3"/>
        <v>428.076373</v>
      </c>
      <c r="L1020" s="5">
        <f t="shared" si="4"/>
        <v>0</v>
      </c>
      <c r="M1020" s="5">
        <v>3518.1917927800323</v>
      </c>
      <c r="N1020" s="5">
        <f t="shared" si="5"/>
        <v>0</v>
      </c>
      <c r="O1020" s="5">
        <f t="shared" si="6"/>
        <v>3518.191793</v>
      </c>
      <c r="P1020" s="5">
        <f t="shared" si="9"/>
        <v>19677.69642</v>
      </c>
      <c r="Q1020" s="5">
        <f t="shared" si="7"/>
        <v>18381.65505</v>
      </c>
      <c r="R1020" s="5">
        <f t="shared" si="8"/>
        <v>1296.041372</v>
      </c>
    </row>
    <row r="1021" ht="15.75" customHeight="1">
      <c r="A1021" s="4">
        <v>2009.0</v>
      </c>
      <c r="B1021" s="4">
        <v>305.0</v>
      </c>
      <c r="C1021" s="4" t="s">
        <v>20</v>
      </c>
      <c r="D1021" s="5">
        <v>81597.25334058801</v>
      </c>
      <c r="E1021" s="5">
        <f t="shared" si="1"/>
        <v>0</v>
      </c>
      <c r="F1021" s="5">
        <f t="shared" si="2"/>
        <v>81597.25334</v>
      </c>
      <c r="G1021" s="5">
        <v>12440.0068999617</v>
      </c>
      <c r="H1021" s="5">
        <v>6006.674082282315</v>
      </c>
      <c r="I1021" s="5">
        <v>6433.332817679385</v>
      </c>
      <c r="J1021" s="5">
        <v>52723.44273953613</v>
      </c>
      <c r="K1021" s="5">
        <f t="shared" si="3"/>
        <v>52723.44274</v>
      </c>
      <c r="L1021" s="5">
        <f t="shared" si="4"/>
        <v>0</v>
      </c>
      <c r="M1021" s="5">
        <v>12625.911183157863</v>
      </c>
      <c r="N1021" s="5">
        <f t="shared" si="5"/>
        <v>0</v>
      </c>
      <c r="O1021" s="5">
        <f t="shared" si="6"/>
        <v>12625.91118</v>
      </c>
      <c r="P1021" s="5">
        <f t="shared" si="9"/>
        <v>159386.6142</v>
      </c>
      <c r="Q1021" s="5">
        <f t="shared" si="7"/>
        <v>100656.4973</v>
      </c>
      <c r="R1021" s="5">
        <f t="shared" si="8"/>
        <v>58730.11682</v>
      </c>
    </row>
    <row r="1022" ht="15.75" customHeight="1">
      <c r="A1022" s="4">
        <v>2009.0</v>
      </c>
      <c r="B1022" s="4">
        <v>306.0</v>
      </c>
      <c r="C1022" s="4" t="s">
        <v>20</v>
      </c>
      <c r="D1022" s="5">
        <v>1377.2969576564053</v>
      </c>
      <c r="E1022" s="5">
        <f t="shared" si="1"/>
        <v>0</v>
      </c>
      <c r="F1022" s="5">
        <f t="shared" si="2"/>
        <v>1377.296958</v>
      </c>
      <c r="G1022" s="5" t="s">
        <v>19</v>
      </c>
      <c r="H1022" s="5" t="s">
        <v>19</v>
      </c>
      <c r="I1022" s="5" t="s">
        <v>19</v>
      </c>
      <c r="J1022" s="5">
        <v>0.0</v>
      </c>
      <c r="K1022" s="5">
        <f t="shared" si="3"/>
        <v>0</v>
      </c>
      <c r="L1022" s="5">
        <f t="shared" si="4"/>
        <v>0</v>
      </c>
      <c r="M1022" s="5">
        <v>2488.3261681541253</v>
      </c>
      <c r="N1022" s="5">
        <f t="shared" si="5"/>
        <v>0</v>
      </c>
      <c r="O1022" s="5">
        <f t="shared" si="6"/>
        <v>2488.326168</v>
      </c>
      <c r="P1022" s="5">
        <f t="shared" si="9"/>
        <v>3865.623126</v>
      </c>
      <c r="Q1022" s="5">
        <f t="shared" si="7"/>
        <v>3865.623126</v>
      </c>
      <c r="R1022" s="5">
        <f t="shared" si="8"/>
        <v>0</v>
      </c>
    </row>
    <row r="1023" ht="15.75" customHeight="1">
      <c r="A1023" s="4">
        <v>2009.0</v>
      </c>
      <c r="B1023" s="4">
        <v>307.0</v>
      </c>
      <c r="C1023" s="4" t="s">
        <v>20</v>
      </c>
      <c r="D1023" s="5" t="s">
        <v>19</v>
      </c>
      <c r="E1023" s="5" t="str">
        <f t="shared" si="1"/>
        <v/>
      </c>
      <c r="F1023" s="5" t="str">
        <f t="shared" si="2"/>
        <v/>
      </c>
      <c r="G1023" s="5" t="s">
        <v>19</v>
      </c>
      <c r="H1023" s="5" t="s">
        <v>19</v>
      </c>
      <c r="I1023" s="5" t="s">
        <v>19</v>
      </c>
      <c r="J1023" s="5">
        <v>0.0</v>
      </c>
      <c r="K1023" s="5">
        <f t="shared" si="3"/>
        <v>0</v>
      </c>
      <c r="L1023" s="5">
        <f t="shared" si="4"/>
        <v>0</v>
      </c>
      <c r="M1023" s="5">
        <v>387.7468833101751</v>
      </c>
      <c r="N1023" s="5">
        <f t="shared" si="5"/>
        <v>0</v>
      </c>
      <c r="O1023" s="5">
        <f t="shared" si="6"/>
        <v>387.7468833</v>
      </c>
      <c r="P1023" s="5">
        <f t="shared" si="9"/>
        <v>387.7468833</v>
      </c>
      <c r="Q1023" s="5">
        <f t="shared" si="7"/>
        <v>387.7468833</v>
      </c>
      <c r="R1023" s="5">
        <f t="shared" si="8"/>
        <v>0</v>
      </c>
    </row>
    <row r="1024" ht="15.75" customHeight="1">
      <c r="A1024" s="4">
        <v>2009.0</v>
      </c>
      <c r="B1024" s="4">
        <v>308.0</v>
      </c>
      <c r="C1024" s="4" t="s">
        <v>20</v>
      </c>
      <c r="D1024" s="5">
        <v>28611.446445173315</v>
      </c>
      <c r="E1024" s="5">
        <f t="shared" si="1"/>
        <v>0</v>
      </c>
      <c r="F1024" s="5">
        <f t="shared" si="2"/>
        <v>28611.44645</v>
      </c>
      <c r="G1024" s="5">
        <v>10634.79805430116</v>
      </c>
      <c r="H1024" s="5">
        <v>4003.4267004284234</v>
      </c>
      <c r="I1024" s="5">
        <v>6631.371353872737</v>
      </c>
      <c r="J1024" s="5">
        <v>4097.58320671227</v>
      </c>
      <c r="K1024" s="5">
        <f t="shared" si="3"/>
        <v>4097.583207</v>
      </c>
      <c r="L1024" s="5">
        <f t="shared" si="4"/>
        <v>0</v>
      </c>
      <c r="M1024" s="5">
        <v>8564.16200766887</v>
      </c>
      <c r="N1024" s="5">
        <f t="shared" si="5"/>
        <v>0</v>
      </c>
      <c r="O1024" s="5">
        <f t="shared" si="6"/>
        <v>8564.162008</v>
      </c>
      <c r="P1024" s="5">
        <f t="shared" si="9"/>
        <v>51907.98971</v>
      </c>
      <c r="Q1024" s="5">
        <f t="shared" si="7"/>
        <v>43806.97981</v>
      </c>
      <c r="R1024" s="5">
        <f t="shared" si="8"/>
        <v>8101.009907</v>
      </c>
    </row>
    <row r="1025" ht="15.75" customHeight="1">
      <c r="A1025" s="4">
        <v>2009.0</v>
      </c>
      <c r="B1025" s="4">
        <v>309.0</v>
      </c>
      <c r="C1025" s="4" t="s">
        <v>20</v>
      </c>
      <c r="D1025" s="5">
        <v>1727.0436260376575</v>
      </c>
      <c r="E1025" s="5">
        <f t="shared" si="1"/>
        <v>0</v>
      </c>
      <c r="F1025" s="5">
        <f t="shared" si="2"/>
        <v>1727.043626</v>
      </c>
      <c r="G1025" s="5">
        <v>1512.7531362895465</v>
      </c>
      <c r="H1025" s="5">
        <v>903.1982415294997</v>
      </c>
      <c r="I1025" s="5">
        <v>609.5548947600469</v>
      </c>
      <c r="J1025" s="5">
        <v>544.0382922188969</v>
      </c>
      <c r="K1025" s="5">
        <f t="shared" si="3"/>
        <v>544.0382922</v>
      </c>
      <c r="L1025" s="5">
        <f t="shared" si="4"/>
        <v>0</v>
      </c>
      <c r="M1025" s="5">
        <v>900.5135119174856</v>
      </c>
      <c r="N1025" s="5">
        <f t="shared" si="5"/>
        <v>0</v>
      </c>
      <c r="O1025" s="5">
        <f t="shared" si="6"/>
        <v>900.5135119</v>
      </c>
      <c r="P1025" s="5">
        <f t="shared" si="9"/>
        <v>4684.348566</v>
      </c>
      <c r="Q1025" s="5">
        <f t="shared" si="7"/>
        <v>3237.112033</v>
      </c>
      <c r="R1025" s="5">
        <f t="shared" si="8"/>
        <v>1447.236534</v>
      </c>
    </row>
    <row r="1026" ht="15.75" customHeight="1">
      <c r="A1026" s="4">
        <v>2009.0</v>
      </c>
      <c r="B1026" s="4">
        <v>310.0</v>
      </c>
      <c r="C1026" s="4" t="s">
        <v>20</v>
      </c>
      <c r="D1026" s="5" t="s">
        <v>19</v>
      </c>
      <c r="E1026" s="5" t="str">
        <f t="shared" si="1"/>
        <v/>
      </c>
      <c r="F1026" s="5" t="str">
        <f t="shared" si="2"/>
        <v/>
      </c>
      <c r="G1026" s="5">
        <v>5312.203113532314</v>
      </c>
      <c r="H1026" s="5">
        <v>3938.007673729871</v>
      </c>
      <c r="I1026" s="5">
        <v>1374.1954398024432</v>
      </c>
      <c r="J1026" s="5">
        <v>8018.275350203077</v>
      </c>
      <c r="K1026" s="5">
        <f t="shared" si="3"/>
        <v>8018.27535</v>
      </c>
      <c r="L1026" s="5">
        <f t="shared" si="4"/>
        <v>0</v>
      </c>
      <c r="M1026" s="5">
        <v>1250.6616351939924</v>
      </c>
      <c r="N1026" s="5">
        <f t="shared" si="5"/>
        <v>0</v>
      </c>
      <c r="O1026" s="5">
        <f t="shared" si="6"/>
        <v>1250.661635</v>
      </c>
      <c r="P1026" s="5">
        <f t="shared" si="9"/>
        <v>14581.1401</v>
      </c>
      <c r="Q1026" s="5">
        <f t="shared" si="7"/>
        <v>2624.857075</v>
      </c>
      <c r="R1026" s="5">
        <f t="shared" si="8"/>
        <v>11956.28302</v>
      </c>
    </row>
    <row r="1027" ht="15.75" customHeight="1">
      <c r="A1027" s="4">
        <v>2009.0</v>
      </c>
      <c r="B1027" s="4">
        <v>311.0</v>
      </c>
      <c r="C1027" s="4" t="s">
        <v>20</v>
      </c>
      <c r="D1027" s="5" t="s">
        <v>19</v>
      </c>
      <c r="E1027" s="5" t="str">
        <f t="shared" si="1"/>
        <v/>
      </c>
      <c r="F1027" s="5" t="str">
        <f t="shared" si="2"/>
        <v/>
      </c>
      <c r="G1027" s="5">
        <v>1657.7438686849791</v>
      </c>
      <c r="H1027" s="5">
        <v>1222.2768225826565</v>
      </c>
      <c r="I1027" s="5">
        <v>435.4670461023227</v>
      </c>
      <c r="J1027" s="5">
        <v>292.45989119281745</v>
      </c>
      <c r="K1027" s="5">
        <f t="shared" si="3"/>
        <v>292.4598912</v>
      </c>
      <c r="L1027" s="5">
        <f t="shared" si="4"/>
        <v>0</v>
      </c>
      <c r="M1027" s="5">
        <v>1807.2161201368099</v>
      </c>
      <c r="N1027" s="5">
        <f t="shared" si="5"/>
        <v>0</v>
      </c>
      <c r="O1027" s="5">
        <f t="shared" si="6"/>
        <v>1807.21612</v>
      </c>
      <c r="P1027" s="5">
        <f t="shared" si="9"/>
        <v>3757.41988</v>
      </c>
      <c r="Q1027" s="5">
        <f t="shared" si="7"/>
        <v>2242.683166</v>
      </c>
      <c r="R1027" s="5">
        <f t="shared" si="8"/>
        <v>1514.736714</v>
      </c>
    </row>
    <row r="1028" ht="15.75" customHeight="1">
      <c r="A1028" s="4">
        <v>2009.0</v>
      </c>
      <c r="B1028" s="4">
        <v>312.0</v>
      </c>
      <c r="C1028" s="4" t="s">
        <v>20</v>
      </c>
      <c r="D1028" s="5">
        <v>7493.79683260296</v>
      </c>
      <c r="E1028" s="5">
        <f t="shared" si="1"/>
        <v>0</v>
      </c>
      <c r="F1028" s="5">
        <f t="shared" si="2"/>
        <v>7493.796833</v>
      </c>
      <c r="G1028" s="5" t="s">
        <v>19</v>
      </c>
      <c r="H1028" s="5" t="s">
        <v>19</v>
      </c>
      <c r="I1028" s="5" t="s">
        <v>19</v>
      </c>
      <c r="J1028" s="5">
        <v>1160.0122834811887</v>
      </c>
      <c r="K1028" s="5">
        <f t="shared" si="3"/>
        <v>1160.012283</v>
      </c>
      <c r="L1028" s="5">
        <f t="shared" si="4"/>
        <v>0</v>
      </c>
      <c r="M1028" s="5">
        <v>1003.4072379355489</v>
      </c>
      <c r="N1028" s="5">
        <f t="shared" si="5"/>
        <v>0</v>
      </c>
      <c r="O1028" s="5">
        <f t="shared" si="6"/>
        <v>1003.407238</v>
      </c>
      <c r="P1028" s="5">
        <f t="shared" si="9"/>
        <v>9657.216354</v>
      </c>
      <c r="Q1028" s="5">
        <f t="shared" si="7"/>
        <v>8497.204071</v>
      </c>
      <c r="R1028" s="5">
        <f t="shared" si="8"/>
        <v>1160.012283</v>
      </c>
    </row>
    <row r="1029" ht="15.75" customHeight="1">
      <c r="A1029" s="4">
        <v>2009.0</v>
      </c>
      <c r="B1029" s="4">
        <v>313.0</v>
      </c>
      <c r="C1029" s="4" t="s">
        <v>20</v>
      </c>
      <c r="D1029" s="5">
        <v>66809.74730426997</v>
      </c>
      <c r="E1029" s="5">
        <f t="shared" si="1"/>
        <v>0</v>
      </c>
      <c r="F1029" s="5">
        <f t="shared" si="2"/>
        <v>66809.7473</v>
      </c>
      <c r="G1029" s="5">
        <v>3160.1051777379935</v>
      </c>
      <c r="H1029" s="5">
        <v>1686.6430453808607</v>
      </c>
      <c r="I1029" s="5">
        <v>1473.4621323571328</v>
      </c>
      <c r="J1029" s="5">
        <v>397.4152553708849</v>
      </c>
      <c r="K1029" s="5">
        <f t="shared" si="3"/>
        <v>397.4152554</v>
      </c>
      <c r="L1029" s="5">
        <f t="shared" si="4"/>
        <v>0</v>
      </c>
      <c r="M1029" s="5">
        <v>5614.129255397605</v>
      </c>
      <c r="N1029" s="5">
        <f t="shared" si="5"/>
        <v>0</v>
      </c>
      <c r="O1029" s="5">
        <f t="shared" si="6"/>
        <v>5614.129255</v>
      </c>
      <c r="P1029" s="5">
        <f t="shared" si="9"/>
        <v>75981.39699</v>
      </c>
      <c r="Q1029" s="5">
        <f t="shared" si="7"/>
        <v>73897.33869</v>
      </c>
      <c r="R1029" s="5">
        <f t="shared" si="8"/>
        <v>2084.058301</v>
      </c>
    </row>
    <row r="1030" ht="15.75" customHeight="1">
      <c r="A1030" s="4">
        <v>2009.0</v>
      </c>
      <c r="B1030" s="4">
        <v>314.0</v>
      </c>
      <c r="C1030" s="4" t="s">
        <v>20</v>
      </c>
      <c r="D1030" s="5" t="s">
        <v>19</v>
      </c>
      <c r="E1030" s="5" t="str">
        <f t="shared" si="1"/>
        <v/>
      </c>
      <c r="F1030" s="5" t="str">
        <f t="shared" si="2"/>
        <v/>
      </c>
      <c r="G1030" s="5">
        <v>3050.2487183803614</v>
      </c>
      <c r="H1030" s="5">
        <v>1474.055951056363</v>
      </c>
      <c r="I1030" s="5">
        <v>1576.1927673239984</v>
      </c>
      <c r="J1030" s="5">
        <v>78.61825032064985</v>
      </c>
      <c r="K1030" s="5">
        <f t="shared" si="3"/>
        <v>78.61825032</v>
      </c>
      <c r="L1030" s="5">
        <f t="shared" si="4"/>
        <v>0</v>
      </c>
      <c r="M1030" s="5">
        <v>2884.583058879327</v>
      </c>
      <c r="N1030" s="5">
        <f t="shared" si="5"/>
        <v>0</v>
      </c>
      <c r="O1030" s="5">
        <f t="shared" si="6"/>
        <v>2884.583059</v>
      </c>
      <c r="P1030" s="5">
        <f t="shared" si="9"/>
        <v>6013.450028</v>
      </c>
      <c r="Q1030" s="5">
        <f t="shared" si="7"/>
        <v>4460.775826</v>
      </c>
      <c r="R1030" s="5">
        <f t="shared" si="8"/>
        <v>1552.674201</v>
      </c>
    </row>
    <row r="1031" ht="15.75" customHeight="1">
      <c r="A1031" s="4">
        <v>2009.0</v>
      </c>
      <c r="B1031" s="4">
        <v>320.0</v>
      </c>
      <c r="C1031" s="4" t="s">
        <v>20</v>
      </c>
      <c r="D1031" s="5">
        <v>161151.87768925013</v>
      </c>
      <c r="E1031" s="5">
        <f t="shared" si="1"/>
        <v>0</v>
      </c>
      <c r="F1031" s="5">
        <f t="shared" si="2"/>
        <v>161151.8777</v>
      </c>
      <c r="G1031" s="5">
        <v>25014.117856166267</v>
      </c>
      <c r="H1031" s="5">
        <v>14920.783485780066</v>
      </c>
      <c r="I1031" s="5">
        <v>10093.334370386201</v>
      </c>
      <c r="J1031" s="5">
        <v>120992.30796972528</v>
      </c>
      <c r="K1031" s="5">
        <f t="shared" si="3"/>
        <v>120992.308</v>
      </c>
      <c r="L1031" s="5">
        <f t="shared" si="4"/>
        <v>0</v>
      </c>
      <c r="M1031" s="5">
        <v>19961.22812009672</v>
      </c>
      <c r="N1031" s="5">
        <f t="shared" si="5"/>
        <v>0</v>
      </c>
      <c r="O1031" s="5">
        <f t="shared" si="6"/>
        <v>19961.22812</v>
      </c>
      <c r="P1031" s="5">
        <f t="shared" si="9"/>
        <v>327119.5316</v>
      </c>
      <c r="Q1031" s="5">
        <f t="shared" si="7"/>
        <v>191206.4402</v>
      </c>
      <c r="R1031" s="5">
        <f t="shared" si="8"/>
        <v>135913.0915</v>
      </c>
    </row>
    <row r="1032" ht="15.75" customHeight="1">
      <c r="A1032" s="4">
        <v>2009.0</v>
      </c>
      <c r="B1032" s="4">
        <v>321.0</v>
      </c>
      <c r="C1032" s="4" t="s">
        <v>20</v>
      </c>
      <c r="D1032" s="5">
        <v>81492.05821862526</v>
      </c>
      <c r="E1032" s="5">
        <f t="shared" si="1"/>
        <v>0</v>
      </c>
      <c r="F1032" s="5">
        <f t="shared" si="2"/>
        <v>81492.05822</v>
      </c>
      <c r="G1032" s="5">
        <v>16748.656411794567</v>
      </c>
      <c r="H1032" s="5">
        <v>11757.016426063487</v>
      </c>
      <c r="I1032" s="5">
        <v>4991.639985731081</v>
      </c>
      <c r="J1032" s="5">
        <v>4055.129351539119</v>
      </c>
      <c r="K1032" s="5">
        <f t="shared" si="3"/>
        <v>4055.129352</v>
      </c>
      <c r="L1032" s="5">
        <f t="shared" si="4"/>
        <v>0</v>
      </c>
      <c r="M1032" s="5">
        <v>7532.9038363750515</v>
      </c>
      <c r="N1032" s="5">
        <f t="shared" si="5"/>
        <v>0</v>
      </c>
      <c r="O1032" s="5">
        <f t="shared" si="6"/>
        <v>7532.903836</v>
      </c>
      <c r="P1032" s="5">
        <f t="shared" si="9"/>
        <v>109828.7478</v>
      </c>
      <c r="Q1032" s="5">
        <f t="shared" si="7"/>
        <v>94016.60204</v>
      </c>
      <c r="R1032" s="5">
        <f t="shared" si="8"/>
        <v>15812.14578</v>
      </c>
    </row>
    <row r="1033" ht="15.75" customHeight="1">
      <c r="A1033" s="4">
        <v>2009.0</v>
      </c>
      <c r="B1033" s="4">
        <v>322.0</v>
      </c>
      <c r="C1033" s="4" t="s">
        <v>20</v>
      </c>
      <c r="D1033" s="5">
        <v>19483.871764767697</v>
      </c>
      <c r="E1033" s="5">
        <f t="shared" si="1"/>
        <v>0</v>
      </c>
      <c r="F1033" s="5">
        <f t="shared" si="2"/>
        <v>19483.87176</v>
      </c>
      <c r="G1033" s="5" t="s">
        <v>19</v>
      </c>
      <c r="H1033" s="5" t="s">
        <v>19</v>
      </c>
      <c r="I1033" s="5" t="s">
        <v>19</v>
      </c>
      <c r="J1033" s="5">
        <v>0.0</v>
      </c>
      <c r="K1033" s="5">
        <f t="shared" si="3"/>
        <v>0</v>
      </c>
      <c r="L1033" s="5">
        <f t="shared" si="4"/>
        <v>0</v>
      </c>
      <c r="M1033" s="5">
        <v>42841.85296577061</v>
      </c>
      <c r="N1033" s="5">
        <f t="shared" si="5"/>
        <v>0</v>
      </c>
      <c r="O1033" s="5">
        <f t="shared" si="6"/>
        <v>42841.85297</v>
      </c>
      <c r="P1033" s="5">
        <f t="shared" si="9"/>
        <v>62325.72473</v>
      </c>
      <c r="Q1033" s="5">
        <f t="shared" si="7"/>
        <v>62325.72473</v>
      </c>
      <c r="R1033" s="5">
        <f t="shared" si="8"/>
        <v>0</v>
      </c>
    </row>
    <row r="1034" ht="15.75" customHeight="1">
      <c r="A1034" s="4">
        <v>2009.0</v>
      </c>
      <c r="B1034" s="4">
        <v>323.0</v>
      </c>
      <c r="C1034" s="4" t="s">
        <v>20</v>
      </c>
      <c r="D1034" s="5">
        <v>11363.784386458772</v>
      </c>
      <c r="E1034" s="5">
        <f t="shared" si="1"/>
        <v>0</v>
      </c>
      <c r="F1034" s="5">
        <f t="shared" si="2"/>
        <v>11363.78439</v>
      </c>
      <c r="G1034" s="5">
        <v>1019.3887670122559</v>
      </c>
      <c r="H1034" s="5">
        <v>307.79602576777825</v>
      </c>
      <c r="I1034" s="5">
        <v>711.5927412444777</v>
      </c>
      <c r="J1034" s="5">
        <v>0.0</v>
      </c>
      <c r="K1034" s="5">
        <f t="shared" si="3"/>
        <v>0</v>
      </c>
      <c r="L1034" s="5">
        <f t="shared" si="4"/>
        <v>0</v>
      </c>
      <c r="M1034" s="5">
        <v>185622.44792029168</v>
      </c>
      <c r="N1034" s="5">
        <f t="shared" si="5"/>
        <v>0</v>
      </c>
      <c r="O1034" s="5">
        <f t="shared" si="6"/>
        <v>185622.4479</v>
      </c>
      <c r="P1034" s="5">
        <f t="shared" si="9"/>
        <v>198005.6211</v>
      </c>
      <c r="Q1034" s="5">
        <f t="shared" si="7"/>
        <v>197697.825</v>
      </c>
      <c r="R1034" s="5">
        <f t="shared" si="8"/>
        <v>307.7960258</v>
      </c>
    </row>
    <row r="1035" ht="15.75" customHeight="1">
      <c r="A1035" s="4">
        <v>2009.0</v>
      </c>
      <c r="B1035" s="4">
        <v>324.0</v>
      </c>
      <c r="C1035" s="4" t="s">
        <v>20</v>
      </c>
      <c r="D1035" s="5">
        <v>26629.54865767955</v>
      </c>
      <c r="E1035" s="5">
        <f t="shared" si="1"/>
        <v>0</v>
      </c>
      <c r="F1035" s="5">
        <f t="shared" si="2"/>
        <v>26629.54866</v>
      </c>
      <c r="G1035" s="5">
        <v>1257.4110956204572</v>
      </c>
      <c r="H1035" s="5">
        <v>624.6972715904232</v>
      </c>
      <c r="I1035" s="5">
        <v>632.7138240300341</v>
      </c>
      <c r="J1035" s="5">
        <v>498.43970703291996</v>
      </c>
      <c r="K1035" s="5">
        <f t="shared" si="3"/>
        <v>498.439707</v>
      </c>
      <c r="L1035" s="5">
        <f t="shared" si="4"/>
        <v>0</v>
      </c>
      <c r="M1035" s="5">
        <v>140078.89969136112</v>
      </c>
      <c r="N1035" s="5">
        <f t="shared" si="5"/>
        <v>0</v>
      </c>
      <c r="O1035" s="5">
        <f t="shared" si="6"/>
        <v>140078.8997</v>
      </c>
      <c r="P1035" s="5">
        <f t="shared" si="9"/>
        <v>168464.2992</v>
      </c>
      <c r="Q1035" s="5">
        <f t="shared" si="7"/>
        <v>167341.1622</v>
      </c>
      <c r="R1035" s="5">
        <f t="shared" si="8"/>
        <v>1123.136979</v>
      </c>
    </row>
    <row r="1036" ht="15.75" customHeight="1">
      <c r="A1036" s="4">
        <v>2009.0</v>
      </c>
      <c r="B1036" s="4">
        <v>325.0</v>
      </c>
      <c r="C1036" s="4" t="s">
        <v>20</v>
      </c>
      <c r="D1036" s="5">
        <v>10628.557242802743</v>
      </c>
      <c r="E1036" s="5">
        <f t="shared" si="1"/>
        <v>0</v>
      </c>
      <c r="F1036" s="5">
        <f t="shared" si="2"/>
        <v>10628.55724</v>
      </c>
      <c r="G1036" s="5" t="s">
        <v>19</v>
      </c>
      <c r="H1036" s="5" t="s">
        <v>19</v>
      </c>
      <c r="I1036" s="5" t="s">
        <v>19</v>
      </c>
      <c r="J1036" s="5">
        <v>0.0</v>
      </c>
      <c r="K1036" s="5">
        <f t="shared" si="3"/>
        <v>0</v>
      </c>
      <c r="L1036" s="5">
        <f t="shared" si="4"/>
        <v>0</v>
      </c>
      <c r="M1036" s="5">
        <v>2229.931397552372</v>
      </c>
      <c r="N1036" s="5">
        <f t="shared" si="5"/>
        <v>0</v>
      </c>
      <c r="O1036" s="5">
        <f t="shared" si="6"/>
        <v>2229.931398</v>
      </c>
      <c r="P1036" s="5">
        <f t="shared" si="9"/>
        <v>12858.48864</v>
      </c>
      <c r="Q1036" s="5">
        <f t="shared" si="7"/>
        <v>12858.48864</v>
      </c>
      <c r="R1036" s="5">
        <f t="shared" si="8"/>
        <v>0</v>
      </c>
    </row>
    <row r="1037" ht="15.75" customHeight="1">
      <c r="A1037" s="4">
        <v>2009.0</v>
      </c>
      <c r="B1037" s="4">
        <v>326.0</v>
      </c>
      <c r="C1037" s="4" t="s">
        <v>20</v>
      </c>
      <c r="D1037" s="5" t="s">
        <v>19</v>
      </c>
      <c r="E1037" s="5" t="str">
        <f t="shared" si="1"/>
        <v/>
      </c>
      <c r="F1037" s="5" t="str">
        <f t="shared" si="2"/>
        <v/>
      </c>
      <c r="G1037" s="5" t="s">
        <v>19</v>
      </c>
      <c r="H1037" s="5" t="s">
        <v>19</v>
      </c>
      <c r="I1037" s="5" t="s">
        <v>19</v>
      </c>
      <c r="J1037" s="5">
        <v>0.0</v>
      </c>
      <c r="K1037" s="5">
        <f t="shared" si="3"/>
        <v>0</v>
      </c>
      <c r="L1037" s="5">
        <f t="shared" si="4"/>
        <v>0</v>
      </c>
      <c r="M1037" s="5">
        <v>81312.34721355277</v>
      </c>
      <c r="N1037" s="5">
        <f t="shared" si="5"/>
        <v>0</v>
      </c>
      <c r="O1037" s="5">
        <f t="shared" si="6"/>
        <v>81312.34721</v>
      </c>
      <c r="P1037" s="5">
        <f t="shared" si="9"/>
        <v>81312.34721</v>
      </c>
      <c r="Q1037" s="5">
        <f t="shared" si="7"/>
        <v>81312.34721</v>
      </c>
      <c r="R1037" s="5">
        <f t="shared" si="8"/>
        <v>0</v>
      </c>
    </row>
    <row r="1038" ht="15.75" customHeight="1">
      <c r="A1038" s="4">
        <v>2009.0</v>
      </c>
      <c r="B1038" s="4">
        <v>327.0</v>
      </c>
      <c r="C1038" s="4" t="s">
        <v>20</v>
      </c>
      <c r="D1038" s="5">
        <v>114331.37252948637</v>
      </c>
      <c r="E1038" s="5">
        <f t="shared" si="1"/>
        <v>0</v>
      </c>
      <c r="F1038" s="5">
        <f t="shared" si="2"/>
        <v>114331.3725</v>
      </c>
      <c r="G1038" s="5">
        <v>12147.551190590708</v>
      </c>
      <c r="H1038" s="5">
        <v>3876.646408142725</v>
      </c>
      <c r="I1038" s="5">
        <v>8270.904782447982</v>
      </c>
      <c r="J1038" s="5">
        <v>279.09478863830697</v>
      </c>
      <c r="K1038" s="5">
        <f t="shared" si="3"/>
        <v>279.0947886</v>
      </c>
      <c r="L1038" s="5">
        <f t="shared" si="4"/>
        <v>0</v>
      </c>
      <c r="M1038" s="5">
        <v>29069.411692697184</v>
      </c>
      <c r="N1038" s="5">
        <f t="shared" si="5"/>
        <v>0</v>
      </c>
      <c r="O1038" s="5">
        <f t="shared" si="6"/>
        <v>29069.41169</v>
      </c>
      <c r="P1038" s="5">
        <f t="shared" si="9"/>
        <v>155827.4302</v>
      </c>
      <c r="Q1038" s="5">
        <f t="shared" si="7"/>
        <v>151671.689</v>
      </c>
      <c r="R1038" s="5">
        <f t="shared" si="8"/>
        <v>4155.741197</v>
      </c>
    </row>
    <row r="1039" ht="15.75" customHeight="1">
      <c r="A1039" s="4">
        <v>2009.0</v>
      </c>
      <c r="B1039" s="4">
        <v>328.0</v>
      </c>
      <c r="C1039" s="4" t="s">
        <v>20</v>
      </c>
      <c r="D1039" s="5">
        <v>21519.45159903626</v>
      </c>
      <c r="E1039" s="5">
        <f t="shared" si="1"/>
        <v>0</v>
      </c>
      <c r="F1039" s="5">
        <f t="shared" si="2"/>
        <v>21519.4516</v>
      </c>
      <c r="G1039" s="5">
        <v>9389.263332665312</v>
      </c>
      <c r="H1039" s="5">
        <v>2504.331394221177</v>
      </c>
      <c r="I1039" s="5">
        <v>6884.931938444135</v>
      </c>
      <c r="J1039" s="5">
        <v>377.3676015391193</v>
      </c>
      <c r="K1039" s="5">
        <f t="shared" si="3"/>
        <v>377.3676015</v>
      </c>
      <c r="L1039" s="5">
        <f t="shared" si="4"/>
        <v>0</v>
      </c>
      <c r="M1039" s="5">
        <v>123160.85022287833</v>
      </c>
      <c r="N1039" s="5">
        <f t="shared" si="5"/>
        <v>0</v>
      </c>
      <c r="O1039" s="5">
        <f t="shared" si="6"/>
        <v>123160.8502</v>
      </c>
      <c r="P1039" s="5">
        <f t="shared" si="9"/>
        <v>154446.9328</v>
      </c>
      <c r="Q1039" s="5">
        <f t="shared" si="7"/>
        <v>151565.2338</v>
      </c>
      <c r="R1039" s="5">
        <f t="shared" si="8"/>
        <v>2881.698996</v>
      </c>
    </row>
    <row r="1040" ht="15.75" customHeight="1">
      <c r="A1040" s="4">
        <v>2009.0</v>
      </c>
      <c r="B1040" s="4">
        <v>331.0</v>
      </c>
      <c r="C1040" s="4" t="s">
        <v>20</v>
      </c>
      <c r="D1040" s="5">
        <v>258742.5852684506</v>
      </c>
      <c r="E1040" s="5">
        <f t="shared" si="1"/>
        <v>0</v>
      </c>
      <c r="F1040" s="5">
        <f t="shared" si="2"/>
        <v>258742.5853</v>
      </c>
      <c r="G1040" s="5">
        <v>201671.22208589403</v>
      </c>
      <c r="H1040" s="5">
        <v>51881.04902371472</v>
      </c>
      <c r="I1040" s="5">
        <v>149790.1730621793</v>
      </c>
      <c r="J1040" s="5">
        <v>6302.432036954895</v>
      </c>
      <c r="K1040" s="5">
        <f t="shared" si="3"/>
        <v>6302.432037</v>
      </c>
      <c r="L1040" s="5">
        <f t="shared" si="4"/>
        <v>0</v>
      </c>
      <c r="M1040" s="5">
        <v>34814.44033487867</v>
      </c>
      <c r="N1040" s="5">
        <f t="shared" si="5"/>
        <v>0</v>
      </c>
      <c r="O1040" s="5">
        <f t="shared" si="6"/>
        <v>34814.44033</v>
      </c>
      <c r="P1040" s="5">
        <f t="shared" si="9"/>
        <v>501530.6797</v>
      </c>
      <c r="Q1040" s="5">
        <f t="shared" si="7"/>
        <v>443347.1987</v>
      </c>
      <c r="R1040" s="5">
        <f t="shared" si="8"/>
        <v>58183.48106</v>
      </c>
    </row>
    <row r="1041" ht="15.75" customHeight="1">
      <c r="A1041" s="4">
        <v>2009.0</v>
      </c>
      <c r="B1041" s="4">
        <v>332.0</v>
      </c>
      <c r="C1041" s="4" t="s">
        <v>20</v>
      </c>
      <c r="D1041" s="5">
        <v>1217.3353031254446</v>
      </c>
      <c r="E1041" s="5">
        <f t="shared" si="1"/>
        <v>0</v>
      </c>
      <c r="F1041" s="5">
        <f t="shared" si="2"/>
        <v>1217.335303</v>
      </c>
      <c r="G1041" s="5" t="s">
        <v>19</v>
      </c>
      <c r="H1041" s="5" t="s">
        <v>19</v>
      </c>
      <c r="I1041" s="5" t="s">
        <v>19</v>
      </c>
      <c r="J1041" s="5">
        <v>0.0</v>
      </c>
      <c r="K1041" s="5">
        <f t="shared" si="3"/>
        <v>0</v>
      </c>
      <c r="L1041" s="5">
        <f t="shared" si="4"/>
        <v>0</v>
      </c>
      <c r="M1041" s="5">
        <v>3278.6737658988877</v>
      </c>
      <c r="N1041" s="5">
        <f t="shared" si="5"/>
        <v>0</v>
      </c>
      <c r="O1041" s="5">
        <f t="shared" si="6"/>
        <v>3278.673766</v>
      </c>
      <c r="P1041" s="5">
        <f t="shared" si="9"/>
        <v>4496.009069</v>
      </c>
      <c r="Q1041" s="5">
        <f t="shared" si="7"/>
        <v>4496.009069</v>
      </c>
      <c r="R1041" s="5">
        <f t="shared" si="8"/>
        <v>0</v>
      </c>
    </row>
    <row r="1042" ht="15.75" customHeight="1">
      <c r="A1042" s="4">
        <v>2009.0</v>
      </c>
      <c r="B1042" s="4">
        <v>333.0</v>
      </c>
      <c r="C1042" s="4" t="s">
        <v>20</v>
      </c>
      <c r="D1042" s="5">
        <v>10199.58888721141</v>
      </c>
      <c r="E1042" s="5">
        <f t="shared" si="1"/>
        <v>0</v>
      </c>
      <c r="F1042" s="5">
        <f t="shared" si="2"/>
        <v>10199.58889</v>
      </c>
      <c r="G1042" s="5" t="s">
        <v>19</v>
      </c>
      <c r="H1042" s="5" t="s">
        <v>19</v>
      </c>
      <c r="I1042" s="5" t="s">
        <v>19</v>
      </c>
      <c r="J1042" s="5">
        <v>0.0</v>
      </c>
      <c r="K1042" s="5">
        <f t="shared" si="3"/>
        <v>0</v>
      </c>
      <c r="L1042" s="5">
        <f t="shared" si="4"/>
        <v>0</v>
      </c>
      <c r="M1042" s="5">
        <v>1766.8322667673142</v>
      </c>
      <c r="N1042" s="5">
        <f t="shared" si="5"/>
        <v>0</v>
      </c>
      <c r="O1042" s="5">
        <f t="shared" si="6"/>
        <v>1766.832267</v>
      </c>
      <c r="P1042" s="5">
        <f t="shared" si="9"/>
        <v>11966.42115</v>
      </c>
      <c r="Q1042" s="5">
        <f t="shared" si="7"/>
        <v>11966.42115</v>
      </c>
      <c r="R1042" s="5">
        <f t="shared" si="8"/>
        <v>0</v>
      </c>
    </row>
    <row r="1043" ht="15.75" customHeight="1">
      <c r="A1043" s="4">
        <v>2009.0</v>
      </c>
      <c r="B1043" s="4">
        <v>400.0</v>
      </c>
      <c r="C1043" s="4" t="s">
        <v>21</v>
      </c>
      <c r="D1043" s="5">
        <v>798.6833625837247</v>
      </c>
      <c r="E1043" s="5">
        <f t="shared" si="1"/>
        <v>0</v>
      </c>
      <c r="F1043" s="5">
        <f t="shared" si="2"/>
        <v>798.6833626</v>
      </c>
      <c r="G1043" s="5" t="s">
        <v>19</v>
      </c>
      <c r="H1043" s="5" t="s">
        <v>19</v>
      </c>
      <c r="I1043" s="5" t="s">
        <v>19</v>
      </c>
      <c r="J1043" s="5">
        <v>52465.03765377388</v>
      </c>
      <c r="K1043" s="5">
        <f t="shared" si="3"/>
        <v>52465.03765</v>
      </c>
      <c r="L1043" s="5">
        <f t="shared" si="4"/>
        <v>0</v>
      </c>
      <c r="M1043" s="5">
        <v>924.2871689958329</v>
      </c>
      <c r="N1043" s="5">
        <f t="shared" si="5"/>
        <v>0</v>
      </c>
      <c r="O1043" s="5">
        <f t="shared" si="6"/>
        <v>924.287169</v>
      </c>
      <c r="P1043" s="5">
        <f t="shared" si="9"/>
        <v>54188.00819</v>
      </c>
      <c r="Q1043" s="5">
        <f t="shared" si="7"/>
        <v>1722.970532</v>
      </c>
      <c r="R1043" s="5">
        <f t="shared" si="8"/>
        <v>52465.03765</v>
      </c>
    </row>
    <row r="1044" ht="15.75" customHeight="1">
      <c r="A1044" s="4">
        <v>2009.0</v>
      </c>
      <c r="B1044" s="4">
        <v>401.0</v>
      </c>
      <c r="C1044" s="4" t="s">
        <v>21</v>
      </c>
      <c r="D1044" s="5">
        <v>3916.0043212243463</v>
      </c>
      <c r="E1044" s="5">
        <f t="shared" si="1"/>
        <v>0</v>
      </c>
      <c r="F1044" s="5">
        <f t="shared" si="2"/>
        <v>3916.004321</v>
      </c>
      <c r="G1044" s="5">
        <v>9955.724553512895</v>
      </c>
      <c r="H1044" s="5">
        <v>7292.3835661963785</v>
      </c>
      <c r="I1044" s="5">
        <v>2663.3409873165165</v>
      </c>
      <c r="J1044" s="5">
        <v>217141.630777852</v>
      </c>
      <c r="K1044" s="5">
        <f t="shared" si="3"/>
        <v>217141.6308</v>
      </c>
      <c r="L1044" s="5">
        <f t="shared" si="4"/>
        <v>0</v>
      </c>
      <c r="M1044" s="5">
        <v>3120.094900451584</v>
      </c>
      <c r="N1044" s="5">
        <f t="shared" si="5"/>
        <v>0</v>
      </c>
      <c r="O1044" s="5">
        <f t="shared" si="6"/>
        <v>3120.0949</v>
      </c>
      <c r="P1044" s="5">
        <f t="shared" si="9"/>
        <v>234133.4546</v>
      </c>
      <c r="Q1044" s="5">
        <f t="shared" si="7"/>
        <v>9699.440209</v>
      </c>
      <c r="R1044" s="5">
        <f t="shared" si="8"/>
        <v>224434.0143</v>
      </c>
    </row>
    <row r="1045" ht="15.75" customHeight="1">
      <c r="A1045" s="4">
        <v>2009.0</v>
      </c>
      <c r="B1045" s="4">
        <v>402.0</v>
      </c>
      <c r="C1045" s="4" t="s">
        <v>21</v>
      </c>
      <c r="D1045" s="5">
        <v>1325.6221853578804</v>
      </c>
      <c r="E1045" s="5">
        <f t="shared" si="1"/>
        <v>0</v>
      </c>
      <c r="F1045" s="5">
        <f t="shared" si="2"/>
        <v>1325.622185</v>
      </c>
      <c r="G1045" s="5">
        <v>25908.07008963944</v>
      </c>
      <c r="H1045" s="5">
        <v>19975.467780989024</v>
      </c>
      <c r="I1045" s="5">
        <v>5932.602308650417</v>
      </c>
      <c r="J1045" s="5">
        <v>200407.5089847825</v>
      </c>
      <c r="K1045" s="5">
        <f t="shared" si="3"/>
        <v>200407.509</v>
      </c>
      <c r="L1045" s="5">
        <f t="shared" si="4"/>
        <v>0</v>
      </c>
      <c r="M1045" s="5">
        <v>1236.920168675183</v>
      </c>
      <c r="N1045" s="5">
        <f t="shared" si="5"/>
        <v>0</v>
      </c>
      <c r="O1045" s="5">
        <f t="shared" si="6"/>
        <v>1236.920169</v>
      </c>
      <c r="P1045" s="5">
        <f t="shared" si="9"/>
        <v>228878.1214</v>
      </c>
      <c r="Q1045" s="5">
        <f t="shared" si="7"/>
        <v>8495.144663</v>
      </c>
      <c r="R1045" s="5">
        <f t="shared" si="8"/>
        <v>220382.9768</v>
      </c>
    </row>
    <row r="1046" ht="15.75" customHeight="1">
      <c r="A1046" s="4">
        <v>2009.0</v>
      </c>
      <c r="B1046" s="4">
        <v>403.0</v>
      </c>
      <c r="C1046" s="4" t="s">
        <v>21</v>
      </c>
      <c r="D1046" s="5">
        <v>6038.708231406758</v>
      </c>
      <c r="E1046" s="5">
        <f t="shared" si="1"/>
        <v>0</v>
      </c>
      <c r="F1046" s="5">
        <f t="shared" si="2"/>
        <v>6038.708231</v>
      </c>
      <c r="G1046" s="5">
        <v>25967.67722036482</v>
      </c>
      <c r="H1046" s="5">
        <v>17287.894084072963</v>
      </c>
      <c r="I1046" s="5">
        <v>8679.783136291859</v>
      </c>
      <c r="J1046" s="5">
        <v>567493.6513229301</v>
      </c>
      <c r="K1046" s="5">
        <f t="shared" si="3"/>
        <v>567493.6513</v>
      </c>
      <c r="L1046" s="5">
        <f t="shared" si="4"/>
        <v>0</v>
      </c>
      <c r="M1046" s="5">
        <v>38201.82055913319</v>
      </c>
      <c r="N1046" s="5">
        <f t="shared" si="5"/>
        <v>0</v>
      </c>
      <c r="O1046" s="5">
        <f t="shared" si="6"/>
        <v>38201.82056</v>
      </c>
      <c r="P1046" s="5">
        <f t="shared" si="9"/>
        <v>637701.8573</v>
      </c>
      <c r="Q1046" s="5">
        <f t="shared" si="7"/>
        <v>52920.31193</v>
      </c>
      <c r="R1046" s="5">
        <f t="shared" si="8"/>
        <v>584781.5454</v>
      </c>
    </row>
    <row r="1047" ht="15.75" customHeight="1">
      <c r="A1047" s="4">
        <v>2009.0</v>
      </c>
      <c r="B1047" s="4">
        <v>404.0</v>
      </c>
      <c r="C1047" s="4" t="s">
        <v>21</v>
      </c>
      <c r="D1047" s="5">
        <v>6502.649302319365</v>
      </c>
      <c r="E1047" s="5">
        <f t="shared" si="1"/>
        <v>0</v>
      </c>
      <c r="F1047" s="5">
        <f t="shared" si="2"/>
        <v>6502.649302</v>
      </c>
      <c r="G1047" s="5">
        <v>12404.644020664098</v>
      </c>
      <c r="H1047" s="5">
        <v>7231.237525039189</v>
      </c>
      <c r="I1047" s="5">
        <v>5173.406495624909</v>
      </c>
      <c r="J1047" s="5">
        <v>293414.3825457068</v>
      </c>
      <c r="K1047" s="5">
        <f t="shared" si="3"/>
        <v>293414.3825</v>
      </c>
      <c r="L1047" s="5">
        <f t="shared" si="4"/>
        <v>0</v>
      </c>
      <c r="M1047" s="5">
        <v>3011.024623597161</v>
      </c>
      <c r="N1047" s="5">
        <f t="shared" si="5"/>
        <v>0</v>
      </c>
      <c r="O1047" s="5">
        <f t="shared" si="6"/>
        <v>3011.024624</v>
      </c>
      <c r="P1047" s="5">
        <f t="shared" si="9"/>
        <v>315332.7005</v>
      </c>
      <c r="Q1047" s="5">
        <f t="shared" si="7"/>
        <v>14687.08042</v>
      </c>
      <c r="R1047" s="5">
        <f t="shared" si="8"/>
        <v>300645.6201</v>
      </c>
    </row>
    <row r="1048" ht="15.75" customHeight="1">
      <c r="A1048" s="4">
        <v>2009.0</v>
      </c>
      <c r="B1048" s="4">
        <v>405.0</v>
      </c>
      <c r="C1048" s="4" t="s">
        <v>21</v>
      </c>
      <c r="D1048" s="5">
        <v>1602.7055176980896</v>
      </c>
      <c r="E1048" s="5">
        <f t="shared" si="1"/>
        <v>0</v>
      </c>
      <c r="F1048" s="5">
        <f t="shared" si="2"/>
        <v>1602.705518</v>
      </c>
      <c r="G1048" s="5">
        <v>4061.697599686475</v>
      </c>
      <c r="H1048" s="5">
        <v>2891.09973122417</v>
      </c>
      <c r="I1048" s="5">
        <v>1170.597868462305</v>
      </c>
      <c r="J1048" s="5">
        <v>53647.7279570151</v>
      </c>
      <c r="K1048" s="5">
        <f t="shared" si="3"/>
        <v>53647.72796</v>
      </c>
      <c r="L1048" s="5">
        <f t="shared" si="4"/>
        <v>0</v>
      </c>
      <c r="M1048" s="5">
        <v>562.0368533561355</v>
      </c>
      <c r="N1048" s="5">
        <f t="shared" si="5"/>
        <v>0</v>
      </c>
      <c r="O1048" s="5">
        <f t="shared" si="6"/>
        <v>562.0368534</v>
      </c>
      <c r="P1048" s="5">
        <f t="shared" si="9"/>
        <v>59874.16793</v>
      </c>
      <c r="Q1048" s="5">
        <f t="shared" si="7"/>
        <v>3335.34024</v>
      </c>
      <c r="R1048" s="5">
        <f t="shared" si="8"/>
        <v>56538.82769</v>
      </c>
    </row>
    <row r="1049" ht="15.75" customHeight="1">
      <c r="A1049" s="4">
        <v>2009.0</v>
      </c>
      <c r="B1049" s="4">
        <v>406.0</v>
      </c>
      <c r="C1049" s="4" t="s">
        <v>21</v>
      </c>
      <c r="D1049" s="5">
        <v>2322.3747508283445</v>
      </c>
      <c r="E1049" s="5">
        <f t="shared" si="1"/>
        <v>0</v>
      </c>
      <c r="F1049" s="5">
        <f t="shared" si="2"/>
        <v>2322.374751</v>
      </c>
      <c r="G1049" s="5" t="s">
        <v>19</v>
      </c>
      <c r="H1049" s="5" t="s">
        <v>19</v>
      </c>
      <c r="I1049" s="5" t="s">
        <v>19</v>
      </c>
      <c r="J1049" s="5">
        <v>99232.46573698695</v>
      </c>
      <c r="K1049" s="5">
        <f t="shared" si="3"/>
        <v>99232.46574</v>
      </c>
      <c r="L1049" s="5">
        <f t="shared" si="4"/>
        <v>0</v>
      </c>
      <c r="M1049" s="5">
        <v>0.0</v>
      </c>
      <c r="N1049" s="5">
        <f t="shared" si="5"/>
        <v>0</v>
      </c>
      <c r="O1049" s="5">
        <f t="shared" si="6"/>
        <v>0</v>
      </c>
      <c r="P1049" s="5">
        <f t="shared" si="9"/>
        <v>101554.8405</v>
      </c>
      <c r="Q1049" s="5">
        <f t="shared" si="7"/>
        <v>2322.374751</v>
      </c>
      <c r="R1049" s="5">
        <f t="shared" si="8"/>
        <v>99232.46574</v>
      </c>
    </row>
    <row r="1050" ht="15.75" customHeight="1">
      <c r="A1050" s="4">
        <v>2009.0</v>
      </c>
      <c r="B1050" s="4">
        <v>407.0</v>
      </c>
      <c r="C1050" s="4" t="s">
        <v>21</v>
      </c>
      <c r="D1050" s="5">
        <v>1417.4494168848862</v>
      </c>
      <c r="E1050" s="5">
        <f t="shared" si="1"/>
        <v>0</v>
      </c>
      <c r="F1050" s="5">
        <f t="shared" si="2"/>
        <v>1417.449417</v>
      </c>
      <c r="G1050" s="5">
        <v>3620.030305757446</v>
      </c>
      <c r="H1050" s="5">
        <v>2840.623469060852</v>
      </c>
      <c r="I1050" s="5">
        <v>779.4068366965939</v>
      </c>
      <c r="J1050" s="5">
        <v>148057.92167402824</v>
      </c>
      <c r="K1050" s="5">
        <f t="shared" si="3"/>
        <v>148057.9217</v>
      </c>
      <c r="L1050" s="5">
        <f t="shared" si="4"/>
        <v>0</v>
      </c>
      <c r="M1050" s="5">
        <v>713.9624402789659</v>
      </c>
      <c r="N1050" s="5">
        <f t="shared" si="5"/>
        <v>0</v>
      </c>
      <c r="O1050" s="5">
        <f t="shared" si="6"/>
        <v>713.9624403</v>
      </c>
      <c r="P1050" s="5">
        <f t="shared" si="9"/>
        <v>153809.3638</v>
      </c>
      <c r="Q1050" s="5">
        <f t="shared" si="7"/>
        <v>2910.818694</v>
      </c>
      <c r="R1050" s="5">
        <f t="shared" si="8"/>
        <v>150898.5451</v>
      </c>
    </row>
    <row r="1051" ht="15.75" customHeight="1">
      <c r="A1051" s="4">
        <v>2009.0</v>
      </c>
      <c r="B1051" s="4">
        <v>408.0</v>
      </c>
      <c r="C1051" s="4" t="s">
        <v>21</v>
      </c>
      <c r="D1051" s="5" t="s">
        <v>19</v>
      </c>
      <c r="E1051" s="5" t="str">
        <f t="shared" si="1"/>
        <v/>
      </c>
      <c r="F1051" s="5" t="str">
        <f t="shared" si="2"/>
        <v/>
      </c>
      <c r="G1051" s="5">
        <v>2584.8565552942846</v>
      </c>
      <c r="H1051" s="5">
        <v>1466.1712653983177</v>
      </c>
      <c r="I1051" s="5">
        <v>1118.685289895967</v>
      </c>
      <c r="J1051" s="5">
        <v>39362.77514646572</v>
      </c>
      <c r="K1051" s="5">
        <f t="shared" si="3"/>
        <v>39362.77515</v>
      </c>
      <c r="L1051" s="5">
        <f t="shared" si="4"/>
        <v>0</v>
      </c>
      <c r="M1051" s="5">
        <v>324.0493732631469</v>
      </c>
      <c r="N1051" s="5">
        <f t="shared" si="5"/>
        <v>0</v>
      </c>
      <c r="O1051" s="5">
        <f t="shared" si="6"/>
        <v>324.0493733</v>
      </c>
      <c r="P1051" s="5">
        <f t="shared" si="9"/>
        <v>42271.68108</v>
      </c>
      <c r="Q1051" s="5">
        <f t="shared" si="7"/>
        <v>1442.734663</v>
      </c>
      <c r="R1051" s="5">
        <f t="shared" si="8"/>
        <v>40828.94641</v>
      </c>
    </row>
    <row r="1052" ht="15.75" customHeight="1">
      <c r="A1052" s="4">
        <v>2009.0</v>
      </c>
      <c r="B1052" s="4">
        <v>409.0</v>
      </c>
      <c r="C1052" s="4" t="s">
        <v>21</v>
      </c>
      <c r="D1052" s="5">
        <v>487.4317580474203</v>
      </c>
      <c r="E1052" s="5">
        <f t="shared" si="1"/>
        <v>0</v>
      </c>
      <c r="F1052" s="5">
        <f t="shared" si="2"/>
        <v>487.431758</v>
      </c>
      <c r="G1052" s="5">
        <v>4629.555549023798</v>
      </c>
      <c r="H1052" s="5">
        <v>3388.1678006983034</v>
      </c>
      <c r="I1052" s="5">
        <v>1241.387748325495</v>
      </c>
      <c r="J1052" s="5">
        <v>67738.84775018704</v>
      </c>
      <c r="K1052" s="5">
        <f t="shared" si="3"/>
        <v>67738.84775</v>
      </c>
      <c r="L1052" s="5">
        <f t="shared" si="4"/>
        <v>0</v>
      </c>
      <c r="M1052" s="5">
        <v>796.9506944073323</v>
      </c>
      <c r="N1052" s="5">
        <f t="shared" si="5"/>
        <v>0</v>
      </c>
      <c r="O1052" s="5">
        <f t="shared" si="6"/>
        <v>796.9506944</v>
      </c>
      <c r="P1052" s="5">
        <f t="shared" si="9"/>
        <v>73652.78575</v>
      </c>
      <c r="Q1052" s="5">
        <f t="shared" si="7"/>
        <v>2525.770201</v>
      </c>
      <c r="R1052" s="5">
        <f t="shared" si="8"/>
        <v>71127.01555</v>
      </c>
    </row>
    <row r="1053" ht="15.75" customHeight="1">
      <c r="A1053" s="4">
        <v>2009.0</v>
      </c>
      <c r="B1053" s="4">
        <v>420.0</v>
      </c>
      <c r="C1053" s="4" t="s">
        <v>21</v>
      </c>
      <c r="D1053" s="5">
        <v>1177.203753006092</v>
      </c>
      <c r="E1053" s="5">
        <f t="shared" si="1"/>
        <v>0</v>
      </c>
      <c r="F1053" s="5">
        <f t="shared" si="2"/>
        <v>1177.203753</v>
      </c>
      <c r="G1053" s="5">
        <v>809.9798572751886</v>
      </c>
      <c r="H1053" s="5">
        <v>418.6862314806896</v>
      </c>
      <c r="I1053" s="5">
        <v>391.29362579449895</v>
      </c>
      <c r="J1053" s="5">
        <v>8636.380676655797</v>
      </c>
      <c r="K1053" s="5">
        <f t="shared" si="3"/>
        <v>8636.380677</v>
      </c>
      <c r="L1053" s="5">
        <f t="shared" si="4"/>
        <v>0</v>
      </c>
      <c r="M1053" s="5">
        <v>10752.028459477886</v>
      </c>
      <c r="N1053" s="5">
        <f t="shared" si="5"/>
        <v>0</v>
      </c>
      <c r="O1053" s="5">
        <f t="shared" si="6"/>
        <v>10752.02846</v>
      </c>
      <c r="P1053" s="5">
        <f t="shared" si="9"/>
        <v>21375.59275</v>
      </c>
      <c r="Q1053" s="5">
        <f t="shared" si="7"/>
        <v>12320.52584</v>
      </c>
      <c r="R1053" s="5">
        <f t="shared" si="8"/>
        <v>9055.066908</v>
      </c>
    </row>
    <row r="1054" ht="15.75" customHeight="1">
      <c r="A1054" s="4">
        <v>2009.0</v>
      </c>
      <c r="B1054" s="4">
        <v>421.0</v>
      </c>
      <c r="C1054" s="4" t="s">
        <v>21</v>
      </c>
      <c r="D1054" s="5">
        <v>2704.0984167690954</v>
      </c>
      <c r="E1054" s="5">
        <f t="shared" si="1"/>
        <v>0</v>
      </c>
      <c r="F1054" s="5">
        <f t="shared" si="2"/>
        <v>2704.098417</v>
      </c>
      <c r="G1054" s="5">
        <v>3731.3448269915916</v>
      </c>
      <c r="H1054" s="5">
        <v>1312.2802222174719</v>
      </c>
      <c r="I1054" s="5">
        <v>2419.0646047741197</v>
      </c>
      <c r="J1054" s="5">
        <v>1752.2195873681771</v>
      </c>
      <c r="K1054" s="5">
        <f t="shared" si="3"/>
        <v>1752.219587</v>
      </c>
      <c r="L1054" s="5">
        <f t="shared" si="4"/>
        <v>0</v>
      </c>
      <c r="M1054" s="5">
        <v>207271.46351100923</v>
      </c>
      <c r="N1054" s="5">
        <f t="shared" si="5"/>
        <v>0</v>
      </c>
      <c r="O1054" s="5">
        <f t="shared" si="6"/>
        <v>207271.4635</v>
      </c>
      <c r="P1054" s="5">
        <f t="shared" si="9"/>
        <v>215459.1263</v>
      </c>
      <c r="Q1054" s="5">
        <f t="shared" si="7"/>
        <v>212394.6265</v>
      </c>
      <c r="R1054" s="5">
        <f t="shared" si="8"/>
        <v>3064.49981</v>
      </c>
    </row>
    <row r="1055" ht="15.75" customHeight="1">
      <c r="A1055" s="4">
        <v>2009.0</v>
      </c>
      <c r="B1055" s="4">
        <v>422.0</v>
      </c>
      <c r="C1055" s="4" t="s">
        <v>21</v>
      </c>
      <c r="D1055" s="5">
        <v>1072.0295401524863</v>
      </c>
      <c r="E1055" s="5">
        <f t="shared" si="1"/>
        <v>0</v>
      </c>
      <c r="F1055" s="5">
        <f t="shared" si="2"/>
        <v>1072.02954</v>
      </c>
      <c r="G1055" s="5">
        <v>302.65238492233146</v>
      </c>
      <c r="H1055" s="5">
        <v>115.93125252957105</v>
      </c>
      <c r="I1055" s="5">
        <v>186.7211323927604</v>
      </c>
      <c r="J1055" s="5">
        <v>7359.090594017207</v>
      </c>
      <c r="K1055" s="5">
        <f t="shared" si="3"/>
        <v>7359.090594</v>
      </c>
      <c r="L1055" s="5">
        <f t="shared" si="4"/>
        <v>0</v>
      </c>
      <c r="M1055" s="5">
        <v>169687.88349056768</v>
      </c>
      <c r="N1055" s="5">
        <f t="shared" si="5"/>
        <v>0</v>
      </c>
      <c r="O1055" s="5">
        <f t="shared" si="6"/>
        <v>169687.8835</v>
      </c>
      <c r="P1055" s="5">
        <f t="shared" si="9"/>
        <v>178421.656</v>
      </c>
      <c r="Q1055" s="5">
        <f t="shared" si="7"/>
        <v>170946.6342</v>
      </c>
      <c r="R1055" s="5">
        <f t="shared" si="8"/>
        <v>7475.021847</v>
      </c>
    </row>
    <row r="1056" ht="15.75" customHeight="1">
      <c r="A1056" s="4">
        <v>2009.0</v>
      </c>
      <c r="B1056" s="4">
        <v>423.0</v>
      </c>
      <c r="C1056" s="4" t="s">
        <v>21</v>
      </c>
      <c r="D1056" s="5">
        <v>24853.680867887797</v>
      </c>
      <c r="E1056" s="5">
        <f t="shared" si="1"/>
        <v>0</v>
      </c>
      <c r="F1056" s="5">
        <f t="shared" si="2"/>
        <v>24853.68087</v>
      </c>
      <c r="G1056" s="5">
        <v>9890.577345233003</v>
      </c>
      <c r="H1056" s="5">
        <v>4011.3239315519445</v>
      </c>
      <c r="I1056" s="5">
        <v>5879.253413681059</v>
      </c>
      <c r="J1056" s="5">
        <v>72362.26717265212</v>
      </c>
      <c r="K1056" s="5">
        <f t="shared" si="3"/>
        <v>72362.26717</v>
      </c>
      <c r="L1056" s="5">
        <f t="shared" si="4"/>
        <v>0</v>
      </c>
      <c r="M1056" s="5">
        <v>350259.52282811864</v>
      </c>
      <c r="N1056" s="5">
        <f t="shared" si="5"/>
        <v>0</v>
      </c>
      <c r="O1056" s="5">
        <f t="shared" si="6"/>
        <v>350259.5228</v>
      </c>
      <c r="P1056" s="5">
        <f t="shared" si="9"/>
        <v>457366.0482</v>
      </c>
      <c r="Q1056" s="5">
        <f t="shared" si="7"/>
        <v>380992.4571</v>
      </c>
      <c r="R1056" s="5">
        <f t="shared" si="8"/>
        <v>76373.5911</v>
      </c>
    </row>
    <row r="1057" ht="15.75" customHeight="1">
      <c r="A1057" s="4">
        <v>2009.0</v>
      </c>
      <c r="B1057" s="4">
        <v>424.0</v>
      </c>
      <c r="C1057" s="4" t="s">
        <v>21</v>
      </c>
      <c r="D1057" s="5">
        <v>12010.147676927456</v>
      </c>
      <c r="E1057" s="5">
        <f t="shared" si="1"/>
        <v>0</v>
      </c>
      <c r="F1057" s="5">
        <f t="shared" si="2"/>
        <v>12010.14768</v>
      </c>
      <c r="G1057" s="5">
        <v>4222.770224882428</v>
      </c>
      <c r="H1057" s="5">
        <v>2705.0967570329194</v>
      </c>
      <c r="I1057" s="5">
        <v>1517.6734678495086</v>
      </c>
      <c r="J1057" s="5">
        <v>7442.878970054866</v>
      </c>
      <c r="K1057" s="5">
        <f t="shared" si="3"/>
        <v>7442.87897</v>
      </c>
      <c r="L1057" s="5">
        <f t="shared" si="4"/>
        <v>0</v>
      </c>
      <c r="M1057" s="5">
        <v>39892.23421386012</v>
      </c>
      <c r="N1057" s="5">
        <f t="shared" si="5"/>
        <v>0</v>
      </c>
      <c r="O1057" s="5">
        <f t="shared" si="6"/>
        <v>39892.23421</v>
      </c>
      <c r="P1057" s="5">
        <f t="shared" si="9"/>
        <v>63568.03109</v>
      </c>
      <c r="Q1057" s="5">
        <f t="shared" si="7"/>
        <v>53420.05536</v>
      </c>
      <c r="R1057" s="5">
        <f t="shared" si="8"/>
        <v>10147.97573</v>
      </c>
    </row>
    <row r="1058" ht="15.75" customHeight="1">
      <c r="A1058" s="4">
        <v>2009.0</v>
      </c>
      <c r="B1058" s="4">
        <v>425.0</v>
      </c>
      <c r="C1058" s="4" t="s">
        <v>21</v>
      </c>
      <c r="D1058" s="5">
        <v>2447.836375298382</v>
      </c>
      <c r="E1058" s="5">
        <f t="shared" si="1"/>
        <v>0</v>
      </c>
      <c r="F1058" s="5">
        <f t="shared" si="2"/>
        <v>2447.836375</v>
      </c>
      <c r="G1058" s="5" t="s">
        <v>19</v>
      </c>
      <c r="H1058" s="5" t="s">
        <v>19</v>
      </c>
      <c r="I1058" s="5" t="s">
        <v>19</v>
      </c>
      <c r="J1058" s="5">
        <v>0.0</v>
      </c>
      <c r="K1058" s="5">
        <f t="shared" si="3"/>
        <v>0</v>
      </c>
      <c r="L1058" s="5">
        <f t="shared" si="4"/>
        <v>0</v>
      </c>
      <c r="M1058" s="5">
        <v>160215.27923680004</v>
      </c>
      <c r="N1058" s="5">
        <f t="shared" si="5"/>
        <v>0</v>
      </c>
      <c r="O1058" s="5">
        <f t="shared" si="6"/>
        <v>160215.2792</v>
      </c>
      <c r="P1058" s="5">
        <f t="shared" si="9"/>
        <v>162663.1156</v>
      </c>
      <c r="Q1058" s="5">
        <f t="shared" si="7"/>
        <v>162663.1156</v>
      </c>
      <c r="R1058" s="5">
        <f t="shared" si="8"/>
        <v>0</v>
      </c>
    </row>
    <row r="1059" ht="15.75" customHeight="1">
      <c r="A1059" s="4">
        <v>2009.0</v>
      </c>
      <c r="B1059" s="4">
        <v>426.0</v>
      </c>
      <c r="C1059" s="4" t="s">
        <v>21</v>
      </c>
      <c r="D1059" s="5" t="s">
        <v>19</v>
      </c>
      <c r="E1059" s="5" t="str">
        <f t="shared" si="1"/>
        <v/>
      </c>
      <c r="F1059" s="5" t="str">
        <f t="shared" si="2"/>
        <v/>
      </c>
      <c r="G1059" s="5" t="s">
        <v>19</v>
      </c>
      <c r="H1059" s="5" t="s">
        <v>19</v>
      </c>
      <c r="I1059" s="5" t="s">
        <v>19</v>
      </c>
      <c r="J1059" s="5">
        <v>0.0</v>
      </c>
      <c r="K1059" s="5">
        <f t="shared" si="3"/>
        <v>0</v>
      </c>
      <c r="L1059" s="5">
        <f t="shared" si="4"/>
        <v>0</v>
      </c>
      <c r="M1059" s="5">
        <v>91109.95011413802</v>
      </c>
      <c r="N1059" s="5">
        <f t="shared" si="5"/>
        <v>0</v>
      </c>
      <c r="O1059" s="5">
        <f t="shared" si="6"/>
        <v>91109.95011</v>
      </c>
      <c r="P1059" s="5">
        <f t="shared" si="9"/>
        <v>91109.95011</v>
      </c>
      <c r="Q1059" s="5">
        <f t="shared" si="7"/>
        <v>91109.95011</v>
      </c>
      <c r="R1059" s="5">
        <f t="shared" si="8"/>
        <v>0</v>
      </c>
    </row>
    <row r="1060" ht="15.75" customHeight="1">
      <c r="A1060" s="4">
        <v>2009.0</v>
      </c>
      <c r="B1060" s="4">
        <v>427.0</v>
      </c>
      <c r="C1060" s="4" t="s">
        <v>21</v>
      </c>
      <c r="D1060" s="5">
        <v>2244.9622591340667</v>
      </c>
      <c r="E1060" s="5">
        <f t="shared" si="1"/>
        <v>0</v>
      </c>
      <c r="F1060" s="5">
        <f t="shared" si="2"/>
        <v>2244.962259</v>
      </c>
      <c r="G1060" s="5">
        <v>1331.1575235143223</v>
      </c>
      <c r="H1060" s="5">
        <v>681.73732129115</v>
      </c>
      <c r="I1060" s="5">
        <v>649.4202022231723</v>
      </c>
      <c r="J1060" s="5">
        <v>230.51456449070113</v>
      </c>
      <c r="K1060" s="5">
        <f t="shared" si="3"/>
        <v>230.5145645</v>
      </c>
      <c r="L1060" s="5">
        <f t="shared" si="4"/>
        <v>0</v>
      </c>
      <c r="M1060" s="5">
        <v>149101.4395529742</v>
      </c>
      <c r="N1060" s="5">
        <f t="shared" si="5"/>
        <v>0</v>
      </c>
      <c r="O1060" s="5">
        <f t="shared" si="6"/>
        <v>149101.4396</v>
      </c>
      <c r="P1060" s="5">
        <f t="shared" si="9"/>
        <v>152908.0739</v>
      </c>
      <c r="Q1060" s="5">
        <f t="shared" si="7"/>
        <v>151995.822</v>
      </c>
      <c r="R1060" s="5">
        <f t="shared" si="8"/>
        <v>912.2518858</v>
      </c>
    </row>
    <row r="1061" ht="15.75" customHeight="1">
      <c r="A1061" s="4">
        <v>2009.0</v>
      </c>
      <c r="B1061" s="4">
        <v>428.0</v>
      </c>
      <c r="C1061" s="4" t="s">
        <v>21</v>
      </c>
      <c r="D1061" s="5" t="s">
        <v>19</v>
      </c>
      <c r="E1061" s="5" t="str">
        <f t="shared" si="1"/>
        <v/>
      </c>
      <c r="F1061" s="5" t="str">
        <f t="shared" si="2"/>
        <v/>
      </c>
      <c r="G1061" s="5" t="s">
        <v>19</v>
      </c>
      <c r="H1061" s="5" t="s">
        <v>19</v>
      </c>
      <c r="I1061" s="5" t="s">
        <v>19</v>
      </c>
      <c r="J1061" s="5">
        <v>0.0</v>
      </c>
      <c r="K1061" s="5">
        <f t="shared" si="3"/>
        <v>0</v>
      </c>
      <c r="L1061" s="5">
        <f t="shared" si="4"/>
        <v>0</v>
      </c>
      <c r="M1061" s="5">
        <v>17658.49538638309</v>
      </c>
      <c r="N1061" s="5">
        <f t="shared" si="5"/>
        <v>0</v>
      </c>
      <c r="O1061" s="5">
        <f t="shared" si="6"/>
        <v>17658.49539</v>
      </c>
      <c r="P1061" s="5">
        <f t="shared" si="9"/>
        <v>17658.49539</v>
      </c>
      <c r="Q1061" s="5">
        <f t="shared" si="7"/>
        <v>17658.49539</v>
      </c>
      <c r="R1061" s="5">
        <f t="shared" si="8"/>
        <v>0</v>
      </c>
    </row>
    <row r="1062" ht="15.75" customHeight="1">
      <c r="A1062" s="4">
        <v>2009.0</v>
      </c>
      <c r="B1062" s="4">
        <v>429.0</v>
      </c>
      <c r="C1062" s="4" t="s">
        <v>21</v>
      </c>
      <c r="D1062" s="5">
        <v>11554.748674063878</v>
      </c>
      <c r="E1062" s="5">
        <f t="shared" si="1"/>
        <v>0</v>
      </c>
      <c r="F1062" s="5">
        <f t="shared" si="2"/>
        <v>11554.74867</v>
      </c>
      <c r="G1062" s="5">
        <v>5431.3278839960085</v>
      </c>
      <c r="H1062" s="5">
        <v>2559.0028600399028</v>
      </c>
      <c r="I1062" s="5">
        <v>2872.3250239561057</v>
      </c>
      <c r="J1062" s="5">
        <v>509.29432255148214</v>
      </c>
      <c r="K1062" s="5">
        <f t="shared" si="3"/>
        <v>509.2943226</v>
      </c>
      <c r="L1062" s="5">
        <f t="shared" si="4"/>
        <v>0</v>
      </c>
      <c r="M1062" s="5">
        <v>11311.430765083911</v>
      </c>
      <c r="N1062" s="5">
        <f t="shared" si="5"/>
        <v>0</v>
      </c>
      <c r="O1062" s="5">
        <f t="shared" si="6"/>
        <v>11311.43077</v>
      </c>
      <c r="P1062" s="5">
        <f t="shared" si="9"/>
        <v>28806.80165</v>
      </c>
      <c r="Q1062" s="5">
        <f t="shared" si="7"/>
        <v>25738.50446</v>
      </c>
      <c r="R1062" s="5">
        <f t="shared" si="8"/>
        <v>3068.297183</v>
      </c>
    </row>
    <row r="1063" ht="15.75" customHeight="1">
      <c r="A1063" s="4">
        <v>2009.0</v>
      </c>
      <c r="B1063" s="4">
        <v>500.0</v>
      </c>
      <c r="C1063" s="4" t="s">
        <v>22</v>
      </c>
      <c r="D1063" s="5">
        <v>4485.028998851003</v>
      </c>
      <c r="E1063" s="5">
        <f t="shared" si="1"/>
        <v>0</v>
      </c>
      <c r="F1063" s="5">
        <f t="shared" si="2"/>
        <v>4485.028999</v>
      </c>
      <c r="G1063" s="5">
        <v>20494.676645512678</v>
      </c>
      <c r="H1063" s="5">
        <v>11340.178002253455</v>
      </c>
      <c r="I1063" s="5">
        <v>9154.498643259223</v>
      </c>
      <c r="J1063" s="5">
        <v>128716.41166966829</v>
      </c>
      <c r="K1063" s="5">
        <f t="shared" si="3"/>
        <v>128716.4117</v>
      </c>
      <c r="L1063" s="5">
        <f t="shared" si="4"/>
        <v>0</v>
      </c>
      <c r="M1063" s="5">
        <v>39030.790069318246</v>
      </c>
      <c r="N1063" s="5">
        <f t="shared" si="5"/>
        <v>0</v>
      </c>
      <c r="O1063" s="5">
        <f t="shared" si="6"/>
        <v>39030.79007</v>
      </c>
      <c r="P1063" s="5">
        <f t="shared" si="9"/>
        <v>192726.9074</v>
      </c>
      <c r="Q1063" s="5">
        <f t="shared" si="7"/>
        <v>52670.31771</v>
      </c>
      <c r="R1063" s="5">
        <f t="shared" si="8"/>
        <v>140056.5897</v>
      </c>
    </row>
    <row r="1064" ht="15.75" customHeight="1">
      <c r="A1064" s="4">
        <v>2009.0</v>
      </c>
      <c r="B1064" s="4">
        <v>501.0</v>
      </c>
      <c r="C1064" s="4" t="s">
        <v>22</v>
      </c>
      <c r="D1064" s="5">
        <v>2464.2305107952106</v>
      </c>
      <c r="E1064" s="5">
        <f t="shared" si="1"/>
        <v>0</v>
      </c>
      <c r="F1064" s="5">
        <f t="shared" si="2"/>
        <v>2464.230511</v>
      </c>
      <c r="G1064" s="5">
        <v>14563.975114276041</v>
      </c>
      <c r="H1064" s="5">
        <v>6325.462723688897</v>
      </c>
      <c r="I1064" s="5">
        <v>8238.512390587144</v>
      </c>
      <c r="J1064" s="5">
        <v>36535.96674398781</v>
      </c>
      <c r="K1064" s="5">
        <f t="shared" si="3"/>
        <v>36535.96674</v>
      </c>
      <c r="L1064" s="5">
        <f t="shared" si="4"/>
        <v>0</v>
      </c>
      <c r="M1064" s="5">
        <v>4952.427042472742</v>
      </c>
      <c r="N1064" s="5">
        <f t="shared" si="5"/>
        <v>0</v>
      </c>
      <c r="O1064" s="5">
        <f t="shared" si="6"/>
        <v>4952.427042</v>
      </c>
      <c r="P1064" s="5">
        <f t="shared" si="9"/>
        <v>58516.59941</v>
      </c>
      <c r="Q1064" s="5">
        <f t="shared" si="7"/>
        <v>15655.16994</v>
      </c>
      <c r="R1064" s="5">
        <f t="shared" si="8"/>
        <v>42861.42947</v>
      </c>
    </row>
    <row r="1065" ht="15.75" customHeight="1">
      <c r="A1065" s="4">
        <v>2009.0</v>
      </c>
      <c r="B1065" s="4">
        <v>502.0</v>
      </c>
      <c r="C1065" s="4" t="s">
        <v>22</v>
      </c>
      <c r="D1065" s="5">
        <v>4822.727838552799</v>
      </c>
      <c r="E1065" s="5">
        <f t="shared" si="1"/>
        <v>0</v>
      </c>
      <c r="F1065" s="5">
        <f t="shared" si="2"/>
        <v>4822.727839</v>
      </c>
      <c r="G1065" s="5" t="s">
        <v>19</v>
      </c>
      <c r="H1065" s="5" t="s">
        <v>19</v>
      </c>
      <c r="I1065" s="5" t="s">
        <v>19</v>
      </c>
      <c r="J1065" s="5">
        <v>0.0</v>
      </c>
      <c r="K1065" s="5">
        <f t="shared" si="3"/>
        <v>0</v>
      </c>
      <c r="L1065" s="5">
        <f t="shared" si="4"/>
        <v>0</v>
      </c>
      <c r="M1065" s="5">
        <v>3290.996200878222</v>
      </c>
      <c r="N1065" s="5">
        <f t="shared" si="5"/>
        <v>0</v>
      </c>
      <c r="O1065" s="5">
        <f t="shared" si="6"/>
        <v>3290.996201</v>
      </c>
      <c r="P1065" s="5">
        <f t="shared" si="9"/>
        <v>8113.724039</v>
      </c>
      <c r="Q1065" s="5">
        <f t="shared" si="7"/>
        <v>8113.724039</v>
      </c>
      <c r="R1065" s="5">
        <f t="shared" si="8"/>
        <v>0</v>
      </c>
    </row>
    <row r="1066" ht="15.75" customHeight="1">
      <c r="A1066" s="4">
        <v>2009.0</v>
      </c>
      <c r="B1066" s="4">
        <v>503.0</v>
      </c>
      <c r="C1066" s="4" t="s">
        <v>22</v>
      </c>
      <c r="D1066" s="5">
        <v>4635.536948174966</v>
      </c>
      <c r="E1066" s="5">
        <f t="shared" si="1"/>
        <v>0</v>
      </c>
      <c r="F1066" s="5">
        <f t="shared" si="2"/>
        <v>4635.536948</v>
      </c>
      <c r="G1066" s="5">
        <v>1415.2400210203787</v>
      </c>
      <c r="H1066" s="5">
        <v>971.2755129685047</v>
      </c>
      <c r="I1066" s="5">
        <v>443.96450805187396</v>
      </c>
      <c r="J1066" s="5">
        <v>70615.55922645004</v>
      </c>
      <c r="K1066" s="5">
        <f t="shared" si="3"/>
        <v>70615.55923</v>
      </c>
      <c r="L1066" s="5">
        <f t="shared" si="4"/>
        <v>0</v>
      </c>
      <c r="M1066" s="5">
        <v>17217.097122991476</v>
      </c>
      <c r="N1066" s="5">
        <f t="shared" si="5"/>
        <v>0</v>
      </c>
      <c r="O1066" s="5">
        <f t="shared" si="6"/>
        <v>17217.09712</v>
      </c>
      <c r="P1066" s="5">
        <f t="shared" si="9"/>
        <v>93883.43332</v>
      </c>
      <c r="Q1066" s="5">
        <f t="shared" si="7"/>
        <v>22296.59858</v>
      </c>
      <c r="R1066" s="5">
        <f t="shared" si="8"/>
        <v>71586.83474</v>
      </c>
    </row>
    <row r="1067" ht="15.75" customHeight="1">
      <c r="A1067" s="4">
        <v>2009.0</v>
      </c>
      <c r="B1067" s="4">
        <v>504.0</v>
      </c>
      <c r="C1067" s="4" t="s">
        <v>22</v>
      </c>
      <c r="D1067" s="5">
        <v>10041.415658481186</v>
      </c>
      <c r="E1067" s="5">
        <f t="shared" si="1"/>
        <v>0</v>
      </c>
      <c r="F1067" s="5">
        <f t="shared" si="2"/>
        <v>10041.41566</v>
      </c>
      <c r="G1067" s="5">
        <v>9462.612487485749</v>
      </c>
      <c r="H1067" s="5">
        <v>5985.68133671797</v>
      </c>
      <c r="I1067" s="5">
        <v>3476.9311507677785</v>
      </c>
      <c r="J1067" s="5">
        <v>142379.2933927337</v>
      </c>
      <c r="K1067" s="5">
        <f t="shared" si="3"/>
        <v>142379.2934</v>
      </c>
      <c r="L1067" s="5">
        <f t="shared" si="4"/>
        <v>0</v>
      </c>
      <c r="M1067" s="5">
        <v>43109.92586601734</v>
      </c>
      <c r="N1067" s="5">
        <f t="shared" si="5"/>
        <v>0</v>
      </c>
      <c r="O1067" s="5">
        <f t="shared" si="6"/>
        <v>43109.92587</v>
      </c>
      <c r="P1067" s="5">
        <f t="shared" si="9"/>
        <v>204993.2474</v>
      </c>
      <c r="Q1067" s="5">
        <f t="shared" si="7"/>
        <v>56628.27268</v>
      </c>
      <c r="R1067" s="5">
        <f t="shared" si="8"/>
        <v>148364.9747</v>
      </c>
    </row>
    <row r="1068" ht="15.75" customHeight="1">
      <c r="A1068" s="4">
        <v>2009.0</v>
      </c>
      <c r="B1068" s="4">
        <v>505.0</v>
      </c>
      <c r="C1068" s="4" t="s">
        <v>22</v>
      </c>
      <c r="D1068" s="5">
        <v>1764.0179006787082</v>
      </c>
      <c r="E1068" s="5">
        <f t="shared" si="1"/>
        <v>0</v>
      </c>
      <c r="F1068" s="5">
        <f t="shared" si="2"/>
        <v>1764.017901</v>
      </c>
      <c r="G1068" s="5">
        <v>13197.216347620066</v>
      </c>
      <c r="H1068" s="5">
        <v>4584.67623719182</v>
      </c>
      <c r="I1068" s="5">
        <v>8612.540110428246</v>
      </c>
      <c r="J1068" s="5">
        <v>4048.2168000614574</v>
      </c>
      <c r="K1068" s="5">
        <f t="shared" si="3"/>
        <v>4048.2168</v>
      </c>
      <c r="L1068" s="5">
        <f t="shared" si="4"/>
        <v>0</v>
      </c>
      <c r="M1068" s="5">
        <v>11564.51462196718</v>
      </c>
      <c r="N1068" s="5">
        <f t="shared" si="5"/>
        <v>0</v>
      </c>
      <c r="O1068" s="5">
        <f t="shared" si="6"/>
        <v>11564.51462</v>
      </c>
      <c r="P1068" s="5">
        <f t="shared" si="9"/>
        <v>30573.96567</v>
      </c>
      <c r="Q1068" s="5">
        <f t="shared" si="7"/>
        <v>21941.07263</v>
      </c>
      <c r="R1068" s="5">
        <f t="shared" si="8"/>
        <v>8632.893037</v>
      </c>
    </row>
    <row r="1069" ht="15.75" customHeight="1">
      <c r="A1069" s="4">
        <v>2009.0</v>
      </c>
      <c r="B1069" s="4">
        <v>506.0</v>
      </c>
      <c r="C1069" s="4" t="s">
        <v>22</v>
      </c>
      <c r="D1069" s="5">
        <v>9857.461498196339</v>
      </c>
      <c r="E1069" s="5">
        <f t="shared" si="1"/>
        <v>0</v>
      </c>
      <c r="F1069" s="5">
        <f t="shared" si="2"/>
        <v>9857.461498</v>
      </c>
      <c r="G1069" s="5">
        <v>4855.861806817372</v>
      </c>
      <c r="H1069" s="5">
        <v>2269.3353106740774</v>
      </c>
      <c r="I1069" s="5">
        <v>2586.5264961432945</v>
      </c>
      <c r="J1069" s="5">
        <v>21966.54689769488</v>
      </c>
      <c r="K1069" s="5">
        <f t="shared" si="3"/>
        <v>21966.5469</v>
      </c>
      <c r="L1069" s="5">
        <f t="shared" si="4"/>
        <v>0</v>
      </c>
      <c r="M1069" s="5">
        <v>5521.579962635382</v>
      </c>
      <c r="N1069" s="5">
        <f t="shared" si="5"/>
        <v>0</v>
      </c>
      <c r="O1069" s="5">
        <f t="shared" si="6"/>
        <v>5521.579963</v>
      </c>
      <c r="P1069" s="5">
        <f t="shared" si="9"/>
        <v>42201.45017</v>
      </c>
      <c r="Q1069" s="5">
        <f t="shared" si="7"/>
        <v>17965.56796</v>
      </c>
      <c r="R1069" s="5">
        <f t="shared" si="8"/>
        <v>24235.88221</v>
      </c>
    </row>
    <row r="1070" ht="15.75" customHeight="1">
      <c r="A1070" s="4">
        <v>2009.0</v>
      </c>
      <c r="B1070" s="4">
        <v>507.0</v>
      </c>
      <c r="C1070" s="4" t="s">
        <v>22</v>
      </c>
      <c r="D1070" s="5" t="s">
        <v>19</v>
      </c>
      <c r="E1070" s="5" t="str">
        <f t="shared" si="1"/>
        <v/>
      </c>
      <c r="F1070" s="5" t="str">
        <f t="shared" si="2"/>
        <v/>
      </c>
      <c r="G1070" s="5" t="s">
        <v>19</v>
      </c>
      <c r="H1070" s="5" t="s">
        <v>19</v>
      </c>
      <c r="I1070" s="5" t="s">
        <v>19</v>
      </c>
      <c r="J1070" s="5">
        <v>0.0</v>
      </c>
      <c r="K1070" s="5">
        <f t="shared" si="3"/>
        <v>0</v>
      </c>
      <c r="L1070" s="5">
        <f t="shared" si="4"/>
        <v>0</v>
      </c>
      <c r="M1070" s="5">
        <v>0.0</v>
      </c>
      <c r="N1070" s="5">
        <f t="shared" si="5"/>
        <v>0</v>
      </c>
      <c r="O1070" s="5">
        <f t="shared" si="6"/>
        <v>0</v>
      </c>
      <c r="P1070" s="5">
        <f t="shared" si="9"/>
        <v>0</v>
      </c>
      <c r="Q1070" s="5">
        <f t="shared" si="7"/>
        <v>0</v>
      </c>
      <c r="R1070" s="5">
        <f t="shared" si="8"/>
        <v>0</v>
      </c>
    </row>
    <row r="1071" ht="15.75" customHeight="1">
      <c r="A1071" s="4">
        <v>2009.0</v>
      </c>
      <c r="B1071" s="4">
        <v>508.0</v>
      </c>
      <c r="C1071" s="4" t="s">
        <v>22</v>
      </c>
      <c r="D1071" s="5">
        <v>5540.20300916524</v>
      </c>
      <c r="E1071" s="5">
        <f t="shared" si="1"/>
        <v>0</v>
      </c>
      <c r="F1071" s="5">
        <f t="shared" si="2"/>
        <v>5540.203009</v>
      </c>
      <c r="G1071" s="5">
        <v>28046.92140783098</v>
      </c>
      <c r="H1071" s="5">
        <v>7642.50241672011</v>
      </c>
      <c r="I1071" s="5">
        <v>20404.41899111087</v>
      </c>
      <c r="J1071" s="5">
        <v>0.0</v>
      </c>
      <c r="K1071" s="5">
        <f t="shared" si="3"/>
        <v>0</v>
      </c>
      <c r="L1071" s="5">
        <f t="shared" si="4"/>
        <v>0</v>
      </c>
      <c r="M1071" s="5">
        <v>52050.495050146055</v>
      </c>
      <c r="N1071" s="5">
        <f t="shared" si="5"/>
        <v>0</v>
      </c>
      <c r="O1071" s="5">
        <f t="shared" si="6"/>
        <v>52050.49505</v>
      </c>
      <c r="P1071" s="5">
        <f t="shared" si="9"/>
        <v>85637.61947</v>
      </c>
      <c r="Q1071" s="5">
        <f t="shared" si="7"/>
        <v>77995.11705</v>
      </c>
      <c r="R1071" s="5">
        <f t="shared" si="8"/>
        <v>7642.502417</v>
      </c>
    </row>
    <row r="1072" ht="15.75" customHeight="1">
      <c r="A1072" s="4">
        <v>2009.0</v>
      </c>
      <c r="B1072" s="4">
        <v>520.0</v>
      </c>
      <c r="C1072" s="4" t="s">
        <v>22</v>
      </c>
      <c r="D1072" s="5">
        <v>2760.930769319152</v>
      </c>
      <c r="E1072" s="5">
        <f t="shared" si="1"/>
        <v>0</v>
      </c>
      <c r="F1072" s="5">
        <f t="shared" si="2"/>
        <v>2760.930769</v>
      </c>
      <c r="G1072" s="5">
        <v>3120.3360521768554</v>
      </c>
      <c r="H1072" s="5">
        <v>1984.1211227643576</v>
      </c>
      <c r="I1072" s="5">
        <v>1136.214929412498</v>
      </c>
      <c r="J1072" s="5">
        <v>28068.27657795354</v>
      </c>
      <c r="K1072" s="5">
        <f t="shared" si="3"/>
        <v>28068.27658</v>
      </c>
      <c r="L1072" s="5">
        <f t="shared" si="4"/>
        <v>0</v>
      </c>
      <c r="M1072" s="5">
        <v>379572.4197026683</v>
      </c>
      <c r="N1072" s="5">
        <f t="shared" si="5"/>
        <v>0</v>
      </c>
      <c r="O1072" s="5">
        <f t="shared" si="6"/>
        <v>379572.4197</v>
      </c>
      <c r="P1072" s="5">
        <f t="shared" si="9"/>
        <v>413521.9631</v>
      </c>
      <c r="Q1072" s="5">
        <f t="shared" si="7"/>
        <v>383469.5654</v>
      </c>
      <c r="R1072" s="5">
        <f t="shared" si="8"/>
        <v>30052.3977</v>
      </c>
    </row>
    <row r="1073" ht="15.75" customHeight="1">
      <c r="A1073" s="4">
        <v>2009.0</v>
      </c>
      <c r="B1073" s="4">
        <v>521.0</v>
      </c>
      <c r="C1073" s="4" t="s">
        <v>22</v>
      </c>
      <c r="D1073" s="5">
        <v>1745.6764301517737</v>
      </c>
      <c r="E1073" s="5">
        <f t="shared" si="1"/>
        <v>0</v>
      </c>
      <c r="F1073" s="5">
        <f t="shared" si="2"/>
        <v>1745.67643</v>
      </c>
      <c r="G1073" s="5">
        <v>8097.40099490523</v>
      </c>
      <c r="H1073" s="5">
        <v>3689.7329119459882</v>
      </c>
      <c r="I1073" s="5">
        <v>4407.6680829592415</v>
      </c>
      <c r="J1073" s="5">
        <v>25471.880982301904</v>
      </c>
      <c r="K1073" s="5">
        <f t="shared" si="3"/>
        <v>25471.88098</v>
      </c>
      <c r="L1073" s="5">
        <f t="shared" si="4"/>
        <v>0</v>
      </c>
      <c r="M1073" s="5">
        <v>20441.706902388833</v>
      </c>
      <c r="N1073" s="5">
        <f t="shared" si="5"/>
        <v>0</v>
      </c>
      <c r="O1073" s="5">
        <f t="shared" si="6"/>
        <v>20441.7069</v>
      </c>
      <c r="P1073" s="5">
        <f t="shared" si="9"/>
        <v>55756.66531</v>
      </c>
      <c r="Q1073" s="5">
        <f t="shared" si="7"/>
        <v>26595.05142</v>
      </c>
      <c r="R1073" s="5">
        <f t="shared" si="8"/>
        <v>29161.61389</v>
      </c>
    </row>
    <row r="1074" ht="15.75" customHeight="1">
      <c r="A1074" s="4">
        <v>2009.0</v>
      </c>
      <c r="B1074" s="4">
        <v>522.0</v>
      </c>
      <c r="C1074" s="4" t="s">
        <v>22</v>
      </c>
      <c r="D1074" s="5" t="s">
        <v>19</v>
      </c>
      <c r="E1074" s="5" t="str">
        <f t="shared" si="1"/>
        <v/>
      </c>
      <c r="F1074" s="5" t="str">
        <f t="shared" si="2"/>
        <v/>
      </c>
      <c r="G1074" s="5" t="s">
        <v>19</v>
      </c>
      <c r="H1074" s="5" t="s">
        <v>19</v>
      </c>
      <c r="I1074" s="5" t="s">
        <v>19</v>
      </c>
      <c r="J1074" s="5">
        <v>0.0</v>
      </c>
      <c r="K1074" s="5">
        <f t="shared" si="3"/>
        <v>0</v>
      </c>
      <c r="L1074" s="5">
        <f t="shared" si="4"/>
        <v>0</v>
      </c>
      <c r="M1074" s="5">
        <v>32825.164419744004</v>
      </c>
      <c r="N1074" s="5">
        <f t="shared" si="5"/>
        <v>0</v>
      </c>
      <c r="O1074" s="5">
        <f t="shared" si="6"/>
        <v>32825.16442</v>
      </c>
      <c r="P1074" s="5">
        <f t="shared" si="9"/>
        <v>32825.16442</v>
      </c>
      <c r="Q1074" s="5">
        <f t="shared" si="7"/>
        <v>32825.16442</v>
      </c>
      <c r="R1074" s="5">
        <f t="shared" si="8"/>
        <v>0</v>
      </c>
    </row>
    <row r="1075" ht="15.75" customHeight="1">
      <c r="A1075" s="4">
        <v>2009.0</v>
      </c>
      <c r="B1075" s="4">
        <v>523.0</v>
      </c>
      <c r="C1075" s="4" t="s">
        <v>22</v>
      </c>
      <c r="D1075" s="5">
        <v>5886.533129115003</v>
      </c>
      <c r="E1075" s="5">
        <f t="shared" si="1"/>
        <v>0</v>
      </c>
      <c r="F1075" s="5">
        <f t="shared" si="2"/>
        <v>5886.533129</v>
      </c>
      <c r="G1075" s="5" t="s">
        <v>19</v>
      </c>
      <c r="H1075" s="5" t="s">
        <v>19</v>
      </c>
      <c r="I1075" s="5" t="s">
        <v>19</v>
      </c>
      <c r="J1075" s="5">
        <v>120.018286393758</v>
      </c>
      <c r="K1075" s="5">
        <f t="shared" si="3"/>
        <v>120.0182864</v>
      </c>
      <c r="L1075" s="5">
        <f t="shared" si="4"/>
        <v>0</v>
      </c>
      <c r="M1075" s="5">
        <v>97522.18424676676</v>
      </c>
      <c r="N1075" s="5">
        <f t="shared" si="5"/>
        <v>0</v>
      </c>
      <c r="O1075" s="5">
        <f t="shared" si="6"/>
        <v>97522.18425</v>
      </c>
      <c r="P1075" s="5">
        <f t="shared" si="9"/>
        <v>103528.7357</v>
      </c>
      <c r="Q1075" s="5">
        <f t="shared" si="7"/>
        <v>103408.7174</v>
      </c>
      <c r="R1075" s="5">
        <f t="shared" si="8"/>
        <v>120.0182864</v>
      </c>
    </row>
    <row r="1076" ht="15.75" customHeight="1">
      <c r="A1076" s="4">
        <v>2009.0</v>
      </c>
      <c r="B1076" s="4">
        <v>524.0</v>
      </c>
      <c r="C1076" s="4" t="s">
        <v>22</v>
      </c>
      <c r="D1076" s="5">
        <v>6709.741482765066</v>
      </c>
      <c r="E1076" s="5">
        <f t="shared" si="1"/>
        <v>0</v>
      </c>
      <c r="F1076" s="5">
        <f t="shared" si="2"/>
        <v>6709.741483</v>
      </c>
      <c r="G1076" s="5">
        <v>11485.415462136598</v>
      </c>
      <c r="H1076" s="5">
        <v>6807.077567576957</v>
      </c>
      <c r="I1076" s="5">
        <v>4678.3378945596405</v>
      </c>
      <c r="J1076" s="5">
        <v>8124.437866948125</v>
      </c>
      <c r="K1076" s="5">
        <f t="shared" si="3"/>
        <v>8124.437867</v>
      </c>
      <c r="L1076" s="5">
        <f t="shared" si="4"/>
        <v>0</v>
      </c>
      <c r="M1076" s="5">
        <v>270659.21068207116</v>
      </c>
      <c r="N1076" s="5">
        <f t="shared" si="5"/>
        <v>0</v>
      </c>
      <c r="O1076" s="5">
        <f t="shared" si="6"/>
        <v>270659.2107</v>
      </c>
      <c r="P1076" s="5">
        <f t="shared" si="9"/>
        <v>296978.8055</v>
      </c>
      <c r="Q1076" s="5">
        <f t="shared" si="7"/>
        <v>282047.2901</v>
      </c>
      <c r="R1076" s="5">
        <f t="shared" si="8"/>
        <v>14931.51543</v>
      </c>
    </row>
    <row r="1077" ht="15.75" customHeight="1">
      <c r="A1077" s="4">
        <v>2009.0</v>
      </c>
      <c r="B1077" s="4">
        <v>525.0</v>
      </c>
      <c r="C1077" s="4" t="s">
        <v>22</v>
      </c>
      <c r="D1077" s="5" t="s">
        <v>19</v>
      </c>
      <c r="E1077" s="5" t="str">
        <f t="shared" si="1"/>
        <v/>
      </c>
      <c r="F1077" s="5" t="str">
        <f t="shared" si="2"/>
        <v/>
      </c>
      <c r="G1077" s="5">
        <v>8608.001439806898</v>
      </c>
      <c r="H1077" s="5">
        <v>3172.9433707424823</v>
      </c>
      <c r="I1077" s="5">
        <v>5435.058069064416</v>
      </c>
      <c r="J1077" s="5">
        <v>0.0</v>
      </c>
      <c r="K1077" s="5">
        <f t="shared" si="3"/>
        <v>0</v>
      </c>
      <c r="L1077" s="5">
        <f t="shared" si="4"/>
        <v>0</v>
      </c>
      <c r="M1077" s="5">
        <v>6670.507630397604</v>
      </c>
      <c r="N1077" s="5">
        <f t="shared" si="5"/>
        <v>0</v>
      </c>
      <c r="O1077" s="5">
        <f t="shared" si="6"/>
        <v>6670.50763</v>
      </c>
      <c r="P1077" s="5">
        <f t="shared" si="9"/>
        <v>15278.50907</v>
      </c>
      <c r="Q1077" s="5">
        <f t="shared" si="7"/>
        <v>12105.5657</v>
      </c>
      <c r="R1077" s="5">
        <f t="shared" si="8"/>
        <v>3172.943371</v>
      </c>
    </row>
    <row r="1078" ht="15.75" customHeight="1">
      <c r="A1078" s="4">
        <v>2009.0</v>
      </c>
      <c r="B1078" s="4">
        <v>526.0</v>
      </c>
      <c r="C1078" s="4" t="s">
        <v>22</v>
      </c>
      <c r="D1078" s="5" t="s">
        <v>19</v>
      </c>
      <c r="E1078" s="5" t="str">
        <f t="shared" si="1"/>
        <v/>
      </c>
      <c r="F1078" s="5" t="str">
        <f t="shared" si="2"/>
        <v/>
      </c>
      <c r="G1078" s="5">
        <v>3630.9364970785236</v>
      </c>
      <c r="H1078" s="5">
        <v>2128.0176117821006</v>
      </c>
      <c r="I1078" s="5">
        <v>1502.918885296423</v>
      </c>
      <c r="J1078" s="5">
        <v>0.0</v>
      </c>
      <c r="K1078" s="5">
        <f t="shared" si="3"/>
        <v>0</v>
      </c>
      <c r="L1078" s="5">
        <f t="shared" si="4"/>
        <v>0</v>
      </c>
      <c r="M1078" s="5">
        <v>4059.3083854834667</v>
      </c>
      <c r="N1078" s="5">
        <f t="shared" si="5"/>
        <v>0</v>
      </c>
      <c r="O1078" s="5">
        <f t="shared" si="6"/>
        <v>4059.308385</v>
      </c>
      <c r="P1078" s="5">
        <f t="shared" si="9"/>
        <v>7690.244883</v>
      </c>
      <c r="Q1078" s="5">
        <f t="shared" si="7"/>
        <v>5562.227271</v>
      </c>
      <c r="R1078" s="5">
        <f t="shared" si="8"/>
        <v>2128.017612</v>
      </c>
    </row>
    <row r="1079" ht="15.75" customHeight="1">
      <c r="A1079" s="4">
        <v>2009.0</v>
      </c>
      <c r="B1079" s="4">
        <v>527.0</v>
      </c>
      <c r="C1079" s="4" t="s">
        <v>22</v>
      </c>
      <c r="D1079" s="5" t="s">
        <v>19</v>
      </c>
      <c r="E1079" s="5" t="str">
        <f t="shared" si="1"/>
        <v/>
      </c>
      <c r="F1079" s="5" t="str">
        <f t="shared" si="2"/>
        <v/>
      </c>
      <c r="G1079" s="5" t="s">
        <v>19</v>
      </c>
      <c r="H1079" s="5" t="s">
        <v>19</v>
      </c>
      <c r="I1079" s="5" t="s">
        <v>19</v>
      </c>
      <c r="J1079" s="5">
        <v>0.0</v>
      </c>
      <c r="K1079" s="5">
        <f t="shared" si="3"/>
        <v>0</v>
      </c>
      <c r="L1079" s="5">
        <f t="shared" si="4"/>
        <v>0</v>
      </c>
      <c r="M1079" s="5">
        <v>19005.989893829268</v>
      </c>
      <c r="N1079" s="5">
        <f t="shared" si="5"/>
        <v>0</v>
      </c>
      <c r="O1079" s="5">
        <f t="shared" si="6"/>
        <v>19005.98989</v>
      </c>
      <c r="P1079" s="5">
        <f t="shared" si="9"/>
        <v>19005.98989</v>
      </c>
      <c r="Q1079" s="5">
        <f t="shared" si="7"/>
        <v>19005.98989</v>
      </c>
      <c r="R1079" s="5">
        <f t="shared" si="8"/>
        <v>0</v>
      </c>
    </row>
    <row r="1080" ht="15.75" customHeight="1">
      <c r="A1080" s="4">
        <v>2009.0</v>
      </c>
      <c r="B1080" s="4">
        <v>528.0</v>
      </c>
      <c r="C1080" s="4" t="s">
        <v>22</v>
      </c>
      <c r="D1080" s="5" t="s">
        <v>19</v>
      </c>
      <c r="E1080" s="5" t="str">
        <f t="shared" si="1"/>
        <v/>
      </c>
      <c r="F1080" s="5" t="str">
        <f t="shared" si="2"/>
        <v/>
      </c>
      <c r="G1080" s="5" t="s">
        <v>19</v>
      </c>
      <c r="H1080" s="5" t="s">
        <v>19</v>
      </c>
      <c r="I1080" s="5" t="s">
        <v>19</v>
      </c>
      <c r="J1080" s="5">
        <v>0.0</v>
      </c>
      <c r="K1080" s="5">
        <f t="shared" si="3"/>
        <v>0</v>
      </c>
      <c r="L1080" s="5">
        <f t="shared" si="4"/>
        <v>0</v>
      </c>
      <c r="M1080" s="5">
        <v>4512.506356126192</v>
      </c>
      <c r="N1080" s="5">
        <f t="shared" si="5"/>
        <v>0</v>
      </c>
      <c r="O1080" s="5">
        <f t="shared" si="6"/>
        <v>4512.506356</v>
      </c>
      <c r="P1080" s="5">
        <f t="shared" si="9"/>
        <v>4512.506356</v>
      </c>
      <c r="Q1080" s="5">
        <f t="shared" si="7"/>
        <v>4512.506356</v>
      </c>
      <c r="R1080" s="5">
        <f t="shared" si="8"/>
        <v>0</v>
      </c>
    </row>
    <row r="1081" ht="15.75" customHeight="1">
      <c r="A1081" s="4">
        <v>2008.0</v>
      </c>
      <c r="B1081" s="4">
        <v>100.0</v>
      </c>
      <c r="C1081" s="4" t="s">
        <v>18</v>
      </c>
      <c r="D1081" s="5">
        <v>14260.238161985211</v>
      </c>
      <c r="E1081" s="5">
        <f t="shared" si="1"/>
        <v>0</v>
      </c>
      <c r="F1081" s="5">
        <f t="shared" si="2"/>
        <v>14260.23816</v>
      </c>
      <c r="G1081" s="5">
        <v>1582.0831381827243</v>
      </c>
      <c r="H1081" s="5">
        <v>772.3881871127885</v>
      </c>
      <c r="I1081" s="5">
        <v>809.6949510699358</v>
      </c>
      <c r="J1081" s="5">
        <v>20694.252706120642</v>
      </c>
      <c r="K1081" s="5">
        <f t="shared" si="3"/>
        <v>20694.25271</v>
      </c>
      <c r="L1081" s="5">
        <f t="shared" si="4"/>
        <v>0</v>
      </c>
      <c r="M1081" s="5">
        <v>52410.14746174253</v>
      </c>
      <c r="N1081" s="5">
        <f t="shared" si="5"/>
        <v>0</v>
      </c>
      <c r="O1081" s="5">
        <f t="shared" si="6"/>
        <v>52410.14746</v>
      </c>
      <c r="P1081" s="5">
        <f t="shared" si="9"/>
        <v>88946.72147</v>
      </c>
      <c r="Q1081" s="5">
        <f t="shared" si="7"/>
        <v>67480.08057</v>
      </c>
      <c r="R1081" s="5">
        <f t="shared" si="8"/>
        <v>21466.64089</v>
      </c>
    </row>
    <row r="1082" ht="15.75" customHeight="1">
      <c r="A1082" s="4">
        <v>2008.0</v>
      </c>
      <c r="B1082" s="4">
        <v>101.0</v>
      </c>
      <c r="C1082" s="4" t="s">
        <v>18</v>
      </c>
      <c r="D1082" s="5">
        <v>40949.55422623209</v>
      </c>
      <c r="E1082" s="5">
        <f t="shared" si="1"/>
        <v>0</v>
      </c>
      <c r="F1082" s="5">
        <f t="shared" si="2"/>
        <v>40949.55423</v>
      </c>
      <c r="G1082" s="5">
        <v>9212.43238172574</v>
      </c>
      <c r="H1082" s="5">
        <v>4737.108725943287</v>
      </c>
      <c r="I1082" s="5">
        <v>4475.323655782452</v>
      </c>
      <c r="J1082" s="5">
        <v>435479.2724336954</v>
      </c>
      <c r="K1082" s="5">
        <f t="shared" si="3"/>
        <v>435479.2724</v>
      </c>
      <c r="L1082" s="5">
        <f t="shared" si="4"/>
        <v>0</v>
      </c>
      <c r="M1082" s="5">
        <v>228836.31896433549</v>
      </c>
      <c r="N1082" s="5">
        <f t="shared" si="5"/>
        <v>0</v>
      </c>
      <c r="O1082" s="5">
        <f t="shared" si="6"/>
        <v>228836.319</v>
      </c>
      <c r="P1082" s="5">
        <f t="shared" si="9"/>
        <v>714477.578</v>
      </c>
      <c r="Q1082" s="5">
        <f t="shared" si="7"/>
        <v>274261.1968</v>
      </c>
      <c r="R1082" s="5">
        <f t="shared" si="8"/>
        <v>440216.3812</v>
      </c>
    </row>
    <row r="1083" ht="15.75" customHeight="1">
      <c r="A1083" s="4">
        <v>2008.0</v>
      </c>
      <c r="B1083" s="4">
        <v>102.0</v>
      </c>
      <c r="C1083" s="4" t="s">
        <v>18</v>
      </c>
      <c r="D1083" s="5">
        <v>52448.65342119661</v>
      </c>
      <c r="E1083" s="5">
        <f t="shared" si="1"/>
        <v>0</v>
      </c>
      <c r="F1083" s="5">
        <f t="shared" si="2"/>
        <v>52448.65342</v>
      </c>
      <c r="G1083" s="5">
        <v>22956.94571824566</v>
      </c>
      <c r="H1083" s="5">
        <v>7000.704600573957</v>
      </c>
      <c r="I1083" s="5">
        <v>15956.241117671703</v>
      </c>
      <c r="J1083" s="5">
        <v>45804.49084151664</v>
      </c>
      <c r="K1083" s="5">
        <f t="shared" si="3"/>
        <v>45804.49084</v>
      </c>
      <c r="L1083" s="5">
        <f t="shared" si="4"/>
        <v>0</v>
      </c>
      <c r="M1083" s="5">
        <v>28127.814892849565</v>
      </c>
      <c r="N1083" s="5">
        <f t="shared" si="5"/>
        <v>0</v>
      </c>
      <c r="O1083" s="5">
        <f t="shared" si="6"/>
        <v>28127.81489</v>
      </c>
      <c r="P1083" s="5">
        <f t="shared" si="9"/>
        <v>149337.9049</v>
      </c>
      <c r="Q1083" s="5">
        <f t="shared" si="7"/>
        <v>96532.70943</v>
      </c>
      <c r="R1083" s="5">
        <f t="shared" si="8"/>
        <v>52805.19544</v>
      </c>
    </row>
    <row r="1084" ht="15.75" customHeight="1">
      <c r="A1084" s="4">
        <v>2008.0</v>
      </c>
      <c r="B1084" s="4">
        <v>103.0</v>
      </c>
      <c r="C1084" s="4" t="s">
        <v>18</v>
      </c>
      <c r="D1084" s="5" t="s">
        <v>19</v>
      </c>
      <c r="E1084" s="5" t="str">
        <f t="shared" si="1"/>
        <v/>
      </c>
      <c r="F1084" s="5" t="str">
        <f t="shared" si="2"/>
        <v/>
      </c>
      <c r="G1084" s="5">
        <v>1677.7415073036143</v>
      </c>
      <c r="H1084" s="5">
        <v>1137.8031571545894</v>
      </c>
      <c r="I1084" s="5">
        <v>539.9383501490249</v>
      </c>
      <c r="J1084" s="5">
        <v>6056.491800869237</v>
      </c>
      <c r="K1084" s="5">
        <f t="shared" si="3"/>
        <v>6056.491801</v>
      </c>
      <c r="L1084" s="5">
        <f t="shared" si="4"/>
        <v>0</v>
      </c>
      <c r="M1084" s="5">
        <v>2281.735150639931</v>
      </c>
      <c r="N1084" s="5">
        <f t="shared" si="5"/>
        <v>0</v>
      </c>
      <c r="O1084" s="5">
        <f t="shared" si="6"/>
        <v>2281.735151</v>
      </c>
      <c r="P1084" s="5">
        <f t="shared" si="9"/>
        <v>10015.96846</v>
      </c>
      <c r="Q1084" s="5">
        <f t="shared" si="7"/>
        <v>2821.673501</v>
      </c>
      <c r="R1084" s="5">
        <f t="shared" si="8"/>
        <v>7194.294958</v>
      </c>
    </row>
    <row r="1085" ht="15.75" customHeight="1">
      <c r="A1085" s="4">
        <v>2008.0</v>
      </c>
      <c r="B1085" s="4">
        <v>104.0</v>
      </c>
      <c r="C1085" s="4" t="s">
        <v>18</v>
      </c>
      <c r="D1085" s="5" t="s">
        <v>19</v>
      </c>
      <c r="E1085" s="5" t="str">
        <f t="shared" si="1"/>
        <v/>
      </c>
      <c r="F1085" s="5" t="str">
        <f t="shared" si="2"/>
        <v/>
      </c>
      <c r="G1085" s="5" t="s">
        <v>19</v>
      </c>
      <c r="H1085" s="5" t="s">
        <v>19</v>
      </c>
      <c r="I1085" s="5" t="s">
        <v>19</v>
      </c>
      <c r="J1085" s="5">
        <v>39918.45145241901</v>
      </c>
      <c r="K1085" s="5">
        <f t="shared" si="3"/>
        <v>39918.45145</v>
      </c>
      <c r="L1085" s="5">
        <f t="shared" si="4"/>
        <v>0</v>
      </c>
      <c r="M1085" s="5">
        <v>878.3341632678485</v>
      </c>
      <c r="N1085" s="5">
        <f t="shared" si="5"/>
        <v>0</v>
      </c>
      <c r="O1085" s="5">
        <f t="shared" si="6"/>
        <v>878.3341633</v>
      </c>
      <c r="P1085" s="5">
        <f t="shared" si="9"/>
        <v>40796.78562</v>
      </c>
      <c r="Q1085" s="5">
        <f t="shared" si="7"/>
        <v>878.3341633</v>
      </c>
      <c r="R1085" s="5">
        <f t="shared" si="8"/>
        <v>39918.45145</v>
      </c>
    </row>
    <row r="1086" ht="15.75" customHeight="1">
      <c r="A1086" s="4">
        <v>2008.0</v>
      </c>
      <c r="B1086" s="4">
        <v>105.0</v>
      </c>
      <c r="C1086" s="4" t="s">
        <v>18</v>
      </c>
      <c r="D1086" s="5">
        <v>13739.630773929368</v>
      </c>
      <c r="E1086" s="5">
        <f t="shared" si="1"/>
        <v>0</v>
      </c>
      <c r="F1086" s="5">
        <f t="shared" si="2"/>
        <v>13739.63077</v>
      </c>
      <c r="G1086" s="5">
        <v>1061.2764618578772</v>
      </c>
      <c r="H1086" s="5">
        <v>355.7428460529109</v>
      </c>
      <c r="I1086" s="5">
        <v>705.5336158049663</v>
      </c>
      <c r="J1086" s="5">
        <v>38618.39558487972</v>
      </c>
      <c r="K1086" s="5">
        <f t="shared" si="3"/>
        <v>38618.39558</v>
      </c>
      <c r="L1086" s="5">
        <f t="shared" si="4"/>
        <v>0</v>
      </c>
      <c r="M1086" s="5">
        <v>4454.292100460454</v>
      </c>
      <c r="N1086" s="5">
        <f t="shared" si="5"/>
        <v>0</v>
      </c>
      <c r="O1086" s="5">
        <f t="shared" si="6"/>
        <v>4454.2921</v>
      </c>
      <c r="P1086" s="5">
        <f t="shared" si="9"/>
        <v>57873.59492</v>
      </c>
      <c r="Q1086" s="5">
        <f t="shared" si="7"/>
        <v>18899.45649</v>
      </c>
      <c r="R1086" s="5">
        <f t="shared" si="8"/>
        <v>38974.13843</v>
      </c>
    </row>
    <row r="1087" ht="15.75" customHeight="1">
      <c r="A1087" s="4">
        <v>2008.0</v>
      </c>
      <c r="B1087" s="4">
        <v>106.0</v>
      </c>
      <c r="C1087" s="4" t="s">
        <v>18</v>
      </c>
      <c r="D1087" s="5">
        <v>7377.718147871659</v>
      </c>
      <c r="E1087" s="5">
        <f t="shared" si="1"/>
        <v>0</v>
      </c>
      <c r="F1087" s="5">
        <f t="shared" si="2"/>
        <v>7377.718148</v>
      </c>
      <c r="G1087" s="5">
        <v>3288.522156222605</v>
      </c>
      <c r="H1087" s="5">
        <v>1758.0945373651623</v>
      </c>
      <c r="I1087" s="5">
        <v>1530.427618857443</v>
      </c>
      <c r="J1087" s="5">
        <v>40544.71021658009</v>
      </c>
      <c r="K1087" s="5">
        <f t="shared" si="3"/>
        <v>40544.71022</v>
      </c>
      <c r="L1087" s="5">
        <f t="shared" si="4"/>
        <v>0</v>
      </c>
      <c r="M1087" s="5">
        <v>135194.59260512958</v>
      </c>
      <c r="N1087" s="5">
        <f t="shared" si="5"/>
        <v>0</v>
      </c>
      <c r="O1087" s="5">
        <f t="shared" si="6"/>
        <v>135194.5926</v>
      </c>
      <c r="P1087" s="5">
        <f t="shared" si="9"/>
        <v>186405.5431</v>
      </c>
      <c r="Q1087" s="5">
        <f t="shared" si="7"/>
        <v>144102.7384</v>
      </c>
      <c r="R1087" s="5">
        <f t="shared" si="8"/>
        <v>42302.80475</v>
      </c>
    </row>
    <row r="1088" ht="15.75" customHeight="1">
      <c r="A1088" s="4">
        <v>2008.0</v>
      </c>
      <c r="B1088" s="4">
        <v>107.0</v>
      </c>
      <c r="C1088" s="4" t="s">
        <v>18</v>
      </c>
      <c r="D1088" s="5">
        <v>5312.2280985134375</v>
      </c>
      <c r="E1088" s="5">
        <f t="shared" si="1"/>
        <v>0</v>
      </c>
      <c r="F1088" s="5">
        <f t="shared" si="2"/>
        <v>5312.228099</v>
      </c>
      <c r="G1088" s="5" t="s">
        <v>19</v>
      </c>
      <c r="H1088" s="5" t="s">
        <v>19</v>
      </c>
      <c r="I1088" s="5" t="s">
        <v>19</v>
      </c>
      <c r="J1088" s="5">
        <v>49308.94616955644</v>
      </c>
      <c r="K1088" s="5">
        <f t="shared" si="3"/>
        <v>49308.94617</v>
      </c>
      <c r="L1088" s="5">
        <f t="shared" si="4"/>
        <v>0</v>
      </c>
      <c r="M1088" s="5">
        <v>78832.01578075314</v>
      </c>
      <c r="N1088" s="5">
        <f t="shared" si="5"/>
        <v>0</v>
      </c>
      <c r="O1088" s="5">
        <f t="shared" si="6"/>
        <v>78832.01578</v>
      </c>
      <c r="P1088" s="5">
        <f t="shared" si="9"/>
        <v>133453.19</v>
      </c>
      <c r="Q1088" s="5">
        <f t="shared" si="7"/>
        <v>84144.24388</v>
      </c>
      <c r="R1088" s="5">
        <f t="shared" si="8"/>
        <v>49308.94617</v>
      </c>
    </row>
    <row r="1089" ht="15.75" customHeight="1">
      <c r="A1089" s="4">
        <v>2008.0</v>
      </c>
      <c r="B1089" s="4">
        <v>108.0</v>
      </c>
      <c r="C1089" s="4" t="s">
        <v>18</v>
      </c>
      <c r="D1089" s="5">
        <v>5621.656350850318</v>
      </c>
      <c r="E1089" s="5">
        <f t="shared" si="1"/>
        <v>0</v>
      </c>
      <c r="F1089" s="5">
        <f t="shared" si="2"/>
        <v>5621.656351</v>
      </c>
      <c r="G1089" s="5">
        <v>5929.224579343183</v>
      </c>
      <c r="H1089" s="5">
        <v>3014.514072229656</v>
      </c>
      <c r="I1089" s="5">
        <v>2914.710507113527</v>
      </c>
      <c r="J1089" s="5">
        <v>8844.361390058226</v>
      </c>
      <c r="K1089" s="5">
        <f t="shared" si="3"/>
        <v>8844.36139</v>
      </c>
      <c r="L1089" s="5">
        <f t="shared" si="4"/>
        <v>0</v>
      </c>
      <c r="M1089" s="5">
        <v>39378.37562224672</v>
      </c>
      <c r="N1089" s="5">
        <f t="shared" si="5"/>
        <v>0</v>
      </c>
      <c r="O1089" s="5">
        <f t="shared" si="6"/>
        <v>39378.37562</v>
      </c>
      <c r="P1089" s="5">
        <f t="shared" si="9"/>
        <v>59773.61794</v>
      </c>
      <c r="Q1089" s="5">
        <f t="shared" si="7"/>
        <v>47914.74248</v>
      </c>
      <c r="R1089" s="5">
        <f t="shared" si="8"/>
        <v>11858.87546</v>
      </c>
    </row>
    <row r="1090" ht="15.75" customHeight="1">
      <c r="A1090" s="4">
        <v>2008.0</v>
      </c>
      <c r="B1090" s="4">
        <v>120.0</v>
      </c>
      <c r="C1090" s="4" t="s">
        <v>18</v>
      </c>
      <c r="D1090" s="5">
        <v>21129.206573806634</v>
      </c>
      <c r="E1090" s="5">
        <f t="shared" si="1"/>
        <v>0</v>
      </c>
      <c r="F1090" s="5">
        <f t="shared" si="2"/>
        <v>21129.20657</v>
      </c>
      <c r="G1090" s="5">
        <v>776.427096031226</v>
      </c>
      <c r="H1090" s="5">
        <v>413.56301583264894</v>
      </c>
      <c r="I1090" s="5">
        <v>362.8640801985771</v>
      </c>
      <c r="J1090" s="5">
        <v>3796.0458361831115</v>
      </c>
      <c r="K1090" s="5">
        <f t="shared" si="3"/>
        <v>3796.045836</v>
      </c>
      <c r="L1090" s="5">
        <f t="shared" si="4"/>
        <v>0</v>
      </c>
      <c r="M1090" s="5">
        <v>76600.10991795317</v>
      </c>
      <c r="N1090" s="5">
        <f t="shared" si="5"/>
        <v>0</v>
      </c>
      <c r="O1090" s="5">
        <f t="shared" si="6"/>
        <v>76600.10992</v>
      </c>
      <c r="P1090" s="5">
        <f t="shared" si="9"/>
        <v>102301.7894</v>
      </c>
      <c r="Q1090" s="5">
        <f t="shared" si="7"/>
        <v>98092.18057</v>
      </c>
      <c r="R1090" s="5">
        <f t="shared" si="8"/>
        <v>4209.608852</v>
      </c>
    </row>
    <row r="1091" ht="15.75" customHeight="1">
      <c r="A1091" s="4">
        <v>2008.0</v>
      </c>
      <c r="B1091" s="4">
        <v>121.0</v>
      </c>
      <c r="C1091" s="4" t="s">
        <v>18</v>
      </c>
      <c r="D1091" s="5">
        <v>32018.483665625477</v>
      </c>
      <c r="E1091" s="5">
        <f t="shared" si="1"/>
        <v>0</v>
      </c>
      <c r="F1091" s="5">
        <f t="shared" si="2"/>
        <v>32018.48367</v>
      </c>
      <c r="G1091" s="5">
        <v>14914.73405209881</v>
      </c>
      <c r="H1091" s="5">
        <v>6604.891526567071</v>
      </c>
      <c r="I1091" s="5">
        <v>8309.842525531738</v>
      </c>
      <c r="J1091" s="5">
        <v>67376.40619608566</v>
      </c>
      <c r="K1091" s="5">
        <f t="shared" si="3"/>
        <v>67376.4062</v>
      </c>
      <c r="L1091" s="5">
        <f t="shared" si="4"/>
        <v>0</v>
      </c>
      <c r="M1091" s="5">
        <v>903043.5402707364</v>
      </c>
      <c r="N1091" s="5">
        <f t="shared" si="5"/>
        <v>0</v>
      </c>
      <c r="O1091" s="5">
        <f t="shared" si="6"/>
        <v>903043.5403</v>
      </c>
      <c r="P1091" s="5">
        <f t="shared" si="9"/>
        <v>1017353.164</v>
      </c>
      <c r="Q1091" s="5">
        <f t="shared" si="7"/>
        <v>943371.8665</v>
      </c>
      <c r="R1091" s="5">
        <f t="shared" si="8"/>
        <v>73981.29772</v>
      </c>
    </row>
    <row r="1092" ht="15.75" customHeight="1">
      <c r="A1092" s="4">
        <v>2008.0</v>
      </c>
      <c r="B1092" s="4">
        <v>122.0</v>
      </c>
      <c r="C1092" s="4" t="s">
        <v>18</v>
      </c>
      <c r="D1092" s="5">
        <v>70685.15755572983</v>
      </c>
      <c r="E1092" s="5">
        <f t="shared" si="1"/>
        <v>0</v>
      </c>
      <c r="F1092" s="5">
        <f t="shared" si="2"/>
        <v>70685.15756</v>
      </c>
      <c r="G1092" s="5">
        <v>15477.524123760046</v>
      </c>
      <c r="H1092" s="5">
        <v>4202.591016711113</v>
      </c>
      <c r="I1092" s="5">
        <v>11274.933107048932</v>
      </c>
      <c r="J1092" s="5">
        <v>4177.674206614316</v>
      </c>
      <c r="K1092" s="5">
        <f t="shared" si="3"/>
        <v>4177.674207</v>
      </c>
      <c r="L1092" s="5">
        <f t="shared" si="4"/>
        <v>0</v>
      </c>
      <c r="M1092" s="5">
        <v>132230.9399317968</v>
      </c>
      <c r="N1092" s="5">
        <f t="shared" si="5"/>
        <v>0</v>
      </c>
      <c r="O1092" s="5">
        <f t="shared" si="6"/>
        <v>132230.9399</v>
      </c>
      <c r="P1092" s="5">
        <f t="shared" si="9"/>
        <v>222571.2958</v>
      </c>
      <c r="Q1092" s="5">
        <f t="shared" si="7"/>
        <v>214191.0306</v>
      </c>
      <c r="R1092" s="5">
        <f t="shared" si="8"/>
        <v>8380.265223</v>
      </c>
    </row>
    <row r="1093" ht="15.75" customHeight="1">
      <c r="A1093" s="4">
        <v>2008.0</v>
      </c>
      <c r="B1093" s="4">
        <v>123.0</v>
      </c>
      <c r="C1093" s="4" t="s">
        <v>18</v>
      </c>
      <c r="D1093" s="5" t="s">
        <v>19</v>
      </c>
      <c r="E1093" s="5" t="str">
        <f t="shared" si="1"/>
        <v/>
      </c>
      <c r="F1093" s="5" t="str">
        <f t="shared" si="2"/>
        <v/>
      </c>
      <c r="G1093" s="5" t="s">
        <v>19</v>
      </c>
      <c r="H1093" s="5" t="s">
        <v>19</v>
      </c>
      <c r="I1093" s="5" t="s">
        <v>19</v>
      </c>
      <c r="J1093" s="5">
        <v>0.0</v>
      </c>
      <c r="K1093" s="5">
        <f t="shared" si="3"/>
        <v>0</v>
      </c>
      <c r="L1093" s="5">
        <f t="shared" si="4"/>
        <v>0</v>
      </c>
      <c r="M1093" s="5">
        <v>5519.8951395207205</v>
      </c>
      <c r="N1093" s="5">
        <f t="shared" si="5"/>
        <v>0</v>
      </c>
      <c r="O1093" s="5">
        <f t="shared" si="6"/>
        <v>5519.89514</v>
      </c>
      <c r="P1093" s="5">
        <f t="shared" si="9"/>
        <v>5519.89514</v>
      </c>
      <c r="Q1093" s="5">
        <f t="shared" si="7"/>
        <v>5519.89514</v>
      </c>
      <c r="R1093" s="5">
        <f t="shared" si="8"/>
        <v>0</v>
      </c>
    </row>
    <row r="1094" ht="15.75" customHeight="1">
      <c r="A1094" s="4">
        <v>2008.0</v>
      </c>
      <c r="B1094" s="4">
        <v>124.0</v>
      </c>
      <c r="C1094" s="4" t="s">
        <v>18</v>
      </c>
      <c r="D1094" s="5" t="s">
        <v>19</v>
      </c>
      <c r="E1094" s="5" t="str">
        <f t="shared" si="1"/>
        <v/>
      </c>
      <c r="F1094" s="5" t="str">
        <f t="shared" si="2"/>
        <v/>
      </c>
      <c r="G1094" s="5" t="s">
        <v>19</v>
      </c>
      <c r="H1094" s="5" t="s">
        <v>19</v>
      </c>
      <c r="I1094" s="5" t="s">
        <v>19</v>
      </c>
      <c r="J1094" s="5">
        <v>0.0</v>
      </c>
      <c r="K1094" s="5">
        <f t="shared" si="3"/>
        <v>0</v>
      </c>
      <c r="L1094" s="5">
        <f t="shared" si="4"/>
        <v>0</v>
      </c>
      <c r="M1094" s="5">
        <v>57550.59629296581</v>
      </c>
      <c r="N1094" s="5">
        <f t="shared" si="5"/>
        <v>0</v>
      </c>
      <c r="O1094" s="5">
        <f t="shared" si="6"/>
        <v>57550.59629</v>
      </c>
      <c r="P1094" s="5">
        <f t="shared" si="9"/>
        <v>57550.59629</v>
      </c>
      <c r="Q1094" s="5">
        <f t="shared" si="7"/>
        <v>57550.59629</v>
      </c>
      <c r="R1094" s="5">
        <f t="shared" si="8"/>
        <v>0</v>
      </c>
    </row>
    <row r="1095" ht="15.75" customHeight="1">
      <c r="A1095" s="4">
        <v>2008.0</v>
      </c>
      <c r="B1095" s="4">
        <v>125.0</v>
      </c>
      <c r="C1095" s="4" t="s">
        <v>18</v>
      </c>
      <c r="D1095" s="5">
        <v>3555.60165139659</v>
      </c>
      <c r="E1095" s="5">
        <f t="shared" si="1"/>
        <v>0</v>
      </c>
      <c r="F1095" s="5">
        <f t="shared" si="2"/>
        <v>3555.601651</v>
      </c>
      <c r="G1095" s="5">
        <v>1273.3191800758505</v>
      </c>
      <c r="H1095" s="5">
        <v>793.5393153961853</v>
      </c>
      <c r="I1095" s="5">
        <v>479.77986467966514</v>
      </c>
      <c r="J1095" s="5">
        <v>2115.476746048297</v>
      </c>
      <c r="K1095" s="5">
        <f t="shared" si="3"/>
        <v>2115.476746</v>
      </c>
      <c r="L1095" s="5">
        <f t="shared" si="4"/>
        <v>0</v>
      </c>
      <c r="M1095" s="5">
        <v>401532.2848536463</v>
      </c>
      <c r="N1095" s="5">
        <f t="shared" si="5"/>
        <v>0</v>
      </c>
      <c r="O1095" s="5">
        <f t="shared" si="6"/>
        <v>401532.2849</v>
      </c>
      <c r="P1095" s="5">
        <f t="shared" si="9"/>
        <v>408476.6824</v>
      </c>
      <c r="Q1095" s="5">
        <f t="shared" si="7"/>
        <v>405567.6664</v>
      </c>
      <c r="R1095" s="5">
        <f t="shared" si="8"/>
        <v>2909.016061</v>
      </c>
    </row>
    <row r="1096" ht="15.75" customHeight="1">
      <c r="A1096" s="4">
        <v>2008.0</v>
      </c>
      <c r="B1096" s="4">
        <v>126.0</v>
      </c>
      <c r="C1096" s="4" t="s">
        <v>18</v>
      </c>
      <c r="D1096" s="5">
        <v>997.1720686622801</v>
      </c>
      <c r="E1096" s="5">
        <f t="shared" si="1"/>
        <v>0</v>
      </c>
      <c r="F1096" s="5">
        <f t="shared" si="2"/>
        <v>997.1720687</v>
      </c>
      <c r="G1096" s="5">
        <v>2100.7640729715517</v>
      </c>
      <c r="H1096" s="5">
        <v>1102.8347088870642</v>
      </c>
      <c r="I1096" s="5">
        <v>997.9293640844876</v>
      </c>
      <c r="J1096" s="5">
        <v>2891.9500538520456</v>
      </c>
      <c r="K1096" s="5">
        <f t="shared" si="3"/>
        <v>2891.950054</v>
      </c>
      <c r="L1096" s="5">
        <f t="shared" si="4"/>
        <v>0</v>
      </c>
      <c r="M1096" s="5">
        <v>216443.4032181903</v>
      </c>
      <c r="N1096" s="5">
        <f t="shared" si="5"/>
        <v>0</v>
      </c>
      <c r="O1096" s="5">
        <f t="shared" si="6"/>
        <v>216443.4032</v>
      </c>
      <c r="P1096" s="5">
        <f t="shared" si="9"/>
        <v>222433.2894</v>
      </c>
      <c r="Q1096" s="5">
        <f t="shared" si="7"/>
        <v>218438.5047</v>
      </c>
      <c r="R1096" s="5">
        <f t="shared" si="8"/>
        <v>3994.784763</v>
      </c>
    </row>
    <row r="1097" ht="15.75" customHeight="1">
      <c r="A1097" s="4">
        <v>2008.0</v>
      </c>
      <c r="B1097" s="4">
        <v>127.0</v>
      </c>
      <c r="C1097" s="4" t="s">
        <v>18</v>
      </c>
      <c r="D1097" s="5">
        <v>26464.020676140284</v>
      </c>
      <c r="E1097" s="5">
        <f t="shared" si="1"/>
        <v>0</v>
      </c>
      <c r="F1097" s="5">
        <f t="shared" si="2"/>
        <v>26464.02068</v>
      </c>
      <c r="G1097" s="5" t="s">
        <v>19</v>
      </c>
      <c r="H1097" s="5" t="s">
        <v>19</v>
      </c>
      <c r="I1097" s="5" t="s">
        <v>19</v>
      </c>
      <c r="J1097" s="5">
        <v>0.0</v>
      </c>
      <c r="K1097" s="5">
        <f t="shared" si="3"/>
        <v>0</v>
      </c>
      <c r="L1097" s="5">
        <f t="shared" si="4"/>
        <v>0</v>
      </c>
      <c r="M1097" s="5">
        <v>42042.08573161176</v>
      </c>
      <c r="N1097" s="5">
        <f t="shared" si="5"/>
        <v>0</v>
      </c>
      <c r="O1097" s="5">
        <f t="shared" si="6"/>
        <v>42042.08573</v>
      </c>
      <c r="P1097" s="5">
        <f t="shared" si="9"/>
        <v>68506.10641</v>
      </c>
      <c r="Q1097" s="5">
        <f t="shared" si="7"/>
        <v>68506.10641</v>
      </c>
      <c r="R1097" s="5">
        <f t="shared" si="8"/>
        <v>0</v>
      </c>
    </row>
    <row r="1098" ht="15.75" customHeight="1">
      <c r="A1098" s="4">
        <v>2008.0</v>
      </c>
      <c r="B1098" s="4">
        <v>128.0</v>
      </c>
      <c r="C1098" s="4" t="s">
        <v>18</v>
      </c>
      <c r="D1098" s="5" t="s">
        <v>19</v>
      </c>
      <c r="E1098" s="5" t="str">
        <f t="shared" si="1"/>
        <v/>
      </c>
      <c r="F1098" s="5" t="str">
        <f t="shared" si="2"/>
        <v/>
      </c>
      <c r="G1098" s="5" t="s">
        <v>19</v>
      </c>
      <c r="H1098" s="5" t="s">
        <v>19</v>
      </c>
      <c r="I1098" s="5" t="s">
        <v>19</v>
      </c>
      <c r="J1098" s="5">
        <v>0.0</v>
      </c>
      <c r="K1098" s="5">
        <f t="shared" si="3"/>
        <v>0</v>
      </c>
      <c r="L1098" s="5">
        <f t="shared" si="4"/>
        <v>0</v>
      </c>
      <c r="M1098" s="5">
        <v>22888.748694946058</v>
      </c>
      <c r="N1098" s="5">
        <f t="shared" si="5"/>
        <v>0</v>
      </c>
      <c r="O1098" s="5">
        <f t="shared" si="6"/>
        <v>22888.74869</v>
      </c>
      <c r="P1098" s="5">
        <f t="shared" si="9"/>
        <v>22888.74869</v>
      </c>
      <c r="Q1098" s="5">
        <f t="shared" si="7"/>
        <v>22888.74869</v>
      </c>
      <c r="R1098" s="5">
        <f t="shared" si="8"/>
        <v>0</v>
      </c>
    </row>
    <row r="1099" ht="15.75" customHeight="1">
      <c r="A1099" s="4">
        <v>2008.0</v>
      </c>
      <c r="B1099" s="4">
        <v>300.0</v>
      </c>
      <c r="C1099" s="4" t="s">
        <v>20</v>
      </c>
      <c r="D1099" s="5" t="s">
        <v>19</v>
      </c>
      <c r="E1099" s="5" t="str">
        <f t="shared" si="1"/>
        <v/>
      </c>
      <c r="F1099" s="5" t="str">
        <f t="shared" si="2"/>
        <v/>
      </c>
      <c r="G1099" s="5">
        <v>13970.03545113545</v>
      </c>
      <c r="H1099" s="5">
        <v>6093.293701211578</v>
      </c>
      <c r="I1099" s="5">
        <v>7876.741749923873</v>
      </c>
      <c r="J1099" s="5">
        <v>183993.22361484164</v>
      </c>
      <c r="K1099" s="5">
        <f t="shared" si="3"/>
        <v>183993.2236</v>
      </c>
      <c r="L1099" s="5">
        <f t="shared" si="4"/>
        <v>0</v>
      </c>
      <c r="M1099" s="5">
        <v>2661.2522207140273</v>
      </c>
      <c r="N1099" s="5">
        <f t="shared" si="5"/>
        <v>0</v>
      </c>
      <c r="O1099" s="5">
        <f t="shared" si="6"/>
        <v>2661.252221</v>
      </c>
      <c r="P1099" s="5">
        <f t="shared" si="9"/>
        <v>200624.5113</v>
      </c>
      <c r="Q1099" s="5">
        <f t="shared" si="7"/>
        <v>10537.99397</v>
      </c>
      <c r="R1099" s="5">
        <f t="shared" si="8"/>
        <v>190086.5173</v>
      </c>
    </row>
    <row r="1100" ht="15.75" customHeight="1">
      <c r="A1100" s="4">
        <v>2008.0</v>
      </c>
      <c r="B1100" s="4">
        <v>301.0</v>
      </c>
      <c r="C1100" s="4" t="s">
        <v>20</v>
      </c>
      <c r="D1100" s="5">
        <v>3207.660219016156</v>
      </c>
      <c r="E1100" s="5">
        <f t="shared" si="1"/>
        <v>0</v>
      </c>
      <c r="F1100" s="5">
        <f t="shared" si="2"/>
        <v>3207.660219</v>
      </c>
      <c r="G1100" s="5">
        <v>1584.6377827324654</v>
      </c>
      <c r="H1100" s="5">
        <v>743.5647492963985</v>
      </c>
      <c r="I1100" s="5">
        <v>841.0730334360669</v>
      </c>
      <c r="J1100" s="5">
        <v>7682.606093558241</v>
      </c>
      <c r="K1100" s="5">
        <f t="shared" si="3"/>
        <v>7682.606094</v>
      </c>
      <c r="L1100" s="5">
        <f t="shared" si="4"/>
        <v>0</v>
      </c>
      <c r="M1100" s="5">
        <v>346.88289396609787</v>
      </c>
      <c r="N1100" s="5">
        <f t="shared" si="5"/>
        <v>0</v>
      </c>
      <c r="O1100" s="5">
        <f t="shared" si="6"/>
        <v>346.882894</v>
      </c>
      <c r="P1100" s="5">
        <f t="shared" si="9"/>
        <v>12821.78699</v>
      </c>
      <c r="Q1100" s="5">
        <f t="shared" si="7"/>
        <v>4395.616146</v>
      </c>
      <c r="R1100" s="5">
        <f t="shared" si="8"/>
        <v>8426.170843</v>
      </c>
    </row>
    <row r="1101" ht="15.75" customHeight="1">
      <c r="A1101" s="4">
        <v>2008.0</v>
      </c>
      <c r="B1101" s="4">
        <v>302.0</v>
      </c>
      <c r="C1101" s="4" t="s">
        <v>20</v>
      </c>
      <c r="D1101" s="5">
        <v>16077.062663401643</v>
      </c>
      <c r="E1101" s="5">
        <f t="shared" si="1"/>
        <v>0</v>
      </c>
      <c r="F1101" s="5">
        <f t="shared" si="2"/>
        <v>16077.06266</v>
      </c>
      <c r="G1101" s="5">
        <v>3463.0308063273383</v>
      </c>
      <c r="H1101" s="5">
        <v>1630.1621551383673</v>
      </c>
      <c r="I1101" s="5">
        <v>1832.868651188971</v>
      </c>
      <c r="J1101" s="5">
        <v>82854.4530905224</v>
      </c>
      <c r="K1101" s="5">
        <f t="shared" si="3"/>
        <v>82854.45309</v>
      </c>
      <c r="L1101" s="5">
        <f t="shared" si="4"/>
        <v>0</v>
      </c>
      <c r="M1101" s="5">
        <v>5835.2948193382</v>
      </c>
      <c r="N1101" s="5">
        <f t="shared" si="5"/>
        <v>0</v>
      </c>
      <c r="O1101" s="5">
        <f t="shared" si="6"/>
        <v>5835.294819</v>
      </c>
      <c r="P1101" s="5">
        <f t="shared" si="9"/>
        <v>108229.8414</v>
      </c>
      <c r="Q1101" s="5">
        <f t="shared" si="7"/>
        <v>23745.22613</v>
      </c>
      <c r="R1101" s="5">
        <f t="shared" si="8"/>
        <v>84484.61525</v>
      </c>
    </row>
    <row r="1102" ht="15.75" customHeight="1">
      <c r="A1102" s="4">
        <v>2008.0</v>
      </c>
      <c r="B1102" s="4">
        <v>303.0</v>
      </c>
      <c r="C1102" s="4" t="s">
        <v>20</v>
      </c>
      <c r="D1102" s="5" t="s">
        <v>19</v>
      </c>
      <c r="E1102" s="5" t="str">
        <f t="shared" si="1"/>
        <v/>
      </c>
      <c r="F1102" s="5" t="str">
        <f t="shared" si="2"/>
        <v/>
      </c>
      <c r="G1102" s="5" t="s">
        <v>19</v>
      </c>
      <c r="H1102" s="5" t="s">
        <v>19</v>
      </c>
      <c r="I1102" s="5" t="s">
        <v>19</v>
      </c>
      <c r="J1102" s="5">
        <v>2437.746094674775</v>
      </c>
      <c r="K1102" s="5">
        <f t="shared" si="3"/>
        <v>2437.746095</v>
      </c>
      <c r="L1102" s="5">
        <f t="shared" si="4"/>
        <v>0</v>
      </c>
      <c r="M1102" s="5">
        <v>8504.401597263106</v>
      </c>
      <c r="N1102" s="5">
        <f t="shared" si="5"/>
        <v>0</v>
      </c>
      <c r="O1102" s="5">
        <f t="shared" si="6"/>
        <v>8504.401597</v>
      </c>
      <c r="P1102" s="5">
        <f t="shared" si="9"/>
        <v>10942.14769</v>
      </c>
      <c r="Q1102" s="5">
        <f t="shared" si="7"/>
        <v>8504.401597</v>
      </c>
      <c r="R1102" s="5">
        <f t="shared" si="8"/>
        <v>2437.746095</v>
      </c>
    </row>
    <row r="1103" ht="15.75" customHeight="1">
      <c r="A1103" s="4">
        <v>2008.0</v>
      </c>
      <c r="B1103" s="4">
        <v>304.0</v>
      </c>
      <c r="C1103" s="4" t="s">
        <v>20</v>
      </c>
      <c r="D1103" s="5">
        <v>8018.027023820944</v>
      </c>
      <c r="E1103" s="5">
        <f t="shared" si="1"/>
        <v>0</v>
      </c>
      <c r="F1103" s="5">
        <f t="shared" si="2"/>
        <v>8018.027024</v>
      </c>
      <c r="G1103" s="5">
        <v>9123.330307831431</v>
      </c>
      <c r="H1103" s="5">
        <v>3318.357631857231</v>
      </c>
      <c r="I1103" s="5">
        <v>5804.972675974201</v>
      </c>
      <c r="J1103" s="5">
        <v>2163.672736553137</v>
      </c>
      <c r="K1103" s="5">
        <f t="shared" si="3"/>
        <v>2163.672737</v>
      </c>
      <c r="L1103" s="5">
        <f t="shared" si="4"/>
        <v>0</v>
      </c>
      <c r="M1103" s="5">
        <v>41745.0480107824</v>
      </c>
      <c r="N1103" s="5">
        <f t="shared" si="5"/>
        <v>0</v>
      </c>
      <c r="O1103" s="5">
        <f t="shared" si="6"/>
        <v>41745.04801</v>
      </c>
      <c r="P1103" s="5">
        <f t="shared" si="9"/>
        <v>61050.07808</v>
      </c>
      <c r="Q1103" s="5">
        <f t="shared" si="7"/>
        <v>55568.04771</v>
      </c>
      <c r="R1103" s="5">
        <f t="shared" si="8"/>
        <v>5482.030368</v>
      </c>
    </row>
    <row r="1104" ht="15.75" customHeight="1">
      <c r="A1104" s="4">
        <v>2008.0</v>
      </c>
      <c r="B1104" s="4">
        <v>305.0</v>
      </c>
      <c r="C1104" s="4" t="s">
        <v>20</v>
      </c>
      <c r="D1104" s="5">
        <v>38547.53705230642</v>
      </c>
      <c r="E1104" s="5">
        <f t="shared" si="1"/>
        <v>0</v>
      </c>
      <c r="F1104" s="5">
        <f t="shared" si="2"/>
        <v>38547.53705</v>
      </c>
      <c r="G1104" s="5">
        <v>27705.784436172966</v>
      </c>
      <c r="H1104" s="5">
        <v>9749.39296078287</v>
      </c>
      <c r="I1104" s="5">
        <v>17956.391475390097</v>
      </c>
      <c r="J1104" s="5">
        <v>7011.472521218779</v>
      </c>
      <c r="K1104" s="5">
        <f t="shared" si="3"/>
        <v>7011.472521</v>
      </c>
      <c r="L1104" s="5">
        <f t="shared" si="4"/>
        <v>0</v>
      </c>
      <c r="M1104" s="5">
        <v>11904.302789971483</v>
      </c>
      <c r="N1104" s="5">
        <f t="shared" si="5"/>
        <v>0</v>
      </c>
      <c r="O1104" s="5">
        <f t="shared" si="6"/>
        <v>11904.30279</v>
      </c>
      <c r="P1104" s="5">
        <f t="shared" si="9"/>
        <v>85169.0968</v>
      </c>
      <c r="Q1104" s="5">
        <f t="shared" si="7"/>
        <v>68408.23132</v>
      </c>
      <c r="R1104" s="5">
        <f t="shared" si="8"/>
        <v>16760.86548</v>
      </c>
    </row>
    <row r="1105" ht="15.75" customHeight="1">
      <c r="A1105" s="4">
        <v>2008.0</v>
      </c>
      <c r="B1105" s="4">
        <v>306.0</v>
      </c>
      <c r="C1105" s="4" t="s">
        <v>20</v>
      </c>
      <c r="D1105" s="5">
        <v>9265.138352405162</v>
      </c>
      <c r="E1105" s="5">
        <f t="shared" si="1"/>
        <v>0</v>
      </c>
      <c r="F1105" s="5">
        <f t="shared" si="2"/>
        <v>9265.138352</v>
      </c>
      <c r="G1105" s="5" t="s">
        <v>19</v>
      </c>
      <c r="H1105" s="5" t="s">
        <v>19</v>
      </c>
      <c r="I1105" s="5" t="s">
        <v>19</v>
      </c>
      <c r="J1105" s="5">
        <v>0.0</v>
      </c>
      <c r="K1105" s="5">
        <f t="shared" si="3"/>
        <v>0</v>
      </c>
      <c r="L1105" s="5">
        <f t="shared" si="4"/>
        <v>0</v>
      </c>
      <c r="M1105" s="5">
        <v>2365.5040971616017</v>
      </c>
      <c r="N1105" s="5">
        <f t="shared" si="5"/>
        <v>0</v>
      </c>
      <c r="O1105" s="5">
        <f t="shared" si="6"/>
        <v>2365.504097</v>
      </c>
      <c r="P1105" s="5">
        <f t="shared" si="9"/>
        <v>11630.64245</v>
      </c>
      <c r="Q1105" s="5">
        <f t="shared" si="7"/>
        <v>11630.64245</v>
      </c>
      <c r="R1105" s="5">
        <f t="shared" si="8"/>
        <v>0</v>
      </c>
    </row>
    <row r="1106" ht="15.75" customHeight="1">
      <c r="A1106" s="4">
        <v>2008.0</v>
      </c>
      <c r="B1106" s="4">
        <v>307.0</v>
      </c>
      <c r="C1106" s="4" t="s">
        <v>20</v>
      </c>
      <c r="D1106" s="5" t="s">
        <v>19</v>
      </c>
      <c r="E1106" s="5" t="str">
        <f t="shared" si="1"/>
        <v/>
      </c>
      <c r="F1106" s="5" t="str">
        <f t="shared" si="2"/>
        <v/>
      </c>
      <c r="G1106" s="5" t="s">
        <v>19</v>
      </c>
      <c r="H1106" s="5" t="s">
        <v>19</v>
      </c>
      <c r="I1106" s="5" t="s">
        <v>19</v>
      </c>
      <c r="J1106" s="5">
        <v>0.0</v>
      </c>
      <c r="K1106" s="5">
        <f t="shared" si="3"/>
        <v>0</v>
      </c>
      <c r="L1106" s="5">
        <f t="shared" si="4"/>
        <v>0</v>
      </c>
      <c r="M1106" s="5">
        <v>399.13974398132336</v>
      </c>
      <c r="N1106" s="5">
        <f t="shared" si="5"/>
        <v>0</v>
      </c>
      <c r="O1106" s="5">
        <f t="shared" si="6"/>
        <v>399.139744</v>
      </c>
      <c r="P1106" s="5">
        <f t="shared" si="9"/>
        <v>399.139744</v>
      </c>
      <c r="Q1106" s="5">
        <f t="shared" si="7"/>
        <v>399.139744</v>
      </c>
      <c r="R1106" s="5">
        <f t="shared" si="8"/>
        <v>0</v>
      </c>
    </row>
    <row r="1107" ht="15.75" customHeight="1">
      <c r="A1107" s="4">
        <v>2008.0</v>
      </c>
      <c r="B1107" s="4">
        <v>308.0</v>
      </c>
      <c r="C1107" s="4" t="s">
        <v>20</v>
      </c>
      <c r="D1107" s="5">
        <v>29231.278370666496</v>
      </c>
      <c r="E1107" s="5">
        <f t="shared" si="1"/>
        <v>0</v>
      </c>
      <c r="F1107" s="5">
        <f t="shared" si="2"/>
        <v>29231.27837</v>
      </c>
      <c r="G1107" s="5">
        <v>12211.605300772348</v>
      </c>
      <c r="H1107" s="5">
        <v>3672.709503557225</v>
      </c>
      <c r="I1107" s="5">
        <v>8538.895797215122</v>
      </c>
      <c r="J1107" s="5">
        <v>5900.92564514492</v>
      </c>
      <c r="K1107" s="5">
        <f t="shared" si="3"/>
        <v>5900.925645</v>
      </c>
      <c r="L1107" s="5">
        <f t="shared" si="4"/>
        <v>0</v>
      </c>
      <c r="M1107" s="5">
        <v>10410.975137389152</v>
      </c>
      <c r="N1107" s="5">
        <f t="shared" si="5"/>
        <v>0</v>
      </c>
      <c r="O1107" s="5">
        <f t="shared" si="6"/>
        <v>10410.97514</v>
      </c>
      <c r="P1107" s="5">
        <f t="shared" si="9"/>
        <v>57754.78445</v>
      </c>
      <c r="Q1107" s="5">
        <f t="shared" si="7"/>
        <v>48181.14931</v>
      </c>
      <c r="R1107" s="5">
        <f t="shared" si="8"/>
        <v>9573.635149</v>
      </c>
    </row>
    <row r="1108" ht="15.75" customHeight="1">
      <c r="A1108" s="4">
        <v>2008.0</v>
      </c>
      <c r="B1108" s="4">
        <v>309.0</v>
      </c>
      <c r="C1108" s="4" t="s">
        <v>20</v>
      </c>
      <c r="D1108" s="5" t="s">
        <v>19</v>
      </c>
      <c r="E1108" s="5" t="str">
        <f t="shared" si="1"/>
        <v/>
      </c>
      <c r="F1108" s="5" t="str">
        <f t="shared" si="2"/>
        <v/>
      </c>
      <c r="G1108" s="5" t="s">
        <v>19</v>
      </c>
      <c r="H1108" s="5" t="s">
        <v>19</v>
      </c>
      <c r="I1108" s="5" t="s">
        <v>19</v>
      </c>
      <c r="J1108" s="5">
        <v>1258.3754481364942</v>
      </c>
      <c r="K1108" s="5">
        <f t="shared" si="3"/>
        <v>1258.375448</v>
      </c>
      <c r="L1108" s="5">
        <f t="shared" si="4"/>
        <v>0</v>
      </c>
      <c r="M1108" s="5">
        <v>1760.062003580294</v>
      </c>
      <c r="N1108" s="5">
        <f t="shared" si="5"/>
        <v>0</v>
      </c>
      <c r="O1108" s="5">
        <f t="shared" si="6"/>
        <v>1760.062004</v>
      </c>
      <c r="P1108" s="5">
        <f t="shared" si="9"/>
        <v>3018.437452</v>
      </c>
      <c r="Q1108" s="5">
        <f t="shared" si="7"/>
        <v>1760.062004</v>
      </c>
      <c r="R1108" s="5">
        <f t="shared" si="8"/>
        <v>1258.375448</v>
      </c>
    </row>
    <row r="1109" ht="15.75" customHeight="1">
      <c r="A1109" s="4">
        <v>2008.0</v>
      </c>
      <c r="B1109" s="4">
        <v>310.0</v>
      </c>
      <c r="C1109" s="4" t="s">
        <v>20</v>
      </c>
      <c r="D1109" s="5" t="s">
        <v>19</v>
      </c>
      <c r="E1109" s="5" t="str">
        <f t="shared" si="1"/>
        <v/>
      </c>
      <c r="F1109" s="5" t="str">
        <f t="shared" si="2"/>
        <v/>
      </c>
      <c r="G1109" s="5">
        <v>3273.3459213027472</v>
      </c>
      <c r="H1109" s="5">
        <v>2397.2068172297018</v>
      </c>
      <c r="I1109" s="5">
        <v>876.1391040730455</v>
      </c>
      <c r="J1109" s="5">
        <v>3834.1763249854675</v>
      </c>
      <c r="K1109" s="5">
        <f t="shared" si="3"/>
        <v>3834.176325</v>
      </c>
      <c r="L1109" s="5">
        <f t="shared" si="4"/>
        <v>0</v>
      </c>
      <c r="M1109" s="5">
        <v>2351.558250685147</v>
      </c>
      <c r="N1109" s="5">
        <f t="shared" si="5"/>
        <v>0</v>
      </c>
      <c r="O1109" s="5">
        <f t="shared" si="6"/>
        <v>2351.558251</v>
      </c>
      <c r="P1109" s="5">
        <f t="shared" si="9"/>
        <v>9459.080497</v>
      </c>
      <c r="Q1109" s="5">
        <f t="shared" si="7"/>
        <v>3227.697355</v>
      </c>
      <c r="R1109" s="5">
        <f t="shared" si="8"/>
        <v>6231.383142</v>
      </c>
    </row>
    <row r="1110" ht="15.75" customHeight="1">
      <c r="A1110" s="4">
        <v>2008.0</v>
      </c>
      <c r="B1110" s="4">
        <v>311.0</v>
      </c>
      <c r="C1110" s="4" t="s">
        <v>20</v>
      </c>
      <c r="D1110" s="5" t="s">
        <v>19</v>
      </c>
      <c r="E1110" s="5" t="str">
        <f t="shared" si="1"/>
        <v/>
      </c>
      <c r="F1110" s="5" t="str">
        <f t="shared" si="2"/>
        <v/>
      </c>
      <c r="G1110" s="5" t="s">
        <v>19</v>
      </c>
      <c r="H1110" s="5" t="s">
        <v>19</v>
      </c>
      <c r="I1110" s="5" t="s">
        <v>19</v>
      </c>
      <c r="J1110" s="5">
        <v>7560.840961198107</v>
      </c>
      <c r="K1110" s="5">
        <f t="shared" si="3"/>
        <v>7560.840961</v>
      </c>
      <c r="L1110" s="5">
        <f t="shared" si="4"/>
        <v>0</v>
      </c>
      <c r="M1110" s="5">
        <v>2761.918790682009</v>
      </c>
      <c r="N1110" s="5">
        <f t="shared" si="5"/>
        <v>0</v>
      </c>
      <c r="O1110" s="5">
        <f t="shared" si="6"/>
        <v>2761.918791</v>
      </c>
      <c r="P1110" s="5">
        <f t="shared" si="9"/>
        <v>10322.75975</v>
      </c>
      <c r="Q1110" s="5">
        <f t="shared" si="7"/>
        <v>2761.918791</v>
      </c>
      <c r="R1110" s="5">
        <f t="shared" si="8"/>
        <v>7560.840961</v>
      </c>
    </row>
    <row r="1111" ht="15.75" customHeight="1">
      <c r="A1111" s="4">
        <v>2008.0</v>
      </c>
      <c r="B1111" s="4">
        <v>312.0</v>
      </c>
      <c r="C1111" s="4" t="s">
        <v>20</v>
      </c>
      <c r="D1111" s="5" t="s">
        <v>19</v>
      </c>
      <c r="E1111" s="5" t="str">
        <f t="shared" si="1"/>
        <v/>
      </c>
      <c r="F1111" s="5" t="str">
        <f t="shared" si="2"/>
        <v/>
      </c>
      <c r="G1111" s="5" t="s">
        <v>19</v>
      </c>
      <c r="H1111" s="5" t="s">
        <v>19</v>
      </c>
      <c r="I1111" s="5" t="s">
        <v>19</v>
      </c>
      <c r="J1111" s="5">
        <v>0.0</v>
      </c>
      <c r="K1111" s="5">
        <f t="shared" si="3"/>
        <v>0</v>
      </c>
      <c r="L1111" s="5">
        <f t="shared" si="4"/>
        <v>0</v>
      </c>
      <c r="M1111" s="5">
        <v>1021.0924374140682</v>
      </c>
      <c r="N1111" s="5">
        <f t="shared" si="5"/>
        <v>0</v>
      </c>
      <c r="O1111" s="5">
        <f t="shared" si="6"/>
        <v>1021.092437</v>
      </c>
      <c r="P1111" s="5">
        <f t="shared" si="9"/>
        <v>1021.092437</v>
      </c>
      <c r="Q1111" s="5">
        <f t="shared" si="7"/>
        <v>1021.092437</v>
      </c>
      <c r="R1111" s="5">
        <f t="shared" si="8"/>
        <v>0</v>
      </c>
    </row>
    <row r="1112" ht="15.75" customHeight="1">
      <c r="A1112" s="4">
        <v>2008.0</v>
      </c>
      <c r="B1112" s="4">
        <v>313.0</v>
      </c>
      <c r="C1112" s="4" t="s">
        <v>20</v>
      </c>
      <c r="D1112" s="5">
        <v>16592.198288767282</v>
      </c>
      <c r="E1112" s="5">
        <f t="shared" si="1"/>
        <v>0</v>
      </c>
      <c r="F1112" s="5">
        <f t="shared" si="2"/>
        <v>16592.19829</v>
      </c>
      <c r="G1112" s="5">
        <v>1963.4948909302304</v>
      </c>
      <c r="H1112" s="5">
        <v>1212.7528757139828</v>
      </c>
      <c r="I1112" s="5">
        <v>750.7420152162476</v>
      </c>
      <c r="J1112" s="5">
        <v>150.2720195347464</v>
      </c>
      <c r="K1112" s="5">
        <f t="shared" si="3"/>
        <v>150.2720195</v>
      </c>
      <c r="L1112" s="5">
        <f t="shared" si="4"/>
        <v>0</v>
      </c>
      <c r="M1112" s="5">
        <v>3827.2532238144886</v>
      </c>
      <c r="N1112" s="5">
        <f t="shared" si="5"/>
        <v>0</v>
      </c>
      <c r="O1112" s="5">
        <f t="shared" si="6"/>
        <v>3827.253224</v>
      </c>
      <c r="P1112" s="5">
        <f t="shared" si="9"/>
        <v>22533.21842</v>
      </c>
      <c r="Q1112" s="5">
        <f t="shared" si="7"/>
        <v>21170.19353</v>
      </c>
      <c r="R1112" s="5">
        <f t="shared" si="8"/>
        <v>1363.024895</v>
      </c>
    </row>
    <row r="1113" ht="15.75" customHeight="1">
      <c r="A1113" s="4">
        <v>2008.0</v>
      </c>
      <c r="B1113" s="4">
        <v>314.0</v>
      </c>
      <c r="C1113" s="4" t="s">
        <v>20</v>
      </c>
      <c r="D1113" s="5" t="s">
        <v>19</v>
      </c>
      <c r="E1113" s="5" t="str">
        <f t="shared" si="1"/>
        <v/>
      </c>
      <c r="F1113" s="5" t="str">
        <f t="shared" si="2"/>
        <v/>
      </c>
      <c r="G1113" s="5" t="s">
        <v>19</v>
      </c>
      <c r="H1113" s="5" t="s">
        <v>19</v>
      </c>
      <c r="I1113" s="5" t="s">
        <v>19</v>
      </c>
      <c r="J1113" s="5">
        <v>0.0</v>
      </c>
      <c r="K1113" s="5">
        <f t="shared" si="3"/>
        <v>0</v>
      </c>
      <c r="L1113" s="5">
        <f t="shared" si="4"/>
        <v>0</v>
      </c>
      <c r="M1113" s="5">
        <v>2930.55132508697</v>
      </c>
      <c r="N1113" s="5">
        <f t="shared" si="5"/>
        <v>0</v>
      </c>
      <c r="O1113" s="5">
        <f t="shared" si="6"/>
        <v>2930.551325</v>
      </c>
      <c r="P1113" s="5">
        <f t="shared" si="9"/>
        <v>2930.551325</v>
      </c>
      <c r="Q1113" s="5">
        <f t="shared" si="7"/>
        <v>2930.551325</v>
      </c>
      <c r="R1113" s="5">
        <f t="shared" si="8"/>
        <v>0</v>
      </c>
    </row>
    <row r="1114" ht="15.75" customHeight="1">
      <c r="A1114" s="4">
        <v>2008.0</v>
      </c>
      <c r="B1114" s="4">
        <v>320.0</v>
      </c>
      <c r="C1114" s="4" t="s">
        <v>20</v>
      </c>
      <c r="D1114" s="5">
        <v>131801.69105184037</v>
      </c>
      <c r="E1114" s="5">
        <f t="shared" si="1"/>
        <v>0</v>
      </c>
      <c r="F1114" s="5">
        <f t="shared" si="2"/>
        <v>131801.6911</v>
      </c>
      <c r="G1114" s="5">
        <v>26246.74880703786</v>
      </c>
      <c r="H1114" s="5">
        <v>14984.798319831873</v>
      </c>
      <c r="I1114" s="5">
        <v>11261.950487205988</v>
      </c>
      <c r="J1114" s="5">
        <v>103861.9927319855</v>
      </c>
      <c r="K1114" s="5">
        <f t="shared" si="3"/>
        <v>103861.9927</v>
      </c>
      <c r="L1114" s="5">
        <f t="shared" si="4"/>
        <v>0</v>
      </c>
      <c r="M1114" s="5">
        <v>24648.56231024905</v>
      </c>
      <c r="N1114" s="5">
        <f t="shared" si="5"/>
        <v>0</v>
      </c>
      <c r="O1114" s="5">
        <f t="shared" si="6"/>
        <v>24648.56231</v>
      </c>
      <c r="P1114" s="5">
        <f t="shared" si="9"/>
        <v>286558.9949</v>
      </c>
      <c r="Q1114" s="5">
        <f t="shared" si="7"/>
        <v>167712.2038</v>
      </c>
      <c r="R1114" s="5">
        <f t="shared" si="8"/>
        <v>118846.7911</v>
      </c>
    </row>
    <row r="1115" ht="15.75" customHeight="1">
      <c r="A1115" s="4">
        <v>2008.0</v>
      </c>
      <c r="B1115" s="4">
        <v>321.0</v>
      </c>
      <c r="C1115" s="4" t="s">
        <v>20</v>
      </c>
      <c r="D1115" s="5">
        <v>34656.21265000782</v>
      </c>
      <c r="E1115" s="5">
        <f t="shared" si="1"/>
        <v>0</v>
      </c>
      <c r="F1115" s="5">
        <f t="shared" si="2"/>
        <v>34656.21265</v>
      </c>
      <c r="G1115" s="5">
        <v>17420.762373028767</v>
      </c>
      <c r="H1115" s="5">
        <v>11569.650130426964</v>
      </c>
      <c r="I1115" s="5">
        <v>5851.112242601803</v>
      </c>
      <c r="J1115" s="5">
        <v>4602.233313718615</v>
      </c>
      <c r="K1115" s="5">
        <f t="shared" si="3"/>
        <v>4602.233314</v>
      </c>
      <c r="L1115" s="5">
        <f t="shared" si="4"/>
        <v>0</v>
      </c>
      <c r="M1115" s="5">
        <v>5042.625729383322</v>
      </c>
      <c r="N1115" s="5">
        <f t="shared" si="5"/>
        <v>0</v>
      </c>
      <c r="O1115" s="5">
        <f t="shared" si="6"/>
        <v>5042.625729</v>
      </c>
      <c r="P1115" s="5">
        <f t="shared" si="9"/>
        <v>61721.83407</v>
      </c>
      <c r="Q1115" s="5">
        <f t="shared" si="7"/>
        <v>45549.95062</v>
      </c>
      <c r="R1115" s="5">
        <f t="shared" si="8"/>
        <v>16171.88344</v>
      </c>
    </row>
    <row r="1116" ht="15.75" customHeight="1">
      <c r="A1116" s="4">
        <v>2008.0</v>
      </c>
      <c r="B1116" s="4">
        <v>322.0</v>
      </c>
      <c r="C1116" s="4" t="s">
        <v>20</v>
      </c>
      <c r="D1116" s="5">
        <v>19177.42636721078</v>
      </c>
      <c r="E1116" s="5">
        <f t="shared" si="1"/>
        <v>0</v>
      </c>
      <c r="F1116" s="5">
        <f t="shared" si="2"/>
        <v>19177.42637</v>
      </c>
      <c r="G1116" s="5" t="s">
        <v>19</v>
      </c>
      <c r="H1116" s="5" t="s">
        <v>19</v>
      </c>
      <c r="I1116" s="5" t="s">
        <v>19</v>
      </c>
      <c r="J1116" s="5">
        <v>0.0</v>
      </c>
      <c r="K1116" s="5">
        <f t="shared" si="3"/>
        <v>0</v>
      </c>
      <c r="L1116" s="5">
        <f t="shared" si="4"/>
        <v>0</v>
      </c>
      <c r="M1116" s="5">
        <v>25673.66217481152</v>
      </c>
      <c r="N1116" s="5">
        <f t="shared" si="5"/>
        <v>0</v>
      </c>
      <c r="O1116" s="5">
        <f t="shared" si="6"/>
        <v>25673.66217</v>
      </c>
      <c r="P1116" s="5">
        <f t="shared" si="9"/>
        <v>44851.08854</v>
      </c>
      <c r="Q1116" s="5">
        <f t="shared" si="7"/>
        <v>44851.08854</v>
      </c>
      <c r="R1116" s="5">
        <f t="shared" si="8"/>
        <v>0</v>
      </c>
    </row>
    <row r="1117" ht="15.75" customHeight="1">
      <c r="A1117" s="4">
        <v>2008.0</v>
      </c>
      <c r="B1117" s="4">
        <v>323.0</v>
      </c>
      <c r="C1117" s="4" t="s">
        <v>20</v>
      </c>
      <c r="D1117" s="5" t="s">
        <v>19</v>
      </c>
      <c r="E1117" s="5" t="str">
        <f t="shared" si="1"/>
        <v/>
      </c>
      <c r="F1117" s="5" t="str">
        <f t="shared" si="2"/>
        <v/>
      </c>
      <c r="G1117" s="5" t="s">
        <v>19</v>
      </c>
      <c r="H1117" s="5" t="s">
        <v>19</v>
      </c>
      <c r="I1117" s="5" t="s">
        <v>19</v>
      </c>
      <c r="J1117" s="5">
        <v>354.2998834559061</v>
      </c>
      <c r="K1117" s="5">
        <f t="shared" si="3"/>
        <v>354.2998835</v>
      </c>
      <c r="L1117" s="5">
        <f t="shared" si="4"/>
        <v>0</v>
      </c>
      <c r="M1117" s="5">
        <v>258582.76328684343</v>
      </c>
      <c r="N1117" s="5">
        <f t="shared" si="5"/>
        <v>0</v>
      </c>
      <c r="O1117" s="5">
        <f t="shared" si="6"/>
        <v>258582.7633</v>
      </c>
      <c r="P1117" s="5">
        <f t="shared" si="9"/>
        <v>258937.0632</v>
      </c>
      <c r="Q1117" s="5">
        <f t="shared" si="7"/>
        <v>258582.7633</v>
      </c>
      <c r="R1117" s="5">
        <f t="shared" si="8"/>
        <v>354.2998835</v>
      </c>
    </row>
    <row r="1118" ht="15.75" customHeight="1">
      <c r="A1118" s="4">
        <v>2008.0</v>
      </c>
      <c r="B1118" s="4">
        <v>324.0</v>
      </c>
      <c r="C1118" s="4" t="s">
        <v>20</v>
      </c>
      <c r="D1118" s="5">
        <v>18417.924332865798</v>
      </c>
      <c r="E1118" s="5">
        <f t="shared" si="1"/>
        <v>0</v>
      </c>
      <c r="F1118" s="5">
        <f t="shared" si="2"/>
        <v>18417.92433</v>
      </c>
      <c r="G1118" s="5">
        <v>2964.2108248978047</v>
      </c>
      <c r="H1118" s="5">
        <v>2026.8598957654722</v>
      </c>
      <c r="I1118" s="5">
        <v>937.3509291323326</v>
      </c>
      <c r="J1118" s="5">
        <v>0.0</v>
      </c>
      <c r="K1118" s="5">
        <f t="shared" si="3"/>
        <v>0</v>
      </c>
      <c r="L1118" s="5">
        <f t="shared" si="4"/>
        <v>0</v>
      </c>
      <c r="M1118" s="5">
        <v>199225.8744442424</v>
      </c>
      <c r="N1118" s="5">
        <f t="shared" si="5"/>
        <v>0</v>
      </c>
      <c r="O1118" s="5">
        <f t="shared" si="6"/>
        <v>199225.8744</v>
      </c>
      <c r="P1118" s="5">
        <f t="shared" si="9"/>
        <v>220608.0096</v>
      </c>
      <c r="Q1118" s="5">
        <f t="shared" si="7"/>
        <v>218581.1497</v>
      </c>
      <c r="R1118" s="5">
        <f t="shared" si="8"/>
        <v>2026.859896</v>
      </c>
    </row>
    <row r="1119" ht="15.75" customHeight="1">
      <c r="A1119" s="4">
        <v>2008.0</v>
      </c>
      <c r="B1119" s="4">
        <v>325.0</v>
      </c>
      <c r="C1119" s="4" t="s">
        <v>20</v>
      </c>
      <c r="D1119" s="5">
        <v>13863.720936094523</v>
      </c>
      <c r="E1119" s="5">
        <f t="shared" si="1"/>
        <v>0</v>
      </c>
      <c r="F1119" s="5">
        <f t="shared" si="2"/>
        <v>13863.72094</v>
      </c>
      <c r="G1119" s="5" t="s">
        <v>19</v>
      </c>
      <c r="H1119" s="5" t="s">
        <v>19</v>
      </c>
      <c r="I1119" s="5" t="s">
        <v>19</v>
      </c>
      <c r="J1119" s="5">
        <v>0.0</v>
      </c>
      <c r="K1119" s="5">
        <f t="shared" si="3"/>
        <v>0</v>
      </c>
      <c r="L1119" s="5">
        <f t="shared" si="4"/>
        <v>0</v>
      </c>
      <c r="M1119" s="5">
        <v>11052.32377822019</v>
      </c>
      <c r="N1119" s="5">
        <f t="shared" si="5"/>
        <v>0</v>
      </c>
      <c r="O1119" s="5">
        <f t="shared" si="6"/>
        <v>11052.32378</v>
      </c>
      <c r="P1119" s="5">
        <f t="shared" si="9"/>
        <v>24916.04471</v>
      </c>
      <c r="Q1119" s="5">
        <f t="shared" si="7"/>
        <v>24916.04471</v>
      </c>
      <c r="R1119" s="5">
        <f t="shared" si="8"/>
        <v>0</v>
      </c>
    </row>
    <row r="1120" ht="15.75" customHeight="1">
      <c r="A1120" s="4">
        <v>2008.0</v>
      </c>
      <c r="B1120" s="4">
        <v>326.0</v>
      </c>
      <c r="C1120" s="4" t="s">
        <v>20</v>
      </c>
      <c r="D1120" s="5">
        <v>2943.070383086803</v>
      </c>
      <c r="E1120" s="5">
        <f t="shared" si="1"/>
        <v>0</v>
      </c>
      <c r="F1120" s="5">
        <f t="shared" si="2"/>
        <v>2943.070383</v>
      </c>
      <c r="G1120" s="5" t="s">
        <v>19</v>
      </c>
      <c r="H1120" s="5" t="s">
        <v>19</v>
      </c>
      <c r="I1120" s="5" t="s">
        <v>19</v>
      </c>
      <c r="J1120" s="5">
        <v>0.0</v>
      </c>
      <c r="K1120" s="5">
        <f t="shared" si="3"/>
        <v>0</v>
      </c>
      <c r="L1120" s="5">
        <f t="shared" si="4"/>
        <v>0</v>
      </c>
      <c r="M1120" s="5">
        <v>11289.563465405878</v>
      </c>
      <c r="N1120" s="5">
        <f t="shared" si="5"/>
        <v>0</v>
      </c>
      <c r="O1120" s="5">
        <f t="shared" si="6"/>
        <v>11289.56347</v>
      </c>
      <c r="P1120" s="5">
        <f t="shared" si="9"/>
        <v>14232.63385</v>
      </c>
      <c r="Q1120" s="5">
        <f t="shared" si="7"/>
        <v>14232.63385</v>
      </c>
      <c r="R1120" s="5">
        <f t="shared" si="8"/>
        <v>0</v>
      </c>
    </row>
    <row r="1121" ht="15.75" customHeight="1">
      <c r="A1121" s="4">
        <v>2008.0</v>
      </c>
      <c r="B1121" s="4">
        <v>327.0</v>
      </c>
      <c r="C1121" s="4" t="s">
        <v>20</v>
      </c>
      <c r="D1121" s="5">
        <v>73106.00313872253</v>
      </c>
      <c r="E1121" s="5">
        <f t="shared" si="1"/>
        <v>0</v>
      </c>
      <c r="F1121" s="5">
        <f t="shared" si="2"/>
        <v>73106.00314</v>
      </c>
      <c r="G1121" s="5">
        <v>7005.524199624439</v>
      </c>
      <c r="H1121" s="5">
        <v>3522.9097105729397</v>
      </c>
      <c r="I1121" s="5">
        <v>3482.614489051499</v>
      </c>
      <c r="J1121" s="5">
        <v>109.95513624493637</v>
      </c>
      <c r="K1121" s="5">
        <f t="shared" si="3"/>
        <v>109.9551362</v>
      </c>
      <c r="L1121" s="5">
        <f t="shared" si="4"/>
        <v>0</v>
      </c>
      <c r="M1121" s="5">
        <v>22352.62714838379</v>
      </c>
      <c r="N1121" s="5">
        <f t="shared" si="5"/>
        <v>0</v>
      </c>
      <c r="O1121" s="5">
        <f t="shared" si="6"/>
        <v>22352.62715</v>
      </c>
      <c r="P1121" s="5">
        <f t="shared" si="9"/>
        <v>102574.1096</v>
      </c>
      <c r="Q1121" s="5">
        <f t="shared" si="7"/>
        <v>98941.24478</v>
      </c>
      <c r="R1121" s="5">
        <f t="shared" si="8"/>
        <v>3632.864847</v>
      </c>
    </row>
    <row r="1122" ht="15.75" customHeight="1">
      <c r="A1122" s="4">
        <v>2008.0</v>
      </c>
      <c r="B1122" s="4">
        <v>328.0</v>
      </c>
      <c r="C1122" s="4" t="s">
        <v>20</v>
      </c>
      <c r="D1122" s="5">
        <v>9645.451131437372</v>
      </c>
      <c r="E1122" s="5">
        <f t="shared" si="1"/>
        <v>0</v>
      </c>
      <c r="F1122" s="5">
        <f t="shared" si="2"/>
        <v>9645.451131</v>
      </c>
      <c r="G1122" s="5">
        <v>3317.947502376098</v>
      </c>
      <c r="H1122" s="5">
        <v>1724.7995329100963</v>
      </c>
      <c r="I1122" s="5">
        <v>1593.1479694660015</v>
      </c>
      <c r="J1122" s="5">
        <v>207.69303512932427</v>
      </c>
      <c r="K1122" s="5">
        <f t="shared" si="3"/>
        <v>207.6930351</v>
      </c>
      <c r="L1122" s="5">
        <f t="shared" si="4"/>
        <v>0</v>
      </c>
      <c r="M1122" s="5">
        <v>150825.13112829998</v>
      </c>
      <c r="N1122" s="5">
        <f t="shared" si="5"/>
        <v>0</v>
      </c>
      <c r="O1122" s="5">
        <f t="shared" si="6"/>
        <v>150825.1311</v>
      </c>
      <c r="P1122" s="5">
        <f t="shared" si="9"/>
        <v>163996.2228</v>
      </c>
      <c r="Q1122" s="5">
        <f t="shared" si="7"/>
        <v>162063.7302</v>
      </c>
      <c r="R1122" s="5">
        <f t="shared" si="8"/>
        <v>1932.492568</v>
      </c>
    </row>
    <row r="1123" ht="15.75" customHeight="1">
      <c r="A1123" s="4">
        <v>2008.0</v>
      </c>
      <c r="B1123" s="4">
        <v>331.0</v>
      </c>
      <c r="C1123" s="4" t="s">
        <v>20</v>
      </c>
      <c r="D1123" s="5">
        <v>190941.17083413913</v>
      </c>
      <c r="E1123" s="5">
        <f t="shared" si="1"/>
        <v>0</v>
      </c>
      <c r="F1123" s="5">
        <f t="shared" si="2"/>
        <v>190941.1708</v>
      </c>
      <c r="G1123" s="5">
        <v>196316.67873453232</v>
      </c>
      <c r="H1123" s="5">
        <v>49075.68358304344</v>
      </c>
      <c r="I1123" s="5">
        <v>147240.99515148887</v>
      </c>
      <c r="J1123" s="5">
        <v>4023.543504073969</v>
      </c>
      <c r="K1123" s="5">
        <f t="shared" si="3"/>
        <v>4023.543504</v>
      </c>
      <c r="L1123" s="5">
        <f t="shared" si="4"/>
        <v>0</v>
      </c>
      <c r="M1123" s="5">
        <v>36406.51386076072</v>
      </c>
      <c r="N1123" s="5">
        <f t="shared" si="5"/>
        <v>0</v>
      </c>
      <c r="O1123" s="5">
        <f t="shared" si="6"/>
        <v>36406.51386</v>
      </c>
      <c r="P1123" s="5">
        <f t="shared" si="9"/>
        <v>427687.9069</v>
      </c>
      <c r="Q1123" s="5">
        <f t="shared" si="7"/>
        <v>374588.6798</v>
      </c>
      <c r="R1123" s="5">
        <f t="shared" si="8"/>
        <v>53099.22709</v>
      </c>
    </row>
    <row r="1124" ht="15.75" customHeight="1">
      <c r="A1124" s="4">
        <v>2008.0</v>
      </c>
      <c r="B1124" s="4">
        <v>332.0</v>
      </c>
      <c r="C1124" s="4" t="s">
        <v>20</v>
      </c>
      <c r="D1124" s="5" t="s">
        <v>19</v>
      </c>
      <c r="E1124" s="5" t="str">
        <f t="shared" si="1"/>
        <v/>
      </c>
      <c r="F1124" s="5" t="str">
        <f t="shared" si="2"/>
        <v/>
      </c>
      <c r="G1124" s="5" t="s">
        <v>19</v>
      </c>
      <c r="H1124" s="5" t="s">
        <v>19</v>
      </c>
      <c r="I1124" s="5" t="s">
        <v>19</v>
      </c>
      <c r="J1124" s="5">
        <v>0.0</v>
      </c>
      <c r="K1124" s="5">
        <f t="shared" si="3"/>
        <v>0</v>
      </c>
      <c r="L1124" s="5">
        <f t="shared" si="4"/>
        <v>0</v>
      </c>
      <c r="M1124" s="5">
        <v>7569.22839791088</v>
      </c>
      <c r="N1124" s="5">
        <f t="shared" si="5"/>
        <v>0</v>
      </c>
      <c r="O1124" s="5">
        <f t="shared" si="6"/>
        <v>7569.228398</v>
      </c>
      <c r="P1124" s="5">
        <f t="shared" si="9"/>
        <v>7569.228398</v>
      </c>
      <c r="Q1124" s="5">
        <f t="shared" si="7"/>
        <v>7569.228398</v>
      </c>
      <c r="R1124" s="5">
        <f t="shared" si="8"/>
        <v>0</v>
      </c>
    </row>
    <row r="1125" ht="15.75" customHeight="1">
      <c r="A1125" s="4">
        <v>2008.0</v>
      </c>
      <c r="B1125" s="4">
        <v>333.0</v>
      </c>
      <c r="C1125" s="4" t="s">
        <v>20</v>
      </c>
      <c r="D1125" s="5" t="s">
        <v>19</v>
      </c>
      <c r="E1125" s="5" t="str">
        <f t="shared" si="1"/>
        <v/>
      </c>
      <c r="F1125" s="5" t="str">
        <f t="shared" si="2"/>
        <v/>
      </c>
      <c r="G1125" s="5" t="s">
        <v>19</v>
      </c>
      <c r="H1125" s="5" t="s">
        <v>19</v>
      </c>
      <c r="I1125" s="5" t="s">
        <v>19</v>
      </c>
      <c r="J1125" s="5">
        <v>0.0</v>
      </c>
      <c r="K1125" s="5">
        <f t="shared" si="3"/>
        <v>0</v>
      </c>
      <c r="L1125" s="5">
        <f t="shared" si="4"/>
        <v>0</v>
      </c>
      <c r="M1125" s="5">
        <v>5215.4259880226255</v>
      </c>
      <c r="N1125" s="5">
        <f t="shared" si="5"/>
        <v>0</v>
      </c>
      <c r="O1125" s="5">
        <f t="shared" si="6"/>
        <v>5215.425988</v>
      </c>
      <c r="P1125" s="5">
        <f t="shared" si="9"/>
        <v>5215.425988</v>
      </c>
      <c r="Q1125" s="5">
        <f t="shared" si="7"/>
        <v>5215.425988</v>
      </c>
      <c r="R1125" s="5">
        <f t="shared" si="8"/>
        <v>0</v>
      </c>
    </row>
    <row r="1126" ht="15.75" customHeight="1">
      <c r="A1126" s="4">
        <v>2008.0</v>
      </c>
      <c r="B1126" s="4">
        <v>400.0</v>
      </c>
      <c r="C1126" s="4" t="s">
        <v>21</v>
      </c>
      <c r="D1126" s="5">
        <v>149.3362311411724</v>
      </c>
      <c r="E1126" s="5">
        <f t="shared" si="1"/>
        <v>0</v>
      </c>
      <c r="F1126" s="5">
        <f t="shared" si="2"/>
        <v>149.3362311</v>
      </c>
      <c r="G1126" s="5" t="s">
        <v>19</v>
      </c>
      <c r="H1126" s="5" t="s">
        <v>19</v>
      </c>
      <c r="I1126" s="5" t="s">
        <v>19</v>
      </c>
      <c r="J1126" s="5">
        <v>49633.36292148731</v>
      </c>
      <c r="K1126" s="5">
        <f t="shared" si="3"/>
        <v>49633.36292</v>
      </c>
      <c r="L1126" s="5">
        <f t="shared" si="4"/>
        <v>0</v>
      </c>
      <c r="M1126" s="5">
        <v>120.54774097775237</v>
      </c>
      <c r="N1126" s="5">
        <f t="shared" si="5"/>
        <v>0</v>
      </c>
      <c r="O1126" s="5">
        <f t="shared" si="6"/>
        <v>120.547741</v>
      </c>
      <c r="P1126" s="5">
        <f t="shared" si="9"/>
        <v>49903.24689</v>
      </c>
      <c r="Q1126" s="5">
        <f t="shared" si="7"/>
        <v>269.8839721</v>
      </c>
      <c r="R1126" s="5">
        <f t="shared" si="8"/>
        <v>49633.36292</v>
      </c>
    </row>
    <row r="1127" ht="15.75" customHeight="1">
      <c r="A1127" s="4">
        <v>2008.0</v>
      </c>
      <c r="B1127" s="4">
        <v>401.0</v>
      </c>
      <c r="C1127" s="4" t="s">
        <v>21</v>
      </c>
      <c r="D1127" s="5">
        <v>10801.987385878138</v>
      </c>
      <c r="E1127" s="5">
        <f t="shared" si="1"/>
        <v>0</v>
      </c>
      <c r="F1127" s="5">
        <f t="shared" si="2"/>
        <v>10801.98739</v>
      </c>
      <c r="G1127" s="5">
        <v>16007.896636996982</v>
      </c>
      <c r="H1127" s="5">
        <v>11781.816176312852</v>
      </c>
      <c r="I1127" s="5">
        <v>4226.08046068413</v>
      </c>
      <c r="J1127" s="5">
        <v>193777.60610801325</v>
      </c>
      <c r="K1127" s="5">
        <f t="shared" si="3"/>
        <v>193777.6061</v>
      </c>
      <c r="L1127" s="5">
        <f t="shared" si="4"/>
        <v>0</v>
      </c>
      <c r="M1127" s="5">
        <v>4044.4904340875364</v>
      </c>
      <c r="N1127" s="5">
        <f t="shared" si="5"/>
        <v>0</v>
      </c>
      <c r="O1127" s="5">
        <f t="shared" si="6"/>
        <v>4044.490434</v>
      </c>
      <c r="P1127" s="5">
        <f t="shared" si="9"/>
        <v>224631.9806</v>
      </c>
      <c r="Q1127" s="5">
        <f t="shared" si="7"/>
        <v>19072.55828</v>
      </c>
      <c r="R1127" s="5">
        <f t="shared" si="8"/>
        <v>205559.4223</v>
      </c>
    </row>
    <row r="1128" ht="15.75" customHeight="1">
      <c r="A1128" s="4">
        <v>2008.0</v>
      </c>
      <c r="B1128" s="4">
        <v>402.0</v>
      </c>
      <c r="C1128" s="4" t="s">
        <v>21</v>
      </c>
      <c r="D1128" s="5">
        <v>1736.7250584565975</v>
      </c>
      <c r="E1128" s="5">
        <f t="shared" si="1"/>
        <v>0</v>
      </c>
      <c r="F1128" s="5">
        <f t="shared" si="2"/>
        <v>1736.725058</v>
      </c>
      <c r="G1128" s="5">
        <v>6796.527126039255</v>
      </c>
      <c r="H1128" s="5">
        <v>3916.572493039651</v>
      </c>
      <c r="I1128" s="5">
        <v>2879.9546329996037</v>
      </c>
      <c r="J1128" s="5">
        <v>267204.99768344854</v>
      </c>
      <c r="K1128" s="5">
        <f t="shared" si="3"/>
        <v>267204.9977</v>
      </c>
      <c r="L1128" s="5">
        <f t="shared" si="4"/>
        <v>0</v>
      </c>
      <c r="M1128" s="5">
        <v>5905.929513638341</v>
      </c>
      <c r="N1128" s="5">
        <f t="shared" si="5"/>
        <v>0</v>
      </c>
      <c r="O1128" s="5">
        <f t="shared" si="6"/>
        <v>5905.929514</v>
      </c>
      <c r="P1128" s="5">
        <f t="shared" si="9"/>
        <v>281644.1794</v>
      </c>
      <c r="Q1128" s="5">
        <f t="shared" si="7"/>
        <v>10522.60921</v>
      </c>
      <c r="R1128" s="5">
        <f t="shared" si="8"/>
        <v>271121.5702</v>
      </c>
    </row>
    <row r="1129" ht="15.75" customHeight="1">
      <c r="A1129" s="4">
        <v>2008.0</v>
      </c>
      <c r="B1129" s="4">
        <v>403.0</v>
      </c>
      <c r="C1129" s="4" t="s">
        <v>21</v>
      </c>
      <c r="D1129" s="5">
        <v>7010.506406349483</v>
      </c>
      <c r="E1129" s="5">
        <f t="shared" si="1"/>
        <v>0</v>
      </c>
      <c r="F1129" s="5">
        <f t="shared" si="2"/>
        <v>7010.506406</v>
      </c>
      <c r="G1129" s="5">
        <v>17429.486289210214</v>
      </c>
      <c r="H1129" s="5">
        <v>10457.479199372527</v>
      </c>
      <c r="I1129" s="5">
        <v>6972.007089837687</v>
      </c>
      <c r="J1129" s="5">
        <v>459491.32678628515</v>
      </c>
      <c r="K1129" s="5">
        <f t="shared" si="3"/>
        <v>459491.3268</v>
      </c>
      <c r="L1129" s="5">
        <f t="shared" si="4"/>
        <v>0</v>
      </c>
      <c r="M1129" s="5">
        <v>29749.180925911933</v>
      </c>
      <c r="N1129" s="5">
        <f t="shared" si="5"/>
        <v>0</v>
      </c>
      <c r="O1129" s="5">
        <f t="shared" si="6"/>
        <v>29749.18093</v>
      </c>
      <c r="P1129" s="5">
        <f t="shared" si="9"/>
        <v>513680.5004</v>
      </c>
      <c r="Q1129" s="5">
        <f t="shared" si="7"/>
        <v>43731.69442</v>
      </c>
      <c r="R1129" s="5">
        <f t="shared" si="8"/>
        <v>469948.806</v>
      </c>
    </row>
    <row r="1130" ht="15.75" customHeight="1">
      <c r="A1130" s="4">
        <v>2008.0</v>
      </c>
      <c r="B1130" s="4">
        <v>404.0</v>
      </c>
      <c r="C1130" s="4" t="s">
        <v>21</v>
      </c>
      <c r="D1130" s="5">
        <v>11144.907620350457</v>
      </c>
      <c r="E1130" s="5">
        <f t="shared" si="1"/>
        <v>0</v>
      </c>
      <c r="F1130" s="5">
        <f t="shared" si="2"/>
        <v>11144.90762</v>
      </c>
      <c r="G1130" s="5">
        <v>19599.86839748641</v>
      </c>
      <c r="H1130" s="5">
        <v>12174.972073399707</v>
      </c>
      <c r="I1130" s="5">
        <v>7424.896324086703</v>
      </c>
      <c r="J1130" s="5">
        <v>328290.5519625546</v>
      </c>
      <c r="K1130" s="5">
        <f t="shared" si="3"/>
        <v>328290.552</v>
      </c>
      <c r="L1130" s="5">
        <f t="shared" si="4"/>
        <v>0</v>
      </c>
      <c r="M1130" s="5">
        <v>15124.147031636705</v>
      </c>
      <c r="N1130" s="5">
        <f t="shared" si="5"/>
        <v>0</v>
      </c>
      <c r="O1130" s="5">
        <f t="shared" si="6"/>
        <v>15124.14703</v>
      </c>
      <c r="P1130" s="5">
        <f t="shared" si="9"/>
        <v>374159.475</v>
      </c>
      <c r="Q1130" s="5">
        <f t="shared" si="7"/>
        <v>33693.95098</v>
      </c>
      <c r="R1130" s="5">
        <f t="shared" si="8"/>
        <v>340465.524</v>
      </c>
    </row>
    <row r="1131" ht="15.75" customHeight="1">
      <c r="A1131" s="4">
        <v>2008.0</v>
      </c>
      <c r="B1131" s="4">
        <v>405.0</v>
      </c>
      <c r="C1131" s="4" t="s">
        <v>21</v>
      </c>
      <c r="D1131" s="5">
        <v>7693.581389532252</v>
      </c>
      <c r="E1131" s="5">
        <f t="shared" si="1"/>
        <v>0</v>
      </c>
      <c r="F1131" s="5">
        <f t="shared" si="2"/>
        <v>7693.58139</v>
      </c>
      <c r="G1131" s="5">
        <v>5165.02049714407</v>
      </c>
      <c r="H1131" s="5">
        <v>3222.6241686059925</v>
      </c>
      <c r="I1131" s="5">
        <v>1942.3963285380773</v>
      </c>
      <c r="J1131" s="5">
        <v>66155.41607191961</v>
      </c>
      <c r="K1131" s="5">
        <f t="shared" si="3"/>
        <v>66155.41607</v>
      </c>
      <c r="L1131" s="5">
        <f t="shared" si="4"/>
        <v>0</v>
      </c>
      <c r="M1131" s="5">
        <v>1369.2403786529621</v>
      </c>
      <c r="N1131" s="5">
        <f t="shared" si="5"/>
        <v>0</v>
      </c>
      <c r="O1131" s="5">
        <f t="shared" si="6"/>
        <v>1369.240379</v>
      </c>
      <c r="P1131" s="5">
        <f t="shared" si="9"/>
        <v>80383.25834</v>
      </c>
      <c r="Q1131" s="5">
        <f t="shared" si="7"/>
        <v>11005.2181</v>
      </c>
      <c r="R1131" s="5">
        <f t="shared" si="8"/>
        <v>69378.04024</v>
      </c>
    </row>
    <row r="1132" ht="15.75" customHeight="1">
      <c r="A1132" s="4">
        <v>2008.0</v>
      </c>
      <c r="B1132" s="4">
        <v>406.0</v>
      </c>
      <c r="C1132" s="4" t="s">
        <v>21</v>
      </c>
      <c r="D1132" s="5">
        <v>3702.985435148701</v>
      </c>
      <c r="E1132" s="5">
        <f t="shared" si="1"/>
        <v>0</v>
      </c>
      <c r="F1132" s="5">
        <f t="shared" si="2"/>
        <v>3702.985435</v>
      </c>
      <c r="G1132" s="5" t="s">
        <v>19</v>
      </c>
      <c r="H1132" s="5" t="s">
        <v>19</v>
      </c>
      <c r="I1132" s="5" t="s">
        <v>19</v>
      </c>
      <c r="J1132" s="5">
        <v>58610.226460427606</v>
      </c>
      <c r="K1132" s="5">
        <f t="shared" si="3"/>
        <v>58610.22646</v>
      </c>
      <c r="L1132" s="5">
        <f t="shared" si="4"/>
        <v>0</v>
      </c>
      <c r="M1132" s="5">
        <v>2278.1248559116375</v>
      </c>
      <c r="N1132" s="5">
        <f t="shared" si="5"/>
        <v>0</v>
      </c>
      <c r="O1132" s="5">
        <f t="shared" si="6"/>
        <v>2278.124856</v>
      </c>
      <c r="P1132" s="5">
        <f t="shared" si="9"/>
        <v>64591.33675</v>
      </c>
      <c r="Q1132" s="5">
        <f t="shared" si="7"/>
        <v>5981.110291</v>
      </c>
      <c r="R1132" s="5">
        <f t="shared" si="8"/>
        <v>58610.22646</v>
      </c>
    </row>
    <row r="1133" ht="15.75" customHeight="1">
      <c r="A1133" s="4">
        <v>2008.0</v>
      </c>
      <c r="B1133" s="4">
        <v>407.0</v>
      </c>
      <c r="C1133" s="4" t="s">
        <v>21</v>
      </c>
      <c r="D1133" s="5">
        <v>5777.099756553874</v>
      </c>
      <c r="E1133" s="5">
        <f t="shared" si="1"/>
        <v>0</v>
      </c>
      <c r="F1133" s="5">
        <f t="shared" si="2"/>
        <v>5777.099757</v>
      </c>
      <c r="G1133" s="5">
        <v>5518.956462891364</v>
      </c>
      <c r="H1133" s="5">
        <v>4293.997902759963</v>
      </c>
      <c r="I1133" s="5">
        <v>1224.958560131401</v>
      </c>
      <c r="J1133" s="5">
        <v>133939.71625464375</v>
      </c>
      <c r="K1133" s="5">
        <f t="shared" si="3"/>
        <v>133939.7163</v>
      </c>
      <c r="L1133" s="5">
        <f t="shared" si="4"/>
        <v>0</v>
      </c>
      <c r="M1133" s="5">
        <v>2170.3142347353096</v>
      </c>
      <c r="N1133" s="5">
        <f t="shared" si="5"/>
        <v>0</v>
      </c>
      <c r="O1133" s="5">
        <f t="shared" si="6"/>
        <v>2170.314235</v>
      </c>
      <c r="P1133" s="5">
        <f t="shared" si="9"/>
        <v>147406.0867</v>
      </c>
      <c r="Q1133" s="5">
        <f t="shared" si="7"/>
        <v>9172.372551</v>
      </c>
      <c r="R1133" s="5">
        <f t="shared" si="8"/>
        <v>138233.7142</v>
      </c>
    </row>
    <row r="1134" ht="15.75" customHeight="1">
      <c r="A1134" s="4">
        <v>2008.0</v>
      </c>
      <c r="B1134" s="4">
        <v>408.0</v>
      </c>
      <c r="C1134" s="4" t="s">
        <v>21</v>
      </c>
      <c r="D1134" s="5" t="s">
        <v>19</v>
      </c>
      <c r="E1134" s="5" t="str">
        <f t="shared" si="1"/>
        <v/>
      </c>
      <c r="F1134" s="5" t="str">
        <f t="shared" si="2"/>
        <v/>
      </c>
      <c r="G1134" s="5" t="s">
        <v>19</v>
      </c>
      <c r="H1134" s="5" t="s">
        <v>19</v>
      </c>
      <c r="I1134" s="5" t="s">
        <v>19</v>
      </c>
      <c r="J1134" s="5">
        <v>22217.147228409813</v>
      </c>
      <c r="K1134" s="5">
        <f t="shared" si="3"/>
        <v>22217.14723</v>
      </c>
      <c r="L1134" s="5">
        <f t="shared" si="4"/>
        <v>0</v>
      </c>
      <c r="M1134" s="5">
        <v>545.8765629181244</v>
      </c>
      <c r="N1134" s="5">
        <f t="shared" si="5"/>
        <v>0</v>
      </c>
      <c r="O1134" s="5">
        <f t="shared" si="6"/>
        <v>545.8765629</v>
      </c>
      <c r="P1134" s="5">
        <f t="shared" si="9"/>
        <v>22763.02379</v>
      </c>
      <c r="Q1134" s="5">
        <f t="shared" si="7"/>
        <v>545.8765629</v>
      </c>
      <c r="R1134" s="5">
        <f t="shared" si="8"/>
        <v>22217.14723</v>
      </c>
    </row>
    <row r="1135" ht="15.75" customHeight="1">
      <c r="A1135" s="4">
        <v>2008.0</v>
      </c>
      <c r="B1135" s="4">
        <v>409.0</v>
      </c>
      <c r="C1135" s="4" t="s">
        <v>21</v>
      </c>
      <c r="D1135" s="5">
        <v>353.98217751981605</v>
      </c>
      <c r="E1135" s="5">
        <f t="shared" si="1"/>
        <v>0</v>
      </c>
      <c r="F1135" s="5">
        <f t="shared" si="2"/>
        <v>353.9821775</v>
      </c>
      <c r="G1135" s="5">
        <v>3963.9765292928914</v>
      </c>
      <c r="H1135" s="5">
        <v>3004.416799933562</v>
      </c>
      <c r="I1135" s="5">
        <v>959.5597293593296</v>
      </c>
      <c r="J1135" s="5">
        <v>115016.3391068736</v>
      </c>
      <c r="K1135" s="5">
        <f t="shared" si="3"/>
        <v>115016.3391</v>
      </c>
      <c r="L1135" s="5">
        <f t="shared" si="4"/>
        <v>0</v>
      </c>
      <c r="M1135" s="5">
        <v>1478.8705883723514</v>
      </c>
      <c r="N1135" s="5">
        <f t="shared" si="5"/>
        <v>0</v>
      </c>
      <c r="O1135" s="5">
        <f t="shared" si="6"/>
        <v>1478.870588</v>
      </c>
      <c r="P1135" s="5">
        <f t="shared" si="9"/>
        <v>120813.1684</v>
      </c>
      <c r="Q1135" s="5">
        <f t="shared" si="7"/>
        <v>2792.412495</v>
      </c>
      <c r="R1135" s="5">
        <f t="shared" si="8"/>
        <v>118020.7559</v>
      </c>
    </row>
    <row r="1136" ht="15.75" customHeight="1">
      <c r="A1136" s="4">
        <v>2008.0</v>
      </c>
      <c r="B1136" s="4">
        <v>420.0</v>
      </c>
      <c r="C1136" s="4" t="s">
        <v>21</v>
      </c>
      <c r="D1136" s="5">
        <v>3700.2199493868275</v>
      </c>
      <c r="E1136" s="5">
        <f t="shared" si="1"/>
        <v>0</v>
      </c>
      <c r="F1136" s="5">
        <f t="shared" si="2"/>
        <v>3700.219949</v>
      </c>
      <c r="G1136" s="5" t="s">
        <v>19</v>
      </c>
      <c r="H1136" s="5" t="s">
        <v>19</v>
      </c>
      <c r="I1136" s="5" t="s">
        <v>19</v>
      </c>
      <c r="J1136" s="5">
        <v>0.0</v>
      </c>
      <c r="K1136" s="5">
        <f t="shared" si="3"/>
        <v>0</v>
      </c>
      <c r="L1136" s="5">
        <f t="shared" si="4"/>
        <v>0</v>
      </c>
      <c r="M1136" s="5">
        <v>12334.626815697928</v>
      </c>
      <c r="N1136" s="5">
        <f t="shared" si="5"/>
        <v>0</v>
      </c>
      <c r="O1136" s="5">
        <f t="shared" si="6"/>
        <v>12334.62682</v>
      </c>
      <c r="P1136" s="5">
        <f t="shared" si="9"/>
        <v>16034.84677</v>
      </c>
      <c r="Q1136" s="5">
        <f t="shared" si="7"/>
        <v>16034.84677</v>
      </c>
      <c r="R1136" s="5">
        <f t="shared" si="8"/>
        <v>0</v>
      </c>
    </row>
    <row r="1137" ht="15.75" customHeight="1">
      <c r="A1137" s="4">
        <v>2008.0</v>
      </c>
      <c r="B1137" s="4">
        <v>421.0</v>
      </c>
      <c r="C1137" s="4" t="s">
        <v>21</v>
      </c>
      <c r="D1137" s="5">
        <v>2726.7689612073336</v>
      </c>
      <c r="E1137" s="5">
        <f t="shared" si="1"/>
        <v>0</v>
      </c>
      <c r="F1137" s="5">
        <f t="shared" si="2"/>
        <v>2726.768961</v>
      </c>
      <c r="G1137" s="5" t="s">
        <v>19</v>
      </c>
      <c r="H1137" s="5" t="s">
        <v>19</v>
      </c>
      <c r="I1137" s="5" t="s">
        <v>19</v>
      </c>
      <c r="J1137" s="5">
        <v>20123.039094799347</v>
      </c>
      <c r="K1137" s="5">
        <f t="shared" si="3"/>
        <v>20123.03909</v>
      </c>
      <c r="L1137" s="5">
        <f t="shared" si="4"/>
        <v>0</v>
      </c>
      <c r="M1137" s="5">
        <v>125049.5849921382</v>
      </c>
      <c r="N1137" s="5">
        <f t="shared" si="5"/>
        <v>0</v>
      </c>
      <c r="O1137" s="5">
        <f t="shared" si="6"/>
        <v>125049.585</v>
      </c>
      <c r="P1137" s="5">
        <f t="shared" si="9"/>
        <v>147899.393</v>
      </c>
      <c r="Q1137" s="5">
        <f t="shared" si="7"/>
        <v>127776.354</v>
      </c>
      <c r="R1137" s="5">
        <f t="shared" si="8"/>
        <v>20123.03909</v>
      </c>
    </row>
    <row r="1138" ht="15.75" customHeight="1">
      <c r="A1138" s="4">
        <v>2008.0</v>
      </c>
      <c r="B1138" s="4">
        <v>422.0</v>
      </c>
      <c r="C1138" s="4" t="s">
        <v>21</v>
      </c>
      <c r="D1138" s="5">
        <v>2195.7956949276086</v>
      </c>
      <c r="E1138" s="5">
        <f t="shared" si="1"/>
        <v>0</v>
      </c>
      <c r="F1138" s="5">
        <f t="shared" si="2"/>
        <v>2195.795695</v>
      </c>
      <c r="G1138" s="5" t="s">
        <v>19</v>
      </c>
      <c r="H1138" s="5" t="s">
        <v>19</v>
      </c>
      <c r="I1138" s="5" t="s">
        <v>19</v>
      </c>
      <c r="J1138" s="5">
        <v>13143.478690742912</v>
      </c>
      <c r="K1138" s="5">
        <f t="shared" si="3"/>
        <v>13143.47869</v>
      </c>
      <c r="L1138" s="5">
        <f t="shared" si="4"/>
        <v>0</v>
      </c>
      <c r="M1138" s="5">
        <v>104072.82239117479</v>
      </c>
      <c r="N1138" s="5">
        <f t="shared" si="5"/>
        <v>0</v>
      </c>
      <c r="O1138" s="5">
        <f t="shared" si="6"/>
        <v>104072.8224</v>
      </c>
      <c r="P1138" s="5">
        <f t="shared" si="9"/>
        <v>119412.0968</v>
      </c>
      <c r="Q1138" s="5">
        <f t="shared" si="7"/>
        <v>106268.6181</v>
      </c>
      <c r="R1138" s="5">
        <f t="shared" si="8"/>
        <v>13143.47869</v>
      </c>
    </row>
    <row r="1139" ht="15.75" customHeight="1">
      <c r="A1139" s="4">
        <v>2008.0</v>
      </c>
      <c r="B1139" s="4">
        <v>423.0</v>
      </c>
      <c r="C1139" s="4" t="s">
        <v>21</v>
      </c>
      <c r="D1139" s="5">
        <v>41539.25543479805</v>
      </c>
      <c r="E1139" s="5">
        <f t="shared" si="1"/>
        <v>0</v>
      </c>
      <c r="F1139" s="5">
        <f t="shared" si="2"/>
        <v>41539.25543</v>
      </c>
      <c r="G1139" s="5">
        <v>7825.917464856834</v>
      </c>
      <c r="H1139" s="5">
        <v>4796.52320187504</v>
      </c>
      <c r="I1139" s="5">
        <v>3029.394262981794</v>
      </c>
      <c r="J1139" s="5">
        <v>83939.93441235663</v>
      </c>
      <c r="K1139" s="5">
        <f t="shared" si="3"/>
        <v>83939.93441</v>
      </c>
      <c r="L1139" s="5">
        <f t="shared" si="4"/>
        <v>0</v>
      </c>
      <c r="M1139" s="5">
        <v>255124.69158135494</v>
      </c>
      <c r="N1139" s="5">
        <f t="shared" si="5"/>
        <v>0</v>
      </c>
      <c r="O1139" s="5">
        <f t="shared" si="6"/>
        <v>255124.6916</v>
      </c>
      <c r="P1139" s="5">
        <f t="shared" si="9"/>
        <v>388429.7989</v>
      </c>
      <c r="Q1139" s="5">
        <f t="shared" si="7"/>
        <v>299693.3413</v>
      </c>
      <c r="R1139" s="5">
        <f t="shared" si="8"/>
        <v>88736.45761</v>
      </c>
    </row>
    <row r="1140" ht="15.75" customHeight="1">
      <c r="A1140" s="4">
        <v>2008.0</v>
      </c>
      <c r="B1140" s="4">
        <v>424.0</v>
      </c>
      <c r="C1140" s="4" t="s">
        <v>21</v>
      </c>
      <c r="D1140" s="5">
        <v>1008.2961087791011</v>
      </c>
      <c r="E1140" s="5">
        <f t="shared" si="1"/>
        <v>0</v>
      </c>
      <c r="F1140" s="5">
        <f t="shared" si="2"/>
        <v>1008.296109</v>
      </c>
      <c r="G1140" s="5">
        <v>2402.087935702356</v>
      </c>
      <c r="H1140" s="5">
        <v>1529.4710351662345</v>
      </c>
      <c r="I1140" s="5">
        <v>872.6169005361214</v>
      </c>
      <c r="J1140" s="5">
        <v>5910.305190849028</v>
      </c>
      <c r="K1140" s="5">
        <f t="shared" si="3"/>
        <v>5910.305191</v>
      </c>
      <c r="L1140" s="5">
        <f t="shared" si="4"/>
        <v>0</v>
      </c>
      <c r="M1140" s="5">
        <v>52595.20683716124</v>
      </c>
      <c r="N1140" s="5">
        <f t="shared" si="5"/>
        <v>0</v>
      </c>
      <c r="O1140" s="5">
        <f t="shared" si="6"/>
        <v>52595.20684</v>
      </c>
      <c r="P1140" s="5">
        <f t="shared" si="9"/>
        <v>61915.89607</v>
      </c>
      <c r="Q1140" s="5">
        <f t="shared" si="7"/>
        <v>54476.11985</v>
      </c>
      <c r="R1140" s="5">
        <f t="shared" si="8"/>
        <v>7439.776226</v>
      </c>
    </row>
    <row r="1141" ht="15.75" customHeight="1">
      <c r="A1141" s="4">
        <v>2008.0</v>
      </c>
      <c r="B1141" s="4">
        <v>425.0</v>
      </c>
      <c r="C1141" s="4" t="s">
        <v>21</v>
      </c>
      <c r="D1141" s="5">
        <v>4737.830207241788</v>
      </c>
      <c r="E1141" s="5">
        <f t="shared" si="1"/>
        <v>0</v>
      </c>
      <c r="F1141" s="5">
        <f t="shared" si="2"/>
        <v>4737.830207</v>
      </c>
      <c r="G1141" s="5">
        <v>1275.4449216118703</v>
      </c>
      <c r="H1141" s="5">
        <v>492.6406009725849</v>
      </c>
      <c r="I1141" s="5">
        <v>782.8043206392854</v>
      </c>
      <c r="J1141" s="5">
        <v>684.0353215804967</v>
      </c>
      <c r="K1141" s="5">
        <f t="shared" si="3"/>
        <v>684.0353216</v>
      </c>
      <c r="L1141" s="5">
        <f t="shared" si="4"/>
        <v>0</v>
      </c>
      <c r="M1141" s="5">
        <v>384178.5541007789</v>
      </c>
      <c r="N1141" s="5">
        <f t="shared" si="5"/>
        <v>0</v>
      </c>
      <c r="O1141" s="5">
        <f t="shared" si="6"/>
        <v>384178.5541</v>
      </c>
      <c r="P1141" s="5">
        <f t="shared" si="9"/>
        <v>390875.8646</v>
      </c>
      <c r="Q1141" s="5">
        <f t="shared" si="7"/>
        <v>389699.1886</v>
      </c>
      <c r="R1141" s="5">
        <f t="shared" si="8"/>
        <v>1176.675923</v>
      </c>
    </row>
    <row r="1142" ht="15.75" customHeight="1">
      <c r="A1142" s="4">
        <v>2008.0</v>
      </c>
      <c r="B1142" s="4">
        <v>426.0</v>
      </c>
      <c r="C1142" s="4" t="s">
        <v>21</v>
      </c>
      <c r="D1142" s="5" t="s">
        <v>19</v>
      </c>
      <c r="E1142" s="5" t="str">
        <f t="shared" si="1"/>
        <v/>
      </c>
      <c r="F1142" s="5" t="str">
        <f t="shared" si="2"/>
        <v/>
      </c>
      <c r="G1142" s="5" t="s">
        <v>19</v>
      </c>
      <c r="H1142" s="5" t="s">
        <v>19</v>
      </c>
      <c r="I1142" s="5" t="s">
        <v>19</v>
      </c>
      <c r="J1142" s="5">
        <v>0.0</v>
      </c>
      <c r="K1142" s="5">
        <f t="shared" si="3"/>
        <v>0</v>
      </c>
      <c r="L1142" s="5">
        <f t="shared" si="4"/>
        <v>0</v>
      </c>
      <c r="M1142" s="5">
        <v>171094.36405370908</v>
      </c>
      <c r="N1142" s="5">
        <f t="shared" si="5"/>
        <v>0</v>
      </c>
      <c r="O1142" s="5">
        <f t="shared" si="6"/>
        <v>171094.3641</v>
      </c>
      <c r="P1142" s="5">
        <f t="shared" si="9"/>
        <v>171094.3641</v>
      </c>
      <c r="Q1142" s="5">
        <f t="shared" si="7"/>
        <v>171094.3641</v>
      </c>
      <c r="R1142" s="5">
        <f t="shared" si="8"/>
        <v>0</v>
      </c>
    </row>
    <row r="1143" ht="15.75" customHeight="1">
      <c r="A1143" s="4">
        <v>2008.0</v>
      </c>
      <c r="B1143" s="4">
        <v>427.0</v>
      </c>
      <c r="C1143" s="4" t="s">
        <v>21</v>
      </c>
      <c r="D1143" s="5">
        <v>1438.0525961742528</v>
      </c>
      <c r="E1143" s="5">
        <f t="shared" si="1"/>
        <v>0</v>
      </c>
      <c r="F1143" s="5">
        <f t="shared" si="2"/>
        <v>1438.052596</v>
      </c>
      <c r="G1143" s="5">
        <v>322.5812780910022</v>
      </c>
      <c r="H1143" s="5">
        <v>159.2180410478818</v>
      </c>
      <c r="I1143" s="5">
        <v>163.36323704312042</v>
      </c>
      <c r="J1143" s="5">
        <v>0.0</v>
      </c>
      <c r="K1143" s="5">
        <f t="shared" si="3"/>
        <v>0</v>
      </c>
      <c r="L1143" s="5">
        <f t="shared" si="4"/>
        <v>0</v>
      </c>
      <c r="M1143" s="5">
        <v>201252.4975046739</v>
      </c>
      <c r="N1143" s="5">
        <f t="shared" si="5"/>
        <v>0</v>
      </c>
      <c r="O1143" s="5">
        <f t="shared" si="6"/>
        <v>201252.4975</v>
      </c>
      <c r="P1143" s="5">
        <f t="shared" si="9"/>
        <v>203013.1314</v>
      </c>
      <c r="Q1143" s="5">
        <f t="shared" si="7"/>
        <v>202853.9133</v>
      </c>
      <c r="R1143" s="5">
        <f t="shared" si="8"/>
        <v>159.218041</v>
      </c>
    </row>
    <row r="1144" ht="15.75" customHeight="1">
      <c r="A1144" s="4">
        <v>2008.0</v>
      </c>
      <c r="B1144" s="4">
        <v>428.0</v>
      </c>
      <c r="C1144" s="4" t="s">
        <v>21</v>
      </c>
      <c r="D1144" s="5" t="s">
        <v>19</v>
      </c>
      <c r="E1144" s="5" t="str">
        <f t="shared" si="1"/>
        <v/>
      </c>
      <c r="F1144" s="5" t="str">
        <f t="shared" si="2"/>
        <v/>
      </c>
      <c r="G1144" s="5" t="s">
        <v>19</v>
      </c>
      <c r="H1144" s="5" t="s">
        <v>19</v>
      </c>
      <c r="I1144" s="5" t="s">
        <v>19</v>
      </c>
      <c r="J1144" s="5">
        <v>0.0</v>
      </c>
      <c r="K1144" s="5">
        <f t="shared" si="3"/>
        <v>0</v>
      </c>
      <c r="L1144" s="5">
        <f t="shared" si="4"/>
        <v>0</v>
      </c>
      <c r="M1144" s="5">
        <v>21462.865680241957</v>
      </c>
      <c r="N1144" s="5">
        <f t="shared" si="5"/>
        <v>0</v>
      </c>
      <c r="O1144" s="5">
        <f t="shared" si="6"/>
        <v>21462.86568</v>
      </c>
      <c r="P1144" s="5">
        <f t="shared" si="9"/>
        <v>21462.86568</v>
      </c>
      <c r="Q1144" s="5">
        <f t="shared" si="7"/>
        <v>21462.86568</v>
      </c>
      <c r="R1144" s="5">
        <f t="shared" si="8"/>
        <v>0</v>
      </c>
    </row>
    <row r="1145" ht="15.75" customHeight="1">
      <c r="A1145" s="4">
        <v>2008.0</v>
      </c>
      <c r="B1145" s="4">
        <v>429.0</v>
      </c>
      <c r="C1145" s="4" t="s">
        <v>21</v>
      </c>
      <c r="D1145" s="5">
        <v>11434.730528194808</v>
      </c>
      <c r="E1145" s="5">
        <f t="shared" si="1"/>
        <v>0</v>
      </c>
      <c r="F1145" s="5">
        <f t="shared" si="2"/>
        <v>11434.73053</v>
      </c>
      <c r="G1145" s="5">
        <v>1818.5718840649251</v>
      </c>
      <c r="H1145" s="5">
        <v>1274.0631896134578</v>
      </c>
      <c r="I1145" s="5">
        <v>544.5086944514674</v>
      </c>
      <c r="J1145" s="5">
        <v>318.0164214365467</v>
      </c>
      <c r="K1145" s="5">
        <f t="shared" si="3"/>
        <v>318.0164214</v>
      </c>
      <c r="L1145" s="5">
        <f t="shared" si="4"/>
        <v>0</v>
      </c>
      <c r="M1145" s="5">
        <v>10246.10308597319</v>
      </c>
      <c r="N1145" s="5">
        <f t="shared" si="5"/>
        <v>0</v>
      </c>
      <c r="O1145" s="5">
        <f t="shared" si="6"/>
        <v>10246.10309</v>
      </c>
      <c r="P1145" s="5">
        <f t="shared" si="9"/>
        <v>23817.42192</v>
      </c>
      <c r="Q1145" s="5">
        <f t="shared" si="7"/>
        <v>22225.34231</v>
      </c>
      <c r="R1145" s="5">
        <f t="shared" si="8"/>
        <v>1592.079611</v>
      </c>
    </row>
    <row r="1146" ht="15.75" customHeight="1">
      <c r="A1146" s="4">
        <v>2008.0</v>
      </c>
      <c r="B1146" s="4">
        <v>500.0</v>
      </c>
      <c r="C1146" s="4" t="s">
        <v>22</v>
      </c>
      <c r="D1146" s="5">
        <v>4508.992397947789</v>
      </c>
      <c r="E1146" s="5">
        <f t="shared" si="1"/>
        <v>0</v>
      </c>
      <c r="F1146" s="5">
        <f t="shared" si="2"/>
        <v>4508.992398</v>
      </c>
      <c r="G1146" s="5">
        <v>20607.79336796745</v>
      </c>
      <c r="H1146" s="5">
        <v>10770.681798230155</v>
      </c>
      <c r="I1146" s="5">
        <v>9837.111569737295</v>
      </c>
      <c r="J1146" s="5">
        <v>518868.9156147401</v>
      </c>
      <c r="K1146" s="5">
        <f t="shared" si="3"/>
        <v>518868.9156</v>
      </c>
      <c r="L1146" s="5">
        <f t="shared" si="4"/>
        <v>0</v>
      </c>
      <c r="M1146" s="5">
        <v>43487.59575257679</v>
      </c>
      <c r="N1146" s="5">
        <f t="shared" si="5"/>
        <v>0</v>
      </c>
      <c r="O1146" s="5">
        <f t="shared" si="6"/>
        <v>43487.59575</v>
      </c>
      <c r="P1146" s="5">
        <f t="shared" si="9"/>
        <v>587473.2971</v>
      </c>
      <c r="Q1146" s="5">
        <f t="shared" si="7"/>
        <v>57833.69972</v>
      </c>
      <c r="R1146" s="5">
        <f t="shared" si="8"/>
        <v>529639.5974</v>
      </c>
    </row>
    <row r="1147" ht="15.75" customHeight="1">
      <c r="A1147" s="4">
        <v>2008.0</v>
      </c>
      <c r="B1147" s="4">
        <v>501.0</v>
      </c>
      <c r="C1147" s="4" t="s">
        <v>22</v>
      </c>
      <c r="D1147" s="5">
        <v>1527.4016142279756</v>
      </c>
      <c r="E1147" s="5">
        <f t="shared" si="1"/>
        <v>0</v>
      </c>
      <c r="F1147" s="5">
        <f t="shared" si="2"/>
        <v>1527.401614</v>
      </c>
      <c r="G1147" s="5" t="s">
        <v>19</v>
      </c>
      <c r="H1147" s="5" t="s">
        <v>19</v>
      </c>
      <c r="I1147" s="5" t="s">
        <v>19</v>
      </c>
      <c r="J1147" s="5">
        <v>24275.029664716574</v>
      </c>
      <c r="K1147" s="5">
        <f t="shared" si="3"/>
        <v>24275.02966</v>
      </c>
      <c r="L1147" s="5">
        <f t="shared" si="4"/>
        <v>0</v>
      </c>
      <c r="M1147" s="5">
        <v>9515.863212459975</v>
      </c>
      <c r="N1147" s="5">
        <f t="shared" si="5"/>
        <v>0</v>
      </c>
      <c r="O1147" s="5">
        <f t="shared" si="6"/>
        <v>9515.863212</v>
      </c>
      <c r="P1147" s="5">
        <f t="shared" si="9"/>
        <v>35318.29449</v>
      </c>
      <c r="Q1147" s="5">
        <f t="shared" si="7"/>
        <v>11043.26483</v>
      </c>
      <c r="R1147" s="5">
        <f t="shared" si="8"/>
        <v>24275.02966</v>
      </c>
    </row>
    <row r="1148" ht="15.75" customHeight="1">
      <c r="A1148" s="4">
        <v>2008.0</v>
      </c>
      <c r="B1148" s="4">
        <v>502.0</v>
      </c>
      <c r="C1148" s="4" t="s">
        <v>22</v>
      </c>
      <c r="D1148" s="5" t="s">
        <v>19</v>
      </c>
      <c r="E1148" s="5" t="str">
        <f t="shared" si="1"/>
        <v/>
      </c>
      <c r="F1148" s="5" t="str">
        <f t="shared" si="2"/>
        <v/>
      </c>
      <c r="G1148" s="5" t="s">
        <v>19</v>
      </c>
      <c r="H1148" s="5" t="s">
        <v>19</v>
      </c>
      <c r="I1148" s="5" t="s">
        <v>19</v>
      </c>
      <c r="J1148" s="5">
        <v>0.0</v>
      </c>
      <c r="K1148" s="5">
        <f t="shared" si="3"/>
        <v>0</v>
      </c>
      <c r="L1148" s="5">
        <f t="shared" si="4"/>
        <v>0</v>
      </c>
      <c r="M1148" s="5">
        <v>1929.3992675162172</v>
      </c>
      <c r="N1148" s="5">
        <f t="shared" si="5"/>
        <v>0</v>
      </c>
      <c r="O1148" s="5">
        <f t="shared" si="6"/>
        <v>1929.399268</v>
      </c>
      <c r="P1148" s="5">
        <f t="shared" si="9"/>
        <v>1929.399268</v>
      </c>
      <c r="Q1148" s="5">
        <f t="shared" si="7"/>
        <v>1929.399268</v>
      </c>
      <c r="R1148" s="5">
        <f t="shared" si="8"/>
        <v>0</v>
      </c>
    </row>
    <row r="1149" ht="15.75" customHeight="1">
      <c r="A1149" s="4">
        <v>2008.0</v>
      </c>
      <c r="B1149" s="4">
        <v>503.0</v>
      </c>
      <c r="C1149" s="4" t="s">
        <v>22</v>
      </c>
      <c r="D1149" s="5">
        <v>4342.448058013673</v>
      </c>
      <c r="E1149" s="5">
        <f t="shared" si="1"/>
        <v>0</v>
      </c>
      <c r="F1149" s="5">
        <f t="shared" si="2"/>
        <v>4342.448058</v>
      </c>
      <c r="G1149" s="5">
        <v>1473.66454337415</v>
      </c>
      <c r="H1149" s="5">
        <v>1114.8128003248103</v>
      </c>
      <c r="I1149" s="5">
        <v>358.8517430493398</v>
      </c>
      <c r="J1149" s="5">
        <v>212405.47341168305</v>
      </c>
      <c r="K1149" s="5">
        <f t="shared" si="3"/>
        <v>212405.4734</v>
      </c>
      <c r="L1149" s="5">
        <f t="shared" si="4"/>
        <v>0</v>
      </c>
      <c r="M1149" s="5">
        <v>23112.442556311187</v>
      </c>
      <c r="N1149" s="5">
        <f t="shared" si="5"/>
        <v>0</v>
      </c>
      <c r="O1149" s="5">
        <f t="shared" si="6"/>
        <v>23112.44256</v>
      </c>
      <c r="P1149" s="5">
        <f t="shared" si="9"/>
        <v>241334.0286</v>
      </c>
      <c r="Q1149" s="5">
        <f t="shared" si="7"/>
        <v>27813.74236</v>
      </c>
      <c r="R1149" s="5">
        <f t="shared" si="8"/>
        <v>213520.2862</v>
      </c>
    </row>
    <row r="1150" ht="15.75" customHeight="1">
      <c r="A1150" s="4">
        <v>2008.0</v>
      </c>
      <c r="B1150" s="4">
        <v>504.0</v>
      </c>
      <c r="C1150" s="4" t="s">
        <v>22</v>
      </c>
      <c r="D1150" s="5">
        <v>9386.282514072027</v>
      </c>
      <c r="E1150" s="5">
        <f t="shared" si="1"/>
        <v>0</v>
      </c>
      <c r="F1150" s="5">
        <f t="shared" si="2"/>
        <v>9386.282514</v>
      </c>
      <c r="G1150" s="5">
        <v>8829.163493369999</v>
      </c>
      <c r="H1150" s="5">
        <v>6255.433481577176</v>
      </c>
      <c r="I1150" s="5">
        <v>2573.7300117928226</v>
      </c>
      <c r="J1150" s="5">
        <v>76390.70415900473</v>
      </c>
      <c r="K1150" s="5">
        <f t="shared" si="3"/>
        <v>76390.70416</v>
      </c>
      <c r="L1150" s="5">
        <f t="shared" si="4"/>
        <v>0</v>
      </c>
      <c r="M1150" s="5">
        <v>38757.44969663471</v>
      </c>
      <c r="N1150" s="5">
        <f t="shared" si="5"/>
        <v>0</v>
      </c>
      <c r="O1150" s="5">
        <f t="shared" si="6"/>
        <v>38757.4497</v>
      </c>
      <c r="P1150" s="5">
        <f t="shared" si="9"/>
        <v>133363.5999</v>
      </c>
      <c r="Q1150" s="5">
        <f t="shared" si="7"/>
        <v>50717.46222</v>
      </c>
      <c r="R1150" s="5">
        <f t="shared" si="8"/>
        <v>82646.13764</v>
      </c>
    </row>
    <row r="1151" ht="15.75" customHeight="1">
      <c r="A1151" s="4">
        <v>2008.0</v>
      </c>
      <c r="B1151" s="4">
        <v>505.0</v>
      </c>
      <c r="C1151" s="4" t="s">
        <v>22</v>
      </c>
      <c r="D1151" s="5">
        <v>21120.393122315923</v>
      </c>
      <c r="E1151" s="5">
        <f t="shared" si="1"/>
        <v>0</v>
      </c>
      <c r="F1151" s="5">
        <f t="shared" si="2"/>
        <v>21120.39312</v>
      </c>
      <c r="G1151" s="5">
        <v>54218.88634708549</v>
      </c>
      <c r="H1151" s="5">
        <v>18025.086719362196</v>
      </c>
      <c r="I1151" s="5">
        <v>36193.799627723296</v>
      </c>
      <c r="J1151" s="5">
        <v>4446.761025657233</v>
      </c>
      <c r="K1151" s="5">
        <f t="shared" si="3"/>
        <v>4446.761026</v>
      </c>
      <c r="L1151" s="5">
        <f t="shared" si="4"/>
        <v>0</v>
      </c>
      <c r="M1151" s="5">
        <v>10364.285361844955</v>
      </c>
      <c r="N1151" s="5">
        <f t="shared" si="5"/>
        <v>0</v>
      </c>
      <c r="O1151" s="5">
        <f t="shared" si="6"/>
        <v>10364.28536</v>
      </c>
      <c r="P1151" s="5">
        <f t="shared" si="9"/>
        <v>90150.32586</v>
      </c>
      <c r="Q1151" s="5">
        <f t="shared" si="7"/>
        <v>67678.47811</v>
      </c>
      <c r="R1151" s="5">
        <f t="shared" si="8"/>
        <v>22471.84775</v>
      </c>
    </row>
    <row r="1152" ht="15.75" customHeight="1">
      <c r="A1152" s="4">
        <v>2008.0</v>
      </c>
      <c r="B1152" s="4">
        <v>506.0</v>
      </c>
      <c r="C1152" s="4" t="s">
        <v>22</v>
      </c>
      <c r="D1152" s="5">
        <v>8461.346666451356</v>
      </c>
      <c r="E1152" s="5">
        <f t="shared" si="1"/>
        <v>0</v>
      </c>
      <c r="F1152" s="5">
        <f t="shared" si="2"/>
        <v>8461.346666</v>
      </c>
      <c r="G1152" s="5">
        <v>20202.77606416846</v>
      </c>
      <c r="H1152" s="5">
        <v>5811.838012429525</v>
      </c>
      <c r="I1152" s="5">
        <v>14390.938051738936</v>
      </c>
      <c r="J1152" s="5">
        <v>11430.857404010298</v>
      </c>
      <c r="K1152" s="5">
        <f t="shared" si="3"/>
        <v>11430.8574</v>
      </c>
      <c r="L1152" s="5">
        <f t="shared" si="4"/>
        <v>0</v>
      </c>
      <c r="M1152" s="5">
        <v>6798.748179356102</v>
      </c>
      <c r="N1152" s="5">
        <f t="shared" si="5"/>
        <v>0</v>
      </c>
      <c r="O1152" s="5">
        <f t="shared" si="6"/>
        <v>6798.748179</v>
      </c>
      <c r="P1152" s="5">
        <f t="shared" si="9"/>
        <v>46893.72831</v>
      </c>
      <c r="Q1152" s="5">
        <f t="shared" si="7"/>
        <v>29651.0329</v>
      </c>
      <c r="R1152" s="5">
        <f t="shared" si="8"/>
        <v>17242.69542</v>
      </c>
    </row>
    <row r="1153" ht="15.75" customHeight="1">
      <c r="A1153" s="4">
        <v>2008.0</v>
      </c>
      <c r="B1153" s="4">
        <v>507.0</v>
      </c>
      <c r="C1153" s="4" t="s">
        <v>22</v>
      </c>
      <c r="D1153" s="5" t="s">
        <v>19</v>
      </c>
      <c r="E1153" s="5" t="str">
        <f t="shared" si="1"/>
        <v/>
      </c>
      <c r="F1153" s="5" t="str">
        <f t="shared" si="2"/>
        <v/>
      </c>
      <c r="G1153" s="5" t="s">
        <v>19</v>
      </c>
      <c r="H1153" s="5" t="s">
        <v>19</v>
      </c>
      <c r="I1153" s="5" t="s">
        <v>19</v>
      </c>
      <c r="J1153" s="5">
        <v>0.0</v>
      </c>
      <c r="K1153" s="5">
        <f t="shared" si="3"/>
        <v>0</v>
      </c>
      <c r="L1153" s="5">
        <f t="shared" si="4"/>
        <v>0</v>
      </c>
      <c r="M1153" s="5">
        <v>0.0</v>
      </c>
      <c r="N1153" s="5">
        <f t="shared" si="5"/>
        <v>0</v>
      </c>
      <c r="O1153" s="5">
        <f t="shared" si="6"/>
        <v>0</v>
      </c>
      <c r="P1153" s="5">
        <f t="shared" si="9"/>
        <v>0</v>
      </c>
      <c r="Q1153" s="5">
        <f t="shared" si="7"/>
        <v>0</v>
      </c>
      <c r="R1153" s="5">
        <f t="shared" si="8"/>
        <v>0</v>
      </c>
    </row>
    <row r="1154" ht="15.75" customHeight="1">
      <c r="A1154" s="4">
        <v>2008.0</v>
      </c>
      <c r="B1154" s="4">
        <v>508.0</v>
      </c>
      <c r="C1154" s="4" t="s">
        <v>22</v>
      </c>
      <c r="D1154" s="5" t="s">
        <v>19</v>
      </c>
      <c r="E1154" s="5" t="str">
        <f t="shared" si="1"/>
        <v/>
      </c>
      <c r="F1154" s="5" t="str">
        <f t="shared" si="2"/>
        <v/>
      </c>
      <c r="G1154" s="5">
        <v>38375.12237314411</v>
      </c>
      <c r="H1154" s="5">
        <v>9524.852846333431</v>
      </c>
      <c r="I1154" s="5">
        <v>28850.269526810684</v>
      </c>
      <c r="J1154" s="5">
        <v>0.0</v>
      </c>
      <c r="K1154" s="5">
        <f t="shared" si="3"/>
        <v>0</v>
      </c>
      <c r="L1154" s="5">
        <f t="shared" si="4"/>
        <v>0</v>
      </c>
      <c r="M1154" s="5">
        <v>64130.51728825053</v>
      </c>
      <c r="N1154" s="5">
        <f t="shared" si="5"/>
        <v>0</v>
      </c>
      <c r="O1154" s="5">
        <f t="shared" si="6"/>
        <v>64130.51729</v>
      </c>
      <c r="P1154" s="5">
        <f t="shared" si="9"/>
        <v>102505.6397</v>
      </c>
      <c r="Q1154" s="5">
        <f t="shared" si="7"/>
        <v>92980.78682</v>
      </c>
      <c r="R1154" s="5">
        <f t="shared" si="8"/>
        <v>9524.852846</v>
      </c>
    </row>
    <row r="1155" ht="15.75" customHeight="1">
      <c r="A1155" s="4">
        <v>2008.0</v>
      </c>
      <c r="B1155" s="4">
        <v>520.0</v>
      </c>
      <c r="C1155" s="4" t="s">
        <v>22</v>
      </c>
      <c r="D1155" s="5">
        <v>3661.1811104308335</v>
      </c>
      <c r="E1155" s="5">
        <f t="shared" si="1"/>
        <v>0</v>
      </c>
      <c r="F1155" s="5">
        <f t="shared" si="2"/>
        <v>3661.18111</v>
      </c>
      <c r="G1155" s="5">
        <v>3075.032431877533</v>
      </c>
      <c r="H1155" s="5">
        <v>2052.871347223889</v>
      </c>
      <c r="I1155" s="5">
        <v>1022.1610846536437</v>
      </c>
      <c r="J1155" s="5">
        <v>10738.706139880596</v>
      </c>
      <c r="K1155" s="5">
        <f t="shared" si="3"/>
        <v>10738.70614</v>
      </c>
      <c r="L1155" s="5">
        <f t="shared" si="4"/>
        <v>0</v>
      </c>
      <c r="M1155" s="5">
        <v>323373.3695338005</v>
      </c>
      <c r="N1155" s="5">
        <f t="shared" si="5"/>
        <v>0</v>
      </c>
      <c r="O1155" s="5">
        <f t="shared" si="6"/>
        <v>323373.3695</v>
      </c>
      <c r="P1155" s="5">
        <f t="shared" si="9"/>
        <v>340848.2892</v>
      </c>
      <c r="Q1155" s="5">
        <f t="shared" si="7"/>
        <v>328056.7117</v>
      </c>
      <c r="R1155" s="5">
        <f t="shared" si="8"/>
        <v>12791.57749</v>
      </c>
    </row>
    <row r="1156" ht="15.75" customHeight="1">
      <c r="A1156" s="4">
        <v>2008.0</v>
      </c>
      <c r="B1156" s="4">
        <v>521.0</v>
      </c>
      <c r="C1156" s="4" t="s">
        <v>22</v>
      </c>
      <c r="D1156" s="5" t="s">
        <v>19</v>
      </c>
      <c r="E1156" s="5" t="str">
        <f t="shared" si="1"/>
        <v/>
      </c>
      <c r="F1156" s="5" t="str">
        <f t="shared" si="2"/>
        <v/>
      </c>
      <c r="G1156" s="5" t="s">
        <v>19</v>
      </c>
      <c r="H1156" s="5" t="s">
        <v>19</v>
      </c>
      <c r="I1156" s="5" t="s">
        <v>19</v>
      </c>
      <c r="J1156" s="5">
        <v>0.0</v>
      </c>
      <c r="K1156" s="5">
        <f t="shared" si="3"/>
        <v>0</v>
      </c>
      <c r="L1156" s="5">
        <f t="shared" si="4"/>
        <v>0</v>
      </c>
      <c r="M1156" s="5">
        <v>31639.396942683008</v>
      </c>
      <c r="N1156" s="5">
        <f t="shared" si="5"/>
        <v>0</v>
      </c>
      <c r="O1156" s="5">
        <f t="shared" si="6"/>
        <v>31639.39694</v>
      </c>
      <c r="P1156" s="5">
        <f t="shared" si="9"/>
        <v>31639.39694</v>
      </c>
      <c r="Q1156" s="5">
        <f t="shared" si="7"/>
        <v>31639.39694</v>
      </c>
      <c r="R1156" s="5">
        <f t="shared" si="8"/>
        <v>0</v>
      </c>
    </row>
    <row r="1157" ht="15.75" customHeight="1">
      <c r="A1157" s="4">
        <v>2008.0</v>
      </c>
      <c r="B1157" s="4">
        <v>522.0</v>
      </c>
      <c r="C1157" s="4" t="s">
        <v>22</v>
      </c>
      <c r="D1157" s="5">
        <v>919.3471113812733</v>
      </c>
      <c r="E1157" s="5">
        <f t="shared" si="1"/>
        <v>0</v>
      </c>
      <c r="F1157" s="5">
        <f t="shared" si="2"/>
        <v>919.3471114</v>
      </c>
      <c r="G1157" s="5" t="s">
        <v>19</v>
      </c>
      <c r="H1157" s="5" t="s">
        <v>19</v>
      </c>
      <c r="I1157" s="5" t="s">
        <v>19</v>
      </c>
      <c r="J1157" s="5">
        <v>0.0</v>
      </c>
      <c r="K1157" s="5">
        <f t="shared" si="3"/>
        <v>0</v>
      </c>
      <c r="L1157" s="5">
        <f t="shared" si="4"/>
        <v>0</v>
      </c>
      <c r="M1157" s="5">
        <v>22945.545851611583</v>
      </c>
      <c r="N1157" s="5">
        <f t="shared" si="5"/>
        <v>0</v>
      </c>
      <c r="O1157" s="5">
        <f t="shared" si="6"/>
        <v>22945.54585</v>
      </c>
      <c r="P1157" s="5">
        <f t="shared" si="9"/>
        <v>23864.89296</v>
      </c>
      <c r="Q1157" s="5">
        <f t="shared" si="7"/>
        <v>23864.89296</v>
      </c>
      <c r="R1157" s="5">
        <f t="shared" si="8"/>
        <v>0</v>
      </c>
    </row>
    <row r="1158" ht="15.75" customHeight="1">
      <c r="A1158" s="4">
        <v>2008.0</v>
      </c>
      <c r="B1158" s="4">
        <v>523.0</v>
      </c>
      <c r="C1158" s="4" t="s">
        <v>22</v>
      </c>
      <c r="D1158" s="5" t="s">
        <v>19</v>
      </c>
      <c r="E1158" s="5" t="str">
        <f t="shared" si="1"/>
        <v/>
      </c>
      <c r="F1158" s="5" t="str">
        <f t="shared" si="2"/>
        <v/>
      </c>
      <c r="G1158" s="5">
        <v>2773.139586697549</v>
      </c>
      <c r="H1158" s="5">
        <v>2058.2145834217645</v>
      </c>
      <c r="I1158" s="5">
        <v>714.9250032757845</v>
      </c>
      <c r="J1158" s="5">
        <v>0.0</v>
      </c>
      <c r="K1158" s="5">
        <f t="shared" si="3"/>
        <v>0</v>
      </c>
      <c r="L1158" s="5">
        <f t="shared" si="4"/>
        <v>0</v>
      </c>
      <c r="M1158" s="5">
        <v>72884.34115123047</v>
      </c>
      <c r="N1158" s="5">
        <f t="shared" si="5"/>
        <v>0</v>
      </c>
      <c r="O1158" s="5">
        <f t="shared" si="6"/>
        <v>72884.34115</v>
      </c>
      <c r="P1158" s="5">
        <f t="shared" si="9"/>
        <v>75657.48074</v>
      </c>
      <c r="Q1158" s="5">
        <f t="shared" si="7"/>
        <v>73599.26615</v>
      </c>
      <c r="R1158" s="5">
        <f t="shared" si="8"/>
        <v>2058.214583</v>
      </c>
    </row>
    <row r="1159" ht="15.75" customHeight="1">
      <c r="A1159" s="4">
        <v>2008.0</v>
      </c>
      <c r="B1159" s="4">
        <v>524.0</v>
      </c>
      <c r="C1159" s="4" t="s">
        <v>22</v>
      </c>
      <c r="D1159" s="5">
        <v>3966.3261091020654</v>
      </c>
      <c r="E1159" s="5">
        <f t="shared" si="1"/>
        <v>0</v>
      </c>
      <c r="F1159" s="5">
        <f t="shared" si="2"/>
        <v>3966.326109</v>
      </c>
      <c r="G1159" s="5">
        <v>6058.695524771388</v>
      </c>
      <c r="H1159" s="5">
        <v>4348.753076727169</v>
      </c>
      <c r="I1159" s="5">
        <v>1709.9424480442185</v>
      </c>
      <c r="J1159" s="5">
        <v>1925.5896845189213</v>
      </c>
      <c r="K1159" s="5">
        <f t="shared" si="3"/>
        <v>1925.589685</v>
      </c>
      <c r="L1159" s="5">
        <f t="shared" si="4"/>
        <v>0</v>
      </c>
      <c r="M1159" s="5">
        <v>187582.54253076465</v>
      </c>
      <c r="N1159" s="5">
        <f t="shared" si="5"/>
        <v>0</v>
      </c>
      <c r="O1159" s="5">
        <f t="shared" si="6"/>
        <v>187582.5425</v>
      </c>
      <c r="P1159" s="5">
        <f t="shared" si="9"/>
        <v>199533.1538</v>
      </c>
      <c r="Q1159" s="5">
        <f t="shared" si="7"/>
        <v>193258.8111</v>
      </c>
      <c r="R1159" s="5">
        <f t="shared" si="8"/>
        <v>6274.342761</v>
      </c>
    </row>
    <row r="1160" ht="15.75" customHeight="1">
      <c r="A1160" s="4">
        <v>2008.0</v>
      </c>
      <c r="B1160" s="4">
        <v>525.0</v>
      </c>
      <c r="C1160" s="4" t="s">
        <v>22</v>
      </c>
      <c r="D1160" s="5" t="s">
        <v>19</v>
      </c>
      <c r="E1160" s="5" t="str">
        <f t="shared" si="1"/>
        <v/>
      </c>
      <c r="F1160" s="5" t="str">
        <f t="shared" si="2"/>
        <v/>
      </c>
      <c r="G1160" s="5" t="s">
        <v>19</v>
      </c>
      <c r="H1160" s="5" t="s">
        <v>19</v>
      </c>
      <c r="I1160" s="5" t="s">
        <v>19</v>
      </c>
      <c r="J1160" s="5">
        <v>0.0</v>
      </c>
      <c r="K1160" s="5">
        <f t="shared" si="3"/>
        <v>0</v>
      </c>
      <c r="L1160" s="5">
        <f t="shared" si="4"/>
        <v>0</v>
      </c>
      <c r="M1160" s="5">
        <v>2242.101335112715</v>
      </c>
      <c r="N1160" s="5">
        <f t="shared" si="5"/>
        <v>0</v>
      </c>
      <c r="O1160" s="5">
        <f t="shared" si="6"/>
        <v>2242.101335</v>
      </c>
      <c r="P1160" s="5">
        <f t="shared" si="9"/>
        <v>2242.101335</v>
      </c>
      <c r="Q1160" s="5">
        <f t="shared" si="7"/>
        <v>2242.101335</v>
      </c>
      <c r="R1160" s="5">
        <f t="shared" si="8"/>
        <v>0</v>
      </c>
    </row>
    <row r="1161" ht="15.75" customHeight="1">
      <c r="A1161" s="4">
        <v>2008.0</v>
      </c>
      <c r="B1161" s="4">
        <v>526.0</v>
      </c>
      <c r="C1161" s="4" t="s">
        <v>22</v>
      </c>
      <c r="D1161" s="5" t="s">
        <v>19</v>
      </c>
      <c r="E1161" s="5" t="str">
        <f t="shared" si="1"/>
        <v/>
      </c>
      <c r="F1161" s="5" t="str">
        <f t="shared" si="2"/>
        <v/>
      </c>
      <c r="G1161" s="5" t="s">
        <v>19</v>
      </c>
      <c r="H1161" s="5" t="s">
        <v>19</v>
      </c>
      <c r="I1161" s="5" t="s">
        <v>19</v>
      </c>
      <c r="J1161" s="5">
        <v>0.0</v>
      </c>
      <c r="K1161" s="5">
        <f t="shared" si="3"/>
        <v>0</v>
      </c>
      <c r="L1161" s="5">
        <f t="shared" si="4"/>
        <v>0</v>
      </c>
      <c r="M1161" s="5">
        <v>0.0</v>
      </c>
      <c r="N1161" s="5">
        <f t="shared" si="5"/>
        <v>0</v>
      </c>
      <c r="O1161" s="5">
        <f t="shared" si="6"/>
        <v>0</v>
      </c>
      <c r="P1161" s="5">
        <f t="shared" si="9"/>
        <v>0</v>
      </c>
      <c r="Q1161" s="5">
        <f t="shared" si="7"/>
        <v>0</v>
      </c>
      <c r="R1161" s="5">
        <f t="shared" si="8"/>
        <v>0</v>
      </c>
    </row>
    <row r="1162" ht="15.75" customHeight="1">
      <c r="A1162" s="4">
        <v>2008.0</v>
      </c>
      <c r="B1162" s="4">
        <v>527.0</v>
      </c>
      <c r="C1162" s="4" t="s">
        <v>22</v>
      </c>
      <c r="D1162" s="5" t="s">
        <v>19</v>
      </c>
      <c r="E1162" s="5" t="str">
        <f t="shared" si="1"/>
        <v/>
      </c>
      <c r="F1162" s="5" t="str">
        <f t="shared" si="2"/>
        <v/>
      </c>
      <c r="G1162" s="5" t="s">
        <v>19</v>
      </c>
      <c r="H1162" s="5" t="s">
        <v>19</v>
      </c>
      <c r="I1162" s="5" t="s">
        <v>19</v>
      </c>
      <c r="J1162" s="5">
        <v>0.0</v>
      </c>
      <c r="K1162" s="5">
        <f t="shared" si="3"/>
        <v>0</v>
      </c>
      <c r="L1162" s="5">
        <f t="shared" si="4"/>
        <v>0</v>
      </c>
      <c r="M1162" s="5">
        <v>0.0</v>
      </c>
      <c r="N1162" s="5">
        <f t="shared" si="5"/>
        <v>0</v>
      </c>
      <c r="O1162" s="5">
        <f t="shared" si="6"/>
        <v>0</v>
      </c>
      <c r="P1162" s="5">
        <f t="shared" si="9"/>
        <v>0</v>
      </c>
      <c r="Q1162" s="5">
        <f t="shared" si="7"/>
        <v>0</v>
      </c>
      <c r="R1162" s="5">
        <f t="shared" si="8"/>
        <v>0</v>
      </c>
    </row>
    <row r="1163" ht="15.75" customHeight="1">
      <c r="A1163" s="4">
        <v>2008.0</v>
      </c>
      <c r="B1163" s="4">
        <v>528.0</v>
      </c>
      <c r="C1163" s="4" t="s">
        <v>22</v>
      </c>
      <c r="D1163" s="5" t="s">
        <v>19</v>
      </c>
      <c r="E1163" s="5" t="str">
        <f t="shared" si="1"/>
        <v/>
      </c>
      <c r="F1163" s="5" t="str">
        <f t="shared" si="2"/>
        <v/>
      </c>
      <c r="G1163" s="5" t="s">
        <v>19</v>
      </c>
      <c r="H1163" s="5" t="s">
        <v>19</v>
      </c>
      <c r="I1163" s="5" t="s">
        <v>19</v>
      </c>
      <c r="J1163" s="5">
        <v>0.0</v>
      </c>
      <c r="K1163" s="5">
        <f t="shared" si="3"/>
        <v>0</v>
      </c>
      <c r="L1163" s="5">
        <f t="shared" si="4"/>
        <v>0</v>
      </c>
      <c r="M1163" s="5">
        <v>0.0</v>
      </c>
      <c r="N1163" s="5">
        <f t="shared" si="5"/>
        <v>0</v>
      </c>
      <c r="O1163" s="5">
        <f t="shared" si="6"/>
        <v>0</v>
      </c>
      <c r="P1163" s="5">
        <f t="shared" si="9"/>
        <v>0</v>
      </c>
      <c r="Q1163" s="5">
        <f t="shared" si="7"/>
        <v>0</v>
      </c>
      <c r="R1163" s="5">
        <f t="shared" si="8"/>
        <v>0</v>
      </c>
    </row>
    <row r="1164" ht="15.75" customHeight="1">
      <c r="A1164" s="4">
        <v>2007.0</v>
      </c>
      <c r="B1164" s="4">
        <v>100.0</v>
      </c>
      <c r="C1164" s="4" t="s">
        <v>18</v>
      </c>
      <c r="D1164" s="5">
        <v>7820.349466390037</v>
      </c>
      <c r="E1164" s="5">
        <f t="shared" si="1"/>
        <v>0</v>
      </c>
      <c r="F1164" s="5">
        <f t="shared" si="2"/>
        <v>7820.349466</v>
      </c>
      <c r="G1164" s="5">
        <v>3685.2250323260923</v>
      </c>
      <c r="H1164" s="5">
        <v>996.8213209196973</v>
      </c>
      <c r="I1164" s="5">
        <v>2688.403711406395</v>
      </c>
      <c r="J1164" s="5">
        <v>16203.749303783256</v>
      </c>
      <c r="K1164" s="5">
        <f t="shared" si="3"/>
        <v>16203.7493</v>
      </c>
      <c r="L1164" s="5">
        <f t="shared" si="4"/>
        <v>0</v>
      </c>
      <c r="M1164" s="5">
        <v>69571.77968120575</v>
      </c>
      <c r="N1164" s="5">
        <f t="shared" si="5"/>
        <v>0</v>
      </c>
      <c r="O1164" s="5">
        <f t="shared" si="6"/>
        <v>69571.77968</v>
      </c>
      <c r="P1164" s="5">
        <f t="shared" si="9"/>
        <v>97281.10348</v>
      </c>
      <c r="Q1164" s="5">
        <f t="shared" si="7"/>
        <v>80080.53286</v>
      </c>
      <c r="R1164" s="5">
        <f t="shared" si="8"/>
        <v>17200.57062</v>
      </c>
    </row>
    <row r="1165" ht="15.75" customHeight="1">
      <c r="A1165" s="4">
        <v>2007.0</v>
      </c>
      <c r="B1165" s="4">
        <v>101.0</v>
      </c>
      <c r="C1165" s="4" t="s">
        <v>18</v>
      </c>
      <c r="D1165" s="5">
        <v>25894.975345394174</v>
      </c>
      <c r="E1165" s="5">
        <f t="shared" si="1"/>
        <v>0</v>
      </c>
      <c r="F1165" s="5">
        <f t="shared" si="2"/>
        <v>25894.97535</v>
      </c>
      <c r="G1165" s="5">
        <v>13223.851435801807</v>
      </c>
      <c r="H1165" s="5">
        <v>4365.704027462046</v>
      </c>
      <c r="I1165" s="5">
        <v>8858.147408339762</v>
      </c>
      <c r="J1165" s="5">
        <v>756393.0276744643</v>
      </c>
      <c r="K1165" s="5">
        <f t="shared" si="3"/>
        <v>756393.0277</v>
      </c>
      <c r="L1165" s="5">
        <f t="shared" si="4"/>
        <v>0</v>
      </c>
      <c r="M1165" s="5">
        <v>305408.883803671</v>
      </c>
      <c r="N1165" s="5">
        <f t="shared" si="5"/>
        <v>0</v>
      </c>
      <c r="O1165" s="5">
        <f t="shared" si="6"/>
        <v>305408.8838</v>
      </c>
      <c r="P1165" s="5">
        <f t="shared" si="9"/>
        <v>1100920.738</v>
      </c>
      <c r="Q1165" s="5">
        <f t="shared" si="7"/>
        <v>340162.0066</v>
      </c>
      <c r="R1165" s="5">
        <f t="shared" si="8"/>
        <v>760758.7317</v>
      </c>
    </row>
    <row r="1166" ht="15.75" customHeight="1">
      <c r="A1166" s="4">
        <v>2007.0</v>
      </c>
      <c r="B1166" s="4">
        <v>102.0</v>
      </c>
      <c r="C1166" s="4" t="s">
        <v>18</v>
      </c>
      <c r="D1166" s="5">
        <v>47139.56106157674</v>
      </c>
      <c r="E1166" s="5">
        <f t="shared" si="1"/>
        <v>0</v>
      </c>
      <c r="F1166" s="5">
        <f t="shared" si="2"/>
        <v>47139.56106</v>
      </c>
      <c r="G1166" s="5">
        <v>24015.251927166217</v>
      </c>
      <c r="H1166" s="5">
        <v>7623.141570530632</v>
      </c>
      <c r="I1166" s="5">
        <v>16392.110356635585</v>
      </c>
      <c r="J1166" s="5">
        <v>27238.72981670491</v>
      </c>
      <c r="K1166" s="5">
        <f t="shared" si="3"/>
        <v>27238.72982</v>
      </c>
      <c r="L1166" s="5">
        <f t="shared" si="4"/>
        <v>0</v>
      </c>
      <c r="M1166" s="5">
        <v>32320.467980478395</v>
      </c>
      <c r="N1166" s="5">
        <f t="shared" si="5"/>
        <v>0</v>
      </c>
      <c r="O1166" s="5">
        <f t="shared" si="6"/>
        <v>32320.46798</v>
      </c>
      <c r="P1166" s="5">
        <f t="shared" si="9"/>
        <v>130714.0108</v>
      </c>
      <c r="Q1166" s="5">
        <f t="shared" si="7"/>
        <v>95852.1394</v>
      </c>
      <c r="R1166" s="5">
        <f t="shared" si="8"/>
        <v>34861.87139</v>
      </c>
    </row>
    <row r="1167" ht="15.75" customHeight="1">
      <c r="A1167" s="4">
        <v>2007.0</v>
      </c>
      <c r="B1167" s="4">
        <v>103.0</v>
      </c>
      <c r="C1167" s="4" t="s">
        <v>18</v>
      </c>
      <c r="D1167" s="5" t="s">
        <v>19</v>
      </c>
      <c r="E1167" s="5" t="str">
        <f t="shared" si="1"/>
        <v/>
      </c>
      <c r="F1167" s="5" t="str">
        <f t="shared" si="2"/>
        <v/>
      </c>
      <c r="G1167" s="5">
        <v>1130.19565379546</v>
      </c>
      <c r="H1167" s="5">
        <v>393.03819005125695</v>
      </c>
      <c r="I1167" s="5">
        <v>737.157463744203</v>
      </c>
      <c r="J1167" s="5">
        <v>3903.2332465316094</v>
      </c>
      <c r="K1167" s="5">
        <f t="shared" si="3"/>
        <v>3903.233247</v>
      </c>
      <c r="L1167" s="5">
        <f t="shared" si="4"/>
        <v>0</v>
      </c>
      <c r="M1167" s="5">
        <v>2994.9237495240413</v>
      </c>
      <c r="N1167" s="5">
        <f t="shared" si="5"/>
        <v>0</v>
      </c>
      <c r="O1167" s="5">
        <f t="shared" si="6"/>
        <v>2994.92375</v>
      </c>
      <c r="P1167" s="5">
        <f t="shared" si="9"/>
        <v>8028.35265</v>
      </c>
      <c r="Q1167" s="5">
        <f t="shared" si="7"/>
        <v>3732.081213</v>
      </c>
      <c r="R1167" s="5">
        <f t="shared" si="8"/>
        <v>4296.271437</v>
      </c>
    </row>
    <row r="1168" ht="15.75" customHeight="1">
      <c r="A1168" s="4">
        <v>2007.0</v>
      </c>
      <c r="B1168" s="4">
        <v>104.0</v>
      </c>
      <c r="C1168" s="4" t="s">
        <v>18</v>
      </c>
      <c r="D1168" s="5" t="s">
        <v>19</v>
      </c>
      <c r="E1168" s="5" t="str">
        <f t="shared" si="1"/>
        <v/>
      </c>
      <c r="F1168" s="5" t="str">
        <f t="shared" si="2"/>
        <v/>
      </c>
      <c r="G1168" s="5" t="s">
        <v>19</v>
      </c>
      <c r="H1168" s="5" t="s">
        <v>19</v>
      </c>
      <c r="I1168" s="5" t="s">
        <v>19</v>
      </c>
      <c r="J1168" s="5">
        <v>38878.510465452775</v>
      </c>
      <c r="K1168" s="5">
        <f t="shared" si="3"/>
        <v>38878.51047</v>
      </c>
      <c r="L1168" s="5">
        <f t="shared" si="4"/>
        <v>0</v>
      </c>
      <c r="M1168" s="5">
        <v>221.90449221381493</v>
      </c>
      <c r="N1168" s="5">
        <f t="shared" si="5"/>
        <v>0</v>
      </c>
      <c r="O1168" s="5">
        <f t="shared" si="6"/>
        <v>221.9044922</v>
      </c>
      <c r="P1168" s="5">
        <f t="shared" si="9"/>
        <v>39100.41496</v>
      </c>
      <c r="Q1168" s="5">
        <f t="shared" si="7"/>
        <v>221.9044922</v>
      </c>
      <c r="R1168" s="5">
        <f t="shared" si="8"/>
        <v>38878.51047</v>
      </c>
    </row>
    <row r="1169" ht="15.75" customHeight="1">
      <c r="A1169" s="4">
        <v>2007.0</v>
      </c>
      <c r="B1169" s="4">
        <v>105.0</v>
      </c>
      <c r="C1169" s="4" t="s">
        <v>18</v>
      </c>
      <c r="D1169" s="5">
        <v>14620.289697593353</v>
      </c>
      <c r="E1169" s="5">
        <f t="shared" si="1"/>
        <v>0</v>
      </c>
      <c r="F1169" s="5">
        <f t="shared" si="2"/>
        <v>14620.2897</v>
      </c>
      <c r="G1169" s="5">
        <v>1688.5460439541127</v>
      </c>
      <c r="H1169" s="5">
        <v>442.63185008347574</v>
      </c>
      <c r="I1169" s="5">
        <v>1245.914193870637</v>
      </c>
      <c r="J1169" s="5">
        <v>77543.33070950453</v>
      </c>
      <c r="K1169" s="5">
        <f t="shared" si="3"/>
        <v>77543.33071</v>
      </c>
      <c r="L1169" s="5">
        <f t="shared" si="4"/>
        <v>0</v>
      </c>
      <c r="M1169" s="5">
        <v>11670.445120649256</v>
      </c>
      <c r="N1169" s="5">
        <f t="shared" si="5"/>
        <v>0</v>
      </c>
      <c r="O1169" s="5">
        <f t="shared" si="6"/>
        <v>11670.44512</v>
      </c>
      <c r="P1169" s="5">
        <f t="shared" si="9"/>
        <v>105522.6116</v>
      </c>
      <c r="Q1169" s="5">
        <f t="shared" si="7"/>
        <v>27536.64901</v>
      </c>
      <c r="R1169" s="5">
        <f t="shared" si="8"/>
        <v>77985.96256</v>
      </c>
    </row>
    <row r="1170" ht="15.75" customHeight="1">
      <c r="A1170" s="4">
        <v>2007.0</v>
      </c>
      <c r="B1170" s="4">
        <v>106.0</v>
      </c>
      <c r="C1170" s="4" t="s">
        <v>18</v>
      </c>
      <c r="D1170" s="5">
        <v>3983.6585364315324</v>
      </c>
      <c r="E1170" s="5">
        <f t="shared" si="1"/>
        <v>0</v>
      </c>
      <c r="F1170" s="5">
        <f t="shared" si="2"/>
        <v>3983.658536</v>
      </c>
      <c r="G1170" s="5">
        <v>3024.5385182914324</v>
      </c>
      <c r="H1170" s="5">
        <v>1512.4379450641932</v>
      </c>
      <c r="I1170" s="5">
        <v>1512.1005732272392</v>
      </c>
      <c r="J1170" s="5">
        <v>44628.481698979755</v>
      </c>
      <c r="K1170" s="5">
        <f t="shared" si="3"/>
        <v>44628.4817</v>
      </c>
      <c r="L1170" s="5">
        <f t="shared" si="4"/>
        <v>0</v>
      </c>
      <c r="M1170" s="5">
        <v>99954.91127930683</v>
      </c>
      <c r="N1170" s="5">
        <f t="shared" si="5"/>
        <v>0</v>
      </c>
      <c r="O1170" s="5">
        <f t="shared" si="6"/>
        <v>99954.91128</v>
      </c>
      <c r="P1170" s="5">
        <f t="shared" si="9"/>
        <v>151591.59</v>
      </c>
      <c r="Q1170" s="5">
        <f t="shared" si="7"/>
        <v>105450.6704</v>
      </c>
      <c r="R1170" s="5">
        <f t="shared" si="8"/>
        <v>46140.91964</v>
      </c>
    </row>
    <row r="1171" ht="15.75" customHeight="1">
      <c r="A1171" s="4">
        <v>2007.0</v>
      </c>
      <c r="B1171" s="4">
        <v>107.0</v>
      </c>
      <c r="C1171" s="4" t="s">
        <v>18</v>
      </c>
      <c r="D1171" s="5">
        <v>34069.00295419085</v>
      </c>
      <c r="E1171" s="5">
        <f t="shared" si="1"/>
        <v>0</v>
      </c>
      <c r="F1171" s="5">
        <f t="shared" si="2"/>
        <v>34069.00295</v>
      </c>
      <c r="G1171" s="5" t="s">
        <v>19</v>
      </c>
      <c r="H1171" s="5" t="s">
        <v>19</v>
      </c>
      <c r="I1171" s="5" t="s">
        <v>19</v>
      </c>
      <c r="J1171" s="5">
        <v>16082.264883436666</v>
      </c>
      <c r="K1171" s="5">
        <f t="shared" si="3"/>
        <v>16082.26488</v>
      </c>
      <c r="L1171" s="5">
        <f t="shared" si="4"/>
        <v>0</v>
      </c>
      <c r="M1171" s="5">
        <v>109181.10202508175</v>
      </c>
      <c r="N1171" s="5">
        <f t="shared" si="5"/>
        <v>0</v>
      </c>
      <c r="O1171" s="5">
        <f t="shared" si="6"/>
        <v>109181.102</v>
      </c>
      <c r="P1171" s="5">
        <f t="shared" si="9"/>
        <v>159332.3699</v>
      </c>
      <c r="Q1171" s="5">
        <f t="shared" si="7"/>
        <v>143250.105</v>
      </c>
      <c r="R1171" s="5">
        <f t="shared" si="8"/>
        <v>16082.26488</v>
      </c>
    </row>
    <row r="1172" ht="15.75" customHeight="1">
      <c r="A1172" s="4">
        <v>2007.0</v>
      </c>
      <c r="B1172" s="4">
        <v>108.0</v>
      </c>
      <c r="C1172" s="4" t="s">
        <v>18</v>
      </c>
      <c r="D1172" s="5">
        <v>7473.8404755186675</v>
      </c>
      <c r="E1172" s="5">
        <f t="shared" si="1"/>
        <v>0</v>
      </c>
      <c r="F1172" s="5">
        <f t="shared" si="2"/>
        <v>7473.840476</v>
      </c>
      <c r="G1172" s="5" t="s">
        <v>19</v>
      </c>
      <c r="H1172" s="5" t="s">
        <v>19</v>
      </c>
      <c r="I1172" s="5" t="s">
        <v>19</v>
      </c>
      <c r="J1172" s="5">
        <v>6397.159818179157</v>
      </c>
      <c r="K1172" s="5">
        <f t="shared" si="3"/>
        <v>6397.159818</v>
      </c>
      <c r="L1172" s="5">
        <f t="shared" si="4"/>
        <v>0</v>
      </c>
      <c r="M1172" s="5">
        <v>33801.09029448376</v>
      </c>
      <c r="N1172" s="5">
        <f t="shared" si="5"/>
        <v>0</v>
      </c>
      <c r="O1172" s="5">
        <f t="shared" si="6"/>
        <v>33801.09029</v>
      </c>
      <c r="P1172" s="5">
        <f t="shared" si="9"/>
        <v>47672.09059</v>
      </c>
      <c r="Q1172" s="5">
        <f t="shared" si="7"/>
        <v>41274.93077</v>
      </c>
      <c r="R1172" s="5">
        <f t="shared" si="8"/>
        <v>6397.159818</v>
      </c>
    </row>
    <row r="1173" ht="15.75" customHeight="1">
      <c r="A1173" s="4">
        <v>2007.0</v>
      </c>
      <c r="B1173" s="4">
        <v>120.0</v>
      </c>
      <c r="C1173" s="4" t="s">
        <v>18</v>
      </c>
      <c r="D1173" s="5">
        <v>21545.690080663888</v>
      </c>
      <c r="E1173" s="5">
        <f t="shared" si="1"/>
        <v>0</v>
      </c>
      <c r="F1173" s="5">
        <f t="shared" si="2"/>
        <v>21545.69008</v>
      </c>
      <c r="G1173" s="5">
        <v>56199.96288617036</v>
      </c>
      <c r="H1173" s="5">
        <v>43526.47737371931</v>
      </c>
      <c r="I1173" s="5">
        <v>12673.48551245105</v>
      </c>
      <c r="J1173" s="5">
        <v>38074.659417871626</v>
      </c>
      <c r="K1173" s="5">
        <f t="shared" si="3"/>
        <v>38074.65942</v>
      </c>
      <c r="L1173" s="5">
        <f t="shared" si="4"/>
        <v>0</v>
      </c>
      <c r="M1173" s="5">
        <v>111986.54137132532</v>
      </c>
      <c r="N1173" s="5">
        <f t="shared" si="5"/>
        <v>0</v>
      </c>
      <c r="O1173" s="5">
        <f t="shared" si="6"/>
        <v>111986.5414</v>
      </c>
      <c r="P1173" s="5">
        <f t="shared" si="9"/>
        <v>227806.8538</v>
      </c>
      <c r="Q1173" s="5">
        <f t="shared" si="7"/>
        <v>146205.717</v>
      </c>
      <c r="R1173" s="5">
        <f t="shared" si="8"/>
        <v>81601.13679</v>
      </c>
    </row>
    <row r="1174" ht="15.75" customHeight="1">
      <c r="A1174" s="4">
        <v>2007.0</v>
      </c>
      <c r="B1174" s="4">
        <v>121.0</v>
      </c>
      <c r="C1174" s="4" t="s">
        <v>18</v>
      </c>
      <c r="D1174" s="5">
        <v>31281.995294854754</v>
      </c>
      <c r="E1174" s="5">
        <f t="shared" si="1"/>
        <v>0</v>
      </c>
      <c r="F1174" s="5">
        <f t="shared" si="2"/>
        <v>31281.99529</v>
      </c>
      <c r="G1174" s="5">
        <v>8534.945188537957</v>
      </c>
      <c r="H1174" s="5">
        <v>2484.631121886259</v>
      </c>
      <c r="I1174" s="5">
        <v>6050.314066651697</v>
      </c>
      <c r="J1174" s="5">
        <v>107361.6379841445</v>
      </c>
      <c r="K1174" s="5">
        <f t="shared" si="3"/>
        <v>107361.638</v>
      </c>
      <c r="L1174" s="5">
        <f t="shared" si="4"/>
        <v>0</v>
      </c>
      <c r="M1174" s="5">
        <v>993305.0980919455</v>
      </c>
      <c r="N1174" s="5">
        <f t="shared" si="5"/>
        <v>0</v>
      </c>
      <c r="O1174" s="5">
        <f t="shared" si="6"/>
        <v>993305.0981</v>
      </c>
      <c r="P1174" s="5">
        <f t="shared" si="9"/>
        <v>1140483.677</v>
      </c>
      <c r="Q1174" s="5">
        <f t="shared" si="7"/>
        <v>1030637.407</v>
      </c>
      <c r="R1174" s="5">
        <f t="shared" si="8"/>
        <v>109846.2691</v>
      </c>
    </row>
    <row r="1175" ht="15.75" customHeight="1">
      <c r="A1175" s="4">
        <v>2007.0</v>
      </c>
      <c r="B1175" s="4">
        <v>122.0</v>
      </c>
      <c r="C1175" s="4" t="s">
        <v>18</v>
      </c>
      <c r="D1175" s="5">
        <v>65190.28976879665</v>
      </c>
      <c r="E1175" s="5">
        <f t="shared" si="1"/>
        <v>0</v>
      </c>
      <c r="F1175" s="5">
        <f t="shared" si="2"/>
        <v>65190.28977</v>
      </c>
      <c r="G1175" s="5">
        <v>21464.720839794973</v>
      </c>
      <c r="H1175" s="5">
        <v>6256.448259030511</v>
      </c>
      <c r="I1175" s="5">
        <v>15208.272580764462</v>
      </c>
      <c r="J1175" s="5">
        <v>1487.965652086893</v>
      </c>
      <c r="K1175" s="5">
        <f t="shared" si="3"/>
        <v>1487.965652</v>
      </c>
      <c r="L1175" s="5">
        <f t="shared" si="4"/>
        <v>0</v>
      </c>
      <c r="M1175" s="5">
        <v>189756.82645493286</v>
      </c>
      <c r="N1175" s="5">
        <f t="shared" si="5"/>
        <v>0</v>
      </c>
      <c r="O1175" s="5">
        <f t="shared" si="6"/>
        <v>189756.8265</v>
      </c>
      <c r="P1175" s="5">
        <f t="shared" si="9"/>
        <v>277899.8027</v>
      </c>
      <c r="Q1175" s="5">
        <f t="shared" si="7"/>
        <v>270155.3888</v>
      </c>
      <c r="R1175" s="5">
        <f t="shared" si="8"/>
        <v>7744.413911</v>
      </c>
    </row>
    <row r="1176" ht="15.75" customHeight="1">
      <c r="A1176" s="4">
        <v>2007.0</v>
      </c>
      <c r="B1176" s="4">
        <v>123.0</v>
      </c>
      <c r="C1176" s="4" t="s">
        <v>18</v>
      </c>
      <c r="D1176" s="5" t="s">
        <v>19</v>
      </c>
      <c r="E1176" s="5" t="str">
        <f t="shared" si="1"/>
        <v/>
      </c>
      <c r="F1176" s="5" t="str">
        <f t="shared" si="2"/>
        <v/>
      </c>
      <c r="G1176" s="5" t="s">
        <v>19</v>
      </c>
      <c r="H1176" s="5" t="s">
        <v>19</v>
      </c>
      <c r="I1176" s="5" t="s">
        <v>19</v>
      </c>
      <c r="J1176" s="5">
        <v>0.0</v>
      </c>
      <c r="K1176" s="5">
        <f t="shared" si="3"/>
        <v>0</v>
      </c>
      <c r="L1176" s="5">
        <f t="shared" si="4"/>
        <v>0</v>
      </c>
      <c r="M1176" s="5">
        <v>2596.754696119112</v>
      </c>
      <c r="N1176" s="5">
        <f t="shared" si="5"/>
        <v>0</v>
      </c>
      <c r="O1176" s="5">
        <f t="shared" si="6"/>
        <v>2596.754696</v>
      </c>
      <c r="P1176" s="5">
        <f t="shared" si="9"/>
        <v>2596.754696</v>
      </c>
      <c r="Q1176" s="5">
        <f t="shared" si="7"/>
        <v>2596.754696</v>
      </c>
      <c r="R1176" s="5">
        <f t="shared" si="8"/>
        <v>0</v>
      </c>
    </row>
    <row r="1177" ht="15.75" customHeight="1">
      <c r="A1177" s="4">
        <v>2007.0</v>
      </c>
      <c r="B1177" s="4">
        <v>124.0</v>
      </c>
      <c r="C1177" s="4" t="s">
        <v>18</v>
      </c>
      <c r="D1177" s="5" t="s">
        <v>19</v>
      </c>
      <c r="E1177" s="5" t="str">
        <f t="shared" si="1"/>
        <v/>
      </c>
      <c r="F1177" s="5" t="str">
        <f t="shared" si="2"/>
        <v/>
      </c>
      <c r="G1177" s="5" t="s">
        <v>19</v>
      </c>
      <c r="H1177" s="5" t="s">
        <v>19</v>
      </c>
      <c r="I1177" s="5" t="s">
        <v>19</v>
      </c>
      <c r="J1177" s="5">
        <v>0.0</v>
      </c>
      <c r="K1177" s="5">
        <f t="shared" si="3"/>
        <v>0</v>
      </c>
      <c r="L1177" s="5">
        <f t="shared" si="4"/>
        <v>0</v>
      </c>
      <c r="M1177" s="5">
        <v>76774.5476919502</v>
      </c>
      <c r="N1177" s="5">
        <f t="shared" si="5"/>
        <v>0</v>
      </c>
      <c r="O1177" s="5">
        <f t="shared" si="6"/>
        <v>76774.54769</v>
      </c>
      <c r="P1177" s="5">
        <f t="shared" si="9"/>
        <v>76774.54769</v>
      </c>
      <c r="Q1177" s="5">
        <f t="shared" si="7"/>
        <v>76774.54769</v>
      </c>
      <c r="R1177" s="5">
        <f t="shared" si="8"/>
        <v>0</v>
      </c>
    </row>
    <row r="1178" ht="15.75" customHeight="1">
      <c r="A1178" s="4">
        <v>2007.0</v>
      </c>
      <c r="B1178" s="4">
        <v>125.0</v>
      </c>
      <c r="C1178" s="4" t="s">
        <v>18</v>
      </c>
      <c r="D1178" s="5">
        <v>18698.342062572607</v>
      </c>
      <c r="E1178" s="5">
        <f t="shared" si="1"/>
        <v>0</v>
      </c>
      <c r="F1178" s="5">
        <f t="shared" si="2"/>
        <v>18698.34206</v>
      </c>
      <c r="G1178" s="5">
        <v>1660.99401060288</v>
      </c>
      <c r="H1178" s="5">
        <v>862.5473298120576</v>
      </c>
      <c r="I1178" s="5">
        <v>798.4466807908225</v>
      </c>
      <c r="J1178" s="5">
        <v>3813.64941138394</v>
      </c>
      <c r="K1178" s="5">
        <f t="shared" si="3"/>
        <v>3813.649411</v>
      </c>
      <c r="L1178" s="5">
        <f t="shared" si="4"/>
        <v>0</v>
      </c>
      <c r="M1178" s="5">
        <v>283204.27046576515</v>
      </c>
      <c r="N1178" s="5">
        <f t="shared" si="5"/>
        <v>0</v>
      </c>
      <c r="O1178" s="5">
        <f t="shared" si="6"/>
        <v>283204.2705</v>
      </c>
      <c r="P1178" s="5">
        <f t="shared" si="9"/>
        <v>307377.256</v>
      </c>
      <c r="Q1178" s="5">
        <f t="shared" si="7"/>
        <v>302701.0592</v>
      </c>
      <c r="R1178" s="5">
        <f t="shared" si="8"/>
        <v>4676.196741</v>
      </c>
    </row>
    <row r="1179" ht="15.75" customHeight="1">
      <c r="A1179" s="4">
        <v>2007.0</v>
      </c>
      <c r="B1179" s="4">
        <v>126.0</v>
      </c>
      <c r="C1179" s="4" t="s">
        <v>18</v>
      </c>
      <c r="D1179" s="5">
        <v>3270.925387966803</v>
      </c>
      <c r="E1179" s="5">
        <f t="shared" si="1"/>
        <v>0</v>
      </c>
      <c r="F1179" s="5">
        <f t="shared" si="2"/>
        <v>3270.925388</v>
      </c>
      <c r="G1179" s="5">
        <v>21839.76586520869</v>
      </c>
      <c r="H1179" s="5">
        <v>17203.93945362558</v>
      </c>
      <c r="I1179" s="5">
        <v>4635.826411583112</v>
      </c>
      <c r="J1179" s="5">
        <v>0.0</v>
      </c>
      <c r="K1179" s="5">
        <f t="shared" si="3"/>
        <v>0</v>
      </c>
      <c r="L1179" s="5">
        <f t="shared" si="4"/>
        <v>0</v>
      </c>
      <c r="M1179" s="5">
        <v>237523.10612607282</v>
      </c>
      <c r="N1179" s="5">
        <f t="shared" si="5"/>
        <v>0</v>
      </c>
      <c r="O1179" s="5">
        <f t="shared" si="6"/>
        <v>237523.1061</v>
      </c>
      <c r="P1179" s="5">
        <f t="shared" si="9"/>
        <v>262633.7974</v>
      </c>
      <c r="Q1179" s="5">
        <f t="shared" si="7"/>
        <v>245429.8579</v>
      </c>
      <c r="R1179" s="5">
        <f t="shared" si="8"/>
        <v>17203.93945</v>
      </c>
    </row>
    <row r="1180" ht="15.75" customHeight="1">
      <c r="A1180" s="4">
        <v>2007.0</v>
      </c>
      <c r="B1180" s="4">
        <v>127.0</v>
      </c>
      <c r="C1180" s="4" t="s">
        <v>18</v>
      </c>
      <c r="D1180" s="5">
        <v>7499.529935186717</v>
      </c>
      <c r="E1180" s="5">
        <f t="shared" si="1"/>
        <v>0</v>
      </c>
      <c r="F1180" s="5">
        <f t="shared" si="2"/>
        <v>7499.529935</v>
      </c>
      <c r="G1180" s="5" t="s">
        <v>19</v>
      </c>
      <c r="H1180" s="5" t="s">
        <v>19</v>
      </c>
      <c r="I1180" s="5" t="s">
        <v>19</v>
      </c>
      <c r="J1180" s="5">
        <v>0.0</v>
      </c>
      <c r="K1180" s="5">
        <f t="shared" si="3"/>
        <v>0</v>
      </c>
      <c r="L1180" s="5">
        <f t="shared" si="4"/>
        <v>0</v>
      </c>
      <c r="M1180" s="5">
        <v>94772.10366399802</v>
      </c>
      <c r="N1180" s="5">
        <f t="shared" si="5"/>
        <v>0</v>
      </c>
      <c r="O1180" s="5">
        <f t="shared" si="6"/>
        <v>94772.10366</v>
      </c>
      <c r="P1180" s="5">
        <f t="shared" si="9"/>
        <v>102271.6336</v>
      </c>
      <c r="Q1180" s="5">
        <f t="shared" si="7"/>
        <v>102271.6336</v>
      </c>
      <c r="R1180" s="5">
        <f t="shared" si="8"/>
        <v>0</v>
      </c>
    </row>
    <row r="1181" ht="15.75" customHeight="1">
      <c r="A1181" s="4">
        <v>2007.0</v>
      </c>
      <c r="B1181" s="4">
        <v>128.0</v>
      </c>
      <c r="C1181" s="4" t="s">
        <v>18</v>
      </c>
      <c r="D1181" s="5">
        <v>16659.315880082977</v>
      </c>
      <c r="E1181" s="5">
        <f t="shared" si="1"/>
        <v>0</v>
      </c>
      <c r="F1181" s="5">
        <f t="shared" si="2"/>
        <v>16659.31588</v>
      </c>
      <c r="G1181" s="5" t="s">
        <v>19</v>
      </c>
      <c r="H1181" s="5" t="s">
        <v>19</v>
      </c>
      <c r="I1181" s="5" t="s">
        <v>19</v>
      </c>
      <c r="J1181" s="5">
        <v>0.0</v>
      </c>
      <c r="K1181" s="5">
        <f t="shared" si="3"/>
        <v>0</v>
      </c>
      <c r="L1181" s="5">
        <f t="shared" si="4"/>
        <v>0</v>
      </c>
      <c r="M1181" s="5">
        <v>8732.964732584816</v>
      </c>
      <c r="N1181" s="5">
        <f t="shared" si="5"/>
        <v>0</v>
      </c>
      <c r="O1181" s="5">
        <f t="shared" si="6"/>
        <v>8732.964733</v>
      </c>
      <c r="P1181" s="5">
        <f t="shared" si="9"/>
        <v>25392.28061</v>
      </c>
      <c r="Q1181" s="5">
        <f t="shared" si="7"/>
        <v>25392.28061</v>
      </c>
      <c r="R1181" s="5">
        <f t="shared" si="8"/>
        <v>0</v>
      </c>
    </row>
    <row r="1182" ht="15.75" customHeight="1">
      <c r="A1182" s="4">
        <v>2007.0</v>
      </c>
      <c r="B1182" s="4">
        <v>300.0</v>
      </c>
      <c r="C1182" s="4" t="s">
        <v>20</v>
      </c>
      <c r="D1182" s="5">
        <v>1313.5651925311197</v>
      </c>
      <c r="E1182" s="5">
        <f t="shared" si="1"/>
        <v>0</v>
      </c>
      <c r="F1182" s="5">
        <f t="shared" si="2"/>
        <v>1313.565193</v>
      </c>
      <c r="G1182" s="5">
        <v>21542.872536880648</v>
      </c>
      <c r="H1182" s="5">
        <v>9035.465645340495</v>
      </c>
      <c r="I1182" s="5">
        <v>12507.406891540153</v>
      </c>
      <c r="J1182" s="5">
        <v>334660.41250403714</v>
      </c>
      <c r="K1182" s="5">
        <f t="shared" si="3"/>
        <v>334660.4125</v>
      </c>
      <c r="L1182" s="5">
        <f t="shared" si="4"/>
        <v>0</v>
      </c>
      <c r="M1182" s="5">
        <v>906.3567741469365</v>
      </c>
      <c r="N1182" s="5">
        <f t="shared" si="5"/>
        <v>0</v>
      </c>
      <c r="O1182" s="5">
        <f t="shared" si="6"/>
        <v>906.3567741</v>
      </c>
      <c r="P1182" s="5">
        <f t="shared" si="9"/>
        <v>358423.207</v>
      </c>
      <c r="Q1182" s="5">
        <f t="shared" si="7"/>
        <v>14727.32886</v>
      </c>
      <c r="R1182" s="5">
        <f t="shared" si="8"/>
        <v>343695.8781</v>
      </c>
    </row>
    <row r="1183" ht="15.75" customHeight="1">
      <c r="A1183" s="4">
        <v>2007.0</v>
      </c>
      <c r="B1183" s="4">
        <v>301.0</v>
      </c>
      <c r="C1183" s="4" t="s">
        <v>20</v>
      </c>
      <c r="D1183" s="5" t="s">
        <v>19</v>
      </c>
      <c r="E1183" s="5" t="str">
        <f t="shared" si="1"/>
        <v/>
      </c>
      <c r="F1183" s="5" t="str">
        <f t="shared" si="2"/>
        <v/>
      </c>
      <c r="G1183" s="5">
        <v>5935.735073297535</v>
      </c>
      <c r="H1183" s="5">
        <v>4040.7260216597515</v>
      </c>
      <c r="I1183" s="5">
        <v>1895.0090516377832</v>
      </c>
      <c r="J1183" s="5">
        <v>7734.341039297047</v>
      </c>
      <c r="K1183" s="5">
        <f t="shared" si="3"/>
        <v>7734.341039</v>
      </c>
      <c r="L1183" s="5">
        <f t="shared" si="4"/>
        <v>0</v>
      </c>
      <c r="M1183" s="5">
        <v>327.33319126189883</v>
      </c>
      <c r="N1183" s="5">
        <f t="shared" si="5"/>
        <v>0</v>
      </c>
      <c r="O1183" s="5">
        <f t="shared" si="6"/>
        <v>327.3331913</v>
      </c>
      <c r="P1183" s="5">
        <f t="shared" si="9"/>
        <v>13997.4093</v>
      </c>
      <c r="Q1183" s="5">
        <f t="shared" si="7"/>
        <v>2222.342243</v>
      </c>
      <c r="R1183" s="5">
        <f t="shared" si="8"/>
        <v>11775.06706</v>
      </c>
    </row>
    <row r="1184" ht="15.75" customHeight="1">
      <c r="A1184" s="4">
        <v>2007.0</v>
      </c>
      <c r="B1184" s="4">
        <v>302.0</v>
      </c>
      <c r="C1184" s="4" t="s">
        <v>20</v>
      </c>
      <c r="D1184" s="5">
        <v>15595.169014312905</v>
      </c>
      <c r="E1184" s="5">
        <f t="shared" si="1"/>
        <v>0</v>
      </c>
      <c r="F1184" s="5">
        <f t="shared" si="2"/>
        <v>15595.16901</v>
      </c>
      <c r="G1184" s="5">
        <v>3799.6732329753477</v>
      </c>
      <c r="H1184" s="5">
        <v>2456.5253586721988</v>
      </c>
      <c r="I1184" s="5">
        <v>1343.147874303149</v>
      </c>
      <c r="J1184" s="5">
        <v>72929.44996920673</v>
      </c>
      <c r="K1184" s="5">
        <f t="shared" si="3"/>
        <v>72929.44997</v>
      </c>
      <c r="L1184" s="5">
        <f t="shared" si="4"/>
        <v>0</v>
      </c>
      <c r="M1184" s="5">
        <v>4291.287256636562</v>
      </c>
      <c r="N1184" s="5">
        <f t="shared" si="5"/>
        <v>0</v>
      </c>
      <c r="O1184" s="5">
        <f t="shared" si="6"/>
        <v>4291.287257</v>
      </c>
      <c r="P1184" s="5">
        <f t="shared" si="9"/>
        <v>96615.57947</v>
      </c>
      <c r="Q1184" s="5">
        <f t="shared" si="7"/>
        <v>21229.60415</v>
      </c>
      <c r="R1184" s="5">
        <f t="shared" si="8"/>
        <v>75385.97533</v>
      </c>
    </row>
    <row r="1185" ht="15.75" customHeight="1">
      <c r="A1185" s="4">
        <v>2007.0</v>
      </c>
      <c r="B1185" s="4">
        <v>303.0</v>
      </c>
      <c r="C1185" s="4" t="s">
        <v>20</v>
      </c>
      <c r="D1185" s="5">
        <v>13709.222246936777</v>
      </c>
      <c r="E1185" s="5">
        <f t="shared" si="1"/>
        <v>0</v>
      </c>
      <c r="F1185" s="5">
        <f t="shared" si="2"/>
        <v>13709.22225</v>
      </c>
      <c r="G1185" s="5">
        <v>6218.879888088845</v>
      </c>
      <c r="H1185" s="5">
        <v>2498.40041557237</v>
      </c>
      <c r="I1185" s="5">
        <v>3720.479472516475</v>
      </c>
      <c r="J1185" s="5">
        <v>10800.07009192092</v>
      </c>
      <c r="K1185" s="5">
        <f t="shared" si="3"/>
        <v>10800.07009</v>
      </c>
      <c r="L1185" s="5">
        <f t="shared" si="4"/>
        <v>0</v>
      </c>
      <c r="M1185" s="5">
        <v>8585.118553619723</v>
      </c>
      <c r="N1185" s="5">
        <f t="shared" si="5"/>
        <v>0</v>
      </c>
      <c r="O1185" s="5">
        <f t="shared" si="6"/>
        <v>8585.118554</v>
      </c>
      <c r="P1185" s="5">
        <f t="shared" si="9"/>
        <v>39313.29078</v>
      </c>
      <c r="Q1185" s="5">
        <f t="shared" si="7"/>
        <v>26014.82027</v>
      </c>
      <c r="R1185" s="5">
        <f t="shared" si="8"/>
        <v>13298.47051</v>
      </c>
    </row>
    <row r="1186" ht="15.75" customHeight="1">
      <c r="A1186" s="4">
        <v>2007.0</v>
      </c>
      <c r="B1186" s="4">
        <v>304.0</v>
      </c>
      <c r="C1186" s="4" t="s">
        <v>20</v>
      </c>
      <c r="D1186" s="5">
        <v>16593.716309992673</v>
      </c>
      <c r="E1186" s="5">
        <f t="shared" si="1"/>
        <v>0</v>
      </c>
      <c r="F1186" s="5">
        <f t="shared" si="2"/>
        <v>16593.71631</v>
      </c>
      <c r="G1186" s="5">
        <v>16229.296663900415</v>
      </c>
      <c r="H1186" s="5">
        <v>4746.201397363925</v>
      </c>
      <c r="I1186" s="5">
        <v>11483.09526653649</v>
      </c>
      <c r="J1186" s="5">
        <v>109.8750398340249</v>
      </c>
      <c r="K1186" s="5">
        <f t="shared" si="3"/>
        <v>109.8750398</v>
      </c>
      <c r="L1186" s="5">
        <f t="shared" si="4"/>
        <v>0</v>
      </c>
      <c r="M1186" s="5">
        <v>20789.049698926043</v>
      </c>
      <c r="N1186" s="5">
        <f t="shared" si="5"/>
        <v>0</v>
      </c>
      <c r="O1186" s="5">
        <f t="shared" si="6"/>
        <v>20789.0497</v>
      </c>
      <c r="P1186" s="5">
        <f t="shared" si="9"/>
        <v>53721.93771</v>
      </c>
      <c r="Q1186" s="5">
        <f t="shared" si="7"/>
        <v>48865.86128</v>
      </c>
      <c r="R1186" s="5">
        <f t="shared" si="8"/>
        <v>4856.076437</v>
      </c>
    </row>
    <row r="1187" ht="15.75" customHeight="1">
      <c r="A1187" s="4">
        <v>2007.0</v>
      </c>
      <c r="B1187" s="4">
        <v>305.0</v>
      </c>
      <c r="C1187" s="4" t="s">
        <v>20</v>
      </c>
      <c r="D1187" s="5">
        <v>37957.27907702708</v>
      </c>
      <c r="E1187" s="5">
        <f t="shared" si="1"/>
        <v>0</v>
      </c>
      <c r="F1187" s="5">
        <f t="shared" si="2"/>
        <v>37957.27908</v>
      </c>
      <c r="G1187" s="5">
        <v>26149.128795899444</v>
      </c>
      <c r="H1187" s="5">
        <v>8799.07769460093</v>
      </c>
      <c r="I1187" s="5">
        <v>17350.051101298515</v>
      </c>
      <c r="J1187" s="5">
        <v>2655.5289039101785</v>
      </c>
      <c r="K1187" s="5">
        <f t="shared" si="3"/>
        <v>2655.528904</v>
      </c>
      <c r="L1187" s="5">
        <f t="shared" si="4"/>
        <v>0</v>
      </c>
      <c r="M1187" s="5">
        <v>11114.403466204538</v>
      </c>
      <c r="N1187" s="5">
        <f t="shared" si="5"/>
        <v>0</v>
      </c>
      <c r="O1187" s="5">
        <f t="shared" si="6"/>
        <v>11114.40347</v>
      </c>
      <c r="P1187" s="5">
        <f t="shared" si="9"/>
        <v>77876.34024</v>
      </c>
      <c r="Q1187" s="5">
        <f t="shared" si="7"/>
        <v>66421.73364</v>
      </c>
      <c r="R1187" s="5">
        <f t="shared" si="8"/>
        <v>11454.6066</v>
      </c>
    </row>
    <row r="1188" ht="15.75" customHeight="1">
      <c r="A1188" s="4">
        <v>2007.0</v>
      </c>
      <c r="B1188" s="4">
        <v>306.0</v>
      </c>
      <c r="C1188" s="4" t="s">
        <v>20</v>
      </c>
      <c r="D1188" s="5">
        <v>6026.946177495727</v>
      </c>
      <c r="E1188" s="5">
        <f t="shared" si="1"/>
        <v>0</v>
      </c>
      <c r="F1188" s="5">
        <f t="shared" si="2"/>
        <v>6026.946177</v>
      </c>
      <c r="G1188" s="5" t="s">
        <v>19</v>
      </c>
      <c r="H1188" s="5" t="s">
        <v>19</v>
      </c>
      <c r="I1188" s="5" t="s">
        <v>19</v>
      </c>
      <c r="J1188" s="5">
        <v>0.0</v>
      </c>
      <c r="K1188" s="5">
        <f t="shared" si="3"/>
        <v>0</v>
      </c>
      <c r="L1188" s="5">
        <f t="shared" si="4"/>
        <v>0</v>
      </c>
      <c r="M1188" s="5">
        <v>19224.464885770067</v>
      </c>
      <c r="N1188" s="5">
        <f t="shared" si="5"/>
        <v>0</v>
      </c>
      <c r="O1188" s="5">
        <f t="shared" si="6"/>
        <v>19224.46489</v>
      </c>
      <c r="P1188" s="5">
        <f t="shared" si="9"/>
        <v>25251.41106</v>
      </c>
      <c r="Q1188" s="5">
        <f t="shared" si="7"/>
        <v>25251.41106</v>
      </c>
      <c r="R1188" s="5">
        <f t="shared" si="8"/>
        <v>0</v>
      </c>
    </row>
    <row r="1189" ht="15.75" customHeight="1">
      <c r="A1189" s="4">
        <v>2007.0</v>
      </c>
      <c r="B1189" s="4">
        <v>307.0</v>
      </c>
      <c r="C1189" s="4" t="s">
        <v>20</v>
      </c>
      <c r="D1189" s="5" t="s">
        <v>19</v>
      </c>
      <c r="E1189" s="5" t="str">
        <f t="shared" si="1"/>
        <v/>
      </c>
      <c r="F1189" s="5" t="str">
        <f t="shared" si="2"/>
        <v/>
      </c>
      <c r="G1189" s="5" t="s">
        <v>19</v>
      </c>
      <c r="H1189" s="5" t="s">
        <v>19</v>
      </c>
      <c r="I1189" s="5" t="s">
        <v>19</v>
      </c>
      <c r="J1189" s="5">
        <v>0.0</v>
      </c>
      <c r="K1189" s="5">
        <f t="shared" si="3"/>
        <v>0</v>
      </c>
      <c r="L1189" s="5">
        <f t="shared" si="4"/>
        <v>0</v>
      </c>
      <c r="M1189" s="5">
        <v>809.004830217232</v>
      </c>
      <c r="N1189" s="5">
        <f t="shared" si="5"/>
        <v>0</v>
      </c>
      <c r="O1189" s="5">
        <f t="shared" si="6"/>
        <v>809.0048302</v>
      </c>
      <c r="P1189" s="5">
        <f t="shared" si="9"/>
        <v>809.0048302</v>
      </c>
      <c r="Q1189" s="5">
        <f t="shared" si="7"/>
        <v>809.0048302</v>
      </c>
      <c r="R1189" s="5">
        <f t="shared" si="8"/>
        <v>0</v>
      </c>
    </row>
    <row r="1190" ht="15.75" customHeight="1">
      <c r="A1190" s="4">
        <v>2007.0</v>
      </c>
      <c r="B1190" s="4">
        <v>308.0</v>
      </c>
      <c r="C1190" s="4" t="s">
        <v>20</v>
      </c>
      <c r="D1190" s="5">
        <v>33474.514967493276</v>
      </c>
      <c r="E1190" s="5">
        <f t="shared" si="1"/>
        <v>0</v>
      </c>
      <c r="F1190" s="5">
        <f t="shared" si="2"/>
        <v>33474.51497</v>
      </c>
      <c r="G1190" s="5">
        <v>19483.834764949966</v>
      </c>
      <c r="H1190" s="5">
        <v>7017.86899189651</v>
      </c>
      <c r="I1190" s="5">
        <v>12465.965773053456</v>
      </c>
      <c r="J1190" s="5">
        <v>11401.151192189409</v>
      </c>
      <c r="K1190" s="5">
        <f t="shared" si="3"/>
        <v>11401.15119</v>
      </c>
      <c r="L1190" s="5">
        <f t="shared" si="4"/>
        <v>0</v>
      </c>
      <c r="M1190" s="5">
        <v>17192.624662289476</v>
      </c>
      <c r="N1190" s="5">
        <f t="shared" si="5"/>
        <v>0</v>
      </c>
      <c r="O1190" s="5">
        <f t="shared" si="6"/>
        <v>17192.62466</v>
      </c>
      <c r="P1190" s="5">
        <f t="shared" si="9"/>
        <v>81552.12559</v>
      </c>
      <c r="Q1190" s="5">
        <f t="shared" si="7"/>
        <v>63133.1054</v>
      </c>
      <c r="R1190" s="5">
        <f t="shared" si="8"/>
        <v>18419.02018</v>
      </c>
    </row>
    <row r="1191" ht="15.75" customHeight="1">
      <c r="A1191" s="4">
        <v>2007.0</v>
      </c>
      <c r="B1191" s="4">
        <v>309.0</v>
      </c>
      <c r="C1191" s="4" t="s">
        <v>20</v>
      </c>
      <c r="D1191" s="5" t="s">
        <v>19</v>
      </c>
      <c r="E1191" s="5" t="str">
        <f t="shared" si="1"/>
        <v/>
      </c>
      <c r="F1191" s="5" t="str">
        <f t="shared" si="2"/>
        <v/>
      </c>
      <c r="G1191" s="5">
        <v>2782.0876533805226</v>
      </c>
      <c r="H1191" s="5">
        <v>1155.2525412692216</v>
      </c>
      <c r="I1191" s="5">
        <v>1626.835112111301</v>
      </c>
      <c r="J1191" s="5">
        <v>4145.089738052234</v>
      </c>
      <c r="K1191" s="5">
        <f t="shared" si="3"/>
        <v>4145.089738</v>
      </c>
      <c r="L1191" s="5">
        <f t="shared" si="4"/>
        <v>0</v>
      </c>
      <c r="M1191" s="5">
        <v>664.8425439101779</v>
      </c>
      <c r="N1191" s="5">
        <f t="shared" si="5"/>
        <v>0</v>
      </c>
      <c r="O1191" s="5">
        <f t="shared" si="6"/>
        <v>664.8425439</v>
      </c>
      <c r="P1191" s="5">
        <f t="shared" si="9"/>
        <v>7592.019935</v>
      </c>
      <c r="Q1191" s="5">
        <f t="shared" si="7"/>
        <v>2291.677656</v>
      </c>
      <c r="R1191" s="5">
        <f t="shared" si="8"/>
        <v>5300.342279</v>
      </c>
    </row>
    <row r="1192" ht="15.75" customHeight="1">
      <c r="A1192" s="4">
        <v>2007.0</v>
      </c>
      <c r="B1192" s="4">
        <v>310.0</v>
      </c>
      <c r="C1192" s="4" t="s">
        <v>20</v>
      </c>
      <c r="D1192" s="5" t="s">
        <v>19</v>
      </c>
      <c r="E1192" s="5" t="str">
        <f t="shared" si="1"/>
        <v/>
      </c>
      <c r="F1192" s="5" t="str">
        <f t="shared" si="2"/>
        <v/>
      </c>
      <c r="G1192" s="5" t="s">
        <v>19</v>
      </c>
      <c r="H1192" s="5" t="s">
        <v>19</v>
      </c>
      <c r="I1192" s="5" t="s">
        <v>19</v>
      </c>
      <c r="J1192" s="5">
        <v>5532.531417525019</v>
      </c>
      <c r="K1192" s="5">
        <f t="shared" si="3"/>
        <v>5532.531418</v>
      </c>
      <c r="L1192" s="5">
        <f t="shared" si="4"/>
        <v>0</v>
      </c>
      <c r="M1192" s="5">
        <v>2367.314343851598</v>
      </c>
      <c r="N1192" s="5">
        <f t="shared" si="5"/>
        <v>0</v>
      </c>
      <c r="O1192" s="5">
        <f t="shared" si="6"/>
        <v>2367.314344</v>
      </c>
      <c r="P1192" s="5">
        <f t="shared" si="9"/>
        <v>7899.845761</v>
      </c>
      <c r="Q1192" s="5">
        <f t="shared" si="7"/>
        <v>2367.314344</v>
      </c>
      <c r="R1192" s="5">
        <f t="shared" si="8"/>
        <v>5532.531418</v>
      </c>
    </row>
    <row r="1193" ht="15.75" customHeight="1">
      <c r="A1193" s="4">
        <v>2007.0</v>
      </c>
      <c r="B1193" s="4">
        <v>311.0</v>
      </c>
      <c r="C1193" s="4" t="s">
        <v>20</v>
      </c>
      <c r="D1193" s="5" t="s">
        <v>19</v>
      </c>
      <c r="E1193" s="5" t="str">
        <f t="shared" si="1"/>
        <v/>
      </c>
      <c r="F1193" s="5" t="str">
        <f t="shared" si="2"/>
        <v/>
      </c>
      <c r="G1193" s="5" t="s">
        <v>19</v>
      </c>
      <c r="H1193" s="5" t="s">
        <v>19</v>
      </c>
      <c r="I1193" s="5" t="s">
        <v>19</v>
      </c>
      <c r="J1193" s="5">
        <v>1171.1386598779598</v>
      </c>
      <c r="K1193" s="5">
        <f t="shared" si="3"/>
        <v>1171.13866</v>
      </c>
      <c r="L1193" s="5">
        <f t="shared" si="4"/>
        <v>0</v>
      </c>
      <c r="M1193" s="5">
        <v>1497.5917506956303</v>
      </c>
      <c r="N1193" s="5">
        <f t="shared" si="5"/>
        <v>0</v>
      </c>
      <c r="O1193" s="5">
        <f t="shared" si="6"/>
        <v>1497.591751</v>
      </c>
      <c r="P1193" s="5">
        <f t="shared" si="9"/>
        <v>2668.730411</v>
      </c>
      <c r="Q1193" s="5">
        <f t="shared" si="7"/>
        <v>1497.591751</v>
      </c>
      <c r="R1193" s="5">
        <f t="shared" si="8"/>
        <v>1171.13866</v>
      </c>
    </row>
    <row r="1194" ht="15.75" customHeight="1">
      <c r="A1194" s="4">
        <v>2007.0</v>
      </c>
      <c r="B1194" s="4">
        <v>312.0</v>
      </c>
      <c r="C1194" s="4" t="s">
        <v>20</v>
      </c>
      <c r="D1194" s="5">
        <v>3132.3477668049777</v>
      </c>
      <c r="E1194" s="5">
        <f t="shared" si="1"/>
        <v>0</v>
      </c>
      <c r="F1194" s="5">
        <f t="shared" si="2"/>
        <v>3132.347767</v>
      </c>
      <c r="G1194" s="5" t="s">
        <v>19</v>
      </c>
      <c r="H1194" s="5" t="s">
        <v>19</v>
      </c>
      <c r="I1194" s="5" t="s">
        <v>19</v>
      </c>
      <c r="J1194" s="5">
        <v>2035.9198557481086</v>
      </c>
      <c r="K1194" s="5">
        <f t="shared" si="3"/>
        <v>2035.919856</v>
      </c>
      <c r="L1194" s="5">
        <f t="shared" si="4"/>
        <v>0</v>
      </c>
      <c r="M1194" s="5">
        <v>827.6611260922623</v>
      </c>
      <c r="N1194" s="5">
        <f t="shared" si="5"/>
        <v>0</v>
      </c>
      <c r="O1194" s="5">
        <f t="shared" si="6"/>
        <v>827.6611261</v>
      </c>
      <c r="P1194" s="5">
        <f t="shared" si="9"/>
        <v>5995.928749</v>
      </c>
      <c r="Q1194" s="5">
        <f t="shared" si="7"/>
        <v>3960.008893</v>
      </c>
      <c r="R1194" s="5">
        <f t="shared" si="8"/>
        <v>2035.919856</v>
      </c>
    </row>
    <row r="1195" ht="15.75" customHeight="1">
      <c r="A1195" s="4">
        <v>2007.0</v>
      </c>
      <c r="B1195" s="4">
        <v>313.0</v>
      </c>
      <c r="C1195" s="4" t="s">
        <v>20</v>
      </c>
      <c r="D1195" s="5">
        <v>20158.767904925542</v>
      </c>
      <c r="E1195" s="5">
        <f t="shared" si="1"/>
        <v>0</v>
      </c>
      <c r="F1195" s="5">
        <f t="shared" si="2"/>
        <v>20158.7679</v>
      </c>
      <c r="G1195" s="5">
        <v>2433.3096535513796</v>
      </c>
      <c r="H1195" s="5">
        <v>1645.2774946839154</v>
      </c>
      <c r="I1195" s="5">
        <v>788.0321588674642</v>
      </c>
      <c r="J1195" s="5">
        <v>92.63973946790335</v>
      </c>
      <c r="K1195" s="5">
        <f t="shared" si="3"/>
        <v>92.63973947</v>
      </c>
      <c r="L1195" s="5">
        <f t="shared" si="4"/>
        <v>0</v>
      </c>
      <c r="M1195" s="5">
        <v>4555.528247302904</v>
      </c>
      <c r="N1195" s="5">
        <f t="shared" si="5"/>
        <v>0</v>
      </c>
      <c r="O1195" s="5">
        <f t="shared" si="6"/>
        <v>4555.528247</v>
      </c>
      <c r="P1195" s="5">
        <f t="shared" si="9"/>
        <v>27240.24555</v>
      </c>
      <c r="Q1195" s="5">
        <f t="shared" si="7"/>
        <v>25502.32831</v>
      </c>
      <c r="R1195" s="5">
        <f t="shared" si="8"/>
        <v>1737.917234</v>
      </c>
    </row>
    <row r="1196" ht="15.75" customHeight="1">
      <c r="A1196" s="4">
        <v>2007.0</v>
      </c>
      <c r="B1196" s="4">
        <v>314.0</v>
      </c>
      <c r="C1196" s="4" t="s">
        <v>20</v>
      </c>
      <c r="D1196" s="5">
        <v>7610.951262606782</v>
      </c>
      <c r="E1196" s="5">
        <f t="shared" si="1"/>
        <v>0</v>
      </c>
      <c r="F1196" s="5">
        <f t="shared" si="2"/>
        <v>7610.951263</v>
      </c>
      <c r="G1196" s="5">
        <v>1876.7836382719065</v>
      </c>
      <c r="H1196" s="5">
        <v>1057.1824598242617</v>
      </c>
      <c r="I1196" s="5">
        <v>819.6011784476448</v>
      </c>
      <c r="J1196" s="5">
        <v>2641.3097811081284</v>
      </c>
      <c r="K1196" s="5">
        <f t="shared" si="3"/>
        <v>2641.309781</v>
      </c>
      <c r="L1196" s="5">
        <f t="shared" si="4"/>
        <v>0</v>
      </c>
      <c r="M1196" s="5">
        <v>2152.2581332194286</v>
      </c>
      <c r="N1196" s="5">
        <f t="shared" si="5"/>
        <v>0</v>
      </c>
      <c r="O1196" s="5">
        <f t="shared" si="6"/>
        <v>2152.258133</v>
      </c>
      <c r="P1196" s="5">
        <f t="shared" si="9"/>
        <v>14281.30282</v>
      </c>
      <c r="Q1196" s="5">
        <f t="shared" si="7"/>
        <v>10582.81057</v>
      </c>
      <c r="R1196" s="5">
        <f t="shared" si="8"/>
        <v>3698.492241</v>
      </c>
    </row>
    <row r="1197" ht="15.75" customHeight="1">
      <c r="A1197" s="4">
        <v>2007.0</v>
      </c>
      <c r="B1197" s="4">
        <v>320.0</v>
      </c>
      <c r="C1197" s="4" t="s">
        <v>20</v>
      </c>
      <c r="D1197" s="5">
        <v>73275.54030118619</v>
      </c>
      <c r="E1197" s="5">
        <f t="shared" si="1"/>
        <v>0</v>
      </c>
      <c r="F1197" s="5">
        <f t="shared" si="2"/>
        <v>73275.5403</v>
      </c>
      <c r="G1197" s="5">
        <v>27939.124751476695</v>
      </c>
      <c r="H1197" s="5">
        <v>14891.247565955578</v>
      </c>
      <c r="I1197" s="5">
        <v>13047.877185521116</v>
      </c>
      <c r="J1197" s="5">
        <v>76161.93055287286</v>
      </c>
      <c r="K1197" s="5">
        <f t="shared" si="3"/>
        <v>76161.93055</v>
      </c>
      <c r="L1197" s="5">
        <f t="shared" si="4"/>
        <v>0</v>
      </c>
      <c r="M1197" s="5">
        <v>22022.739664334877</v>
      </c>
      <c r="N1197" s="5">
        <f t="shared" si="5"/>
        <v>0</v>
      </c>
      <c r="O1197" s="5">
        <f t="shared" si="6"/>
        <v>22022.73966</v>
      </c>
      <c r="P1197" s="5">
        <f t="shared" si="9"/>
        <v>199399.3353</v>
      </c>
      <c r="Q1197" s="5">
        <f t="shared" si="7"/>
        <v>108346.1572</v>
      </c>
      <c r="R1197" s="5">
        <f t="shared" si="8"/>
        <v>91053.17812</v>
      </c>
    </row>
    <row r="1198" ht="15.75" customHeight="1">
      <c r="A1198" s="4">
        <v>2007.0</v>
      </c>
      <c r="B1198" s="4">
        <v>321.0</v>
      </c>
      <c r="C1198" s="4" t="s">
        <v>20</v>
      </c>
      <c r="D1198" s="5">
        <v>35631.49600083963</v>
      </c>
      <c r="E1198" s="5">
        <f t="shared" si="1"/>
        <v>0</v>
      </c>
      <c r="F1198" s="5">
        <f t="shared" si="2"/>
        <v>35631.496</v>
      </c>
      <c r="G1198" s="5">
        <v>12965.53737156456</v>
      </c>
      <c r="H1198" s="5">
        <v>7134.164486707346</v>
      </c>
      <c r="I1198" s="5">
        <v>5831.372884857214</v>
      </c>
      <c r="J1198" s="5">
        <v>1233.6166237051502</v>
      </c>
      <c r="K1198" s="5">
        <f t="shared" si="3"/>
        <v>1233.616624</v>
      </c>
      <c r="L1198" s="5">
        <f t="shared" si="4"/>
        <v>0</v>
      </c>
      <c r="M1198" s="5">
        <v>3721.083013619722</v>
      </c>
      <c r="N1198" s="5">
        <f t="shared" si="5"/>
        <v>0</v>
      </c>
      <c r="O1198" s="5">
        <f t="shared" si="6"/>
        <v>3721.083014</v>
      </c>
      <c r="P1198" s="5">
        <f t="shared" si="9"/>
        <v>53551.73301</v>
      </c>
      <c r="Q1198" s="5">
        <f t="shared" si="7"/>
        <v>45183.9519</v>
      </c>
      <c r="R1198" s="5">
        <f t="shared" si="8"/>
        <v>8367.78111</v>
      </c>
    </row>
    <row r="1199" ht="15.75" customHeight="1">
      <c r="A1199" s="4">
        <v>2007.0</v>
      </c>
      <c r="B1199" s="4">
        <v>322.0</v>
      </c>
      <c r="C1199" s="4" t="s">
        <v>20</v>
      </c>
      <c r="D1199" s="5">
        <v>5610.884804295823</v>
      </c>
      <c r="E1199" s="5">
        <f t="shared" si="1"/>
        <v>0</v>
      </c>
      <c r="F1199" s="5">
        <f t="shared" si="2"/>
        <v>5610.884804</v>
      </c>
      <c r="G1199" s="5" t="s">
        <v>19</v>
      </c>
      <c r="H1199" s="5" t="s">
        <v>19</v>
      </c>
      <c r="I1199" s="5" t="s">
        <v>19</v>
      </c>
      <c r="J1199" s="5">
        <v>0.0</v>
      </c>
      <c r="K1199" s="5">
        <f t="shared" si="3"/>
        <v>0</v>
      </c>
      <c r="L1199" s="5">
        <f t="shared" si="4"/>
        <v>0</v>
      </c>
      <c r="M1199" s="5">
        <v>21038.026447512806</v>
      </c>
      <c r="N1199" s="5">
        <f t="shared" si="5"/>
        <v>0</v>
      </c>
      <c r="O1199" s="5">
        <f t="shared" si="6"/>
        <v>21038.02645</v>
      </c>
      <c r="P1199" s="5">
        <f t="shared" si="9"/>
        <v>26648.91125</v>
      </c>
      <c r="Q1199" s="5">
        <f t="shared" si="7"/>
        <v>26648.91125</v>
      </c>
      <c r="R1199" s="5">
        <f t="shared" si="8"/>
        <v>0</v>
      </c>
    </row>
    <row r="1200" ht="15.75" customHeight="1">
      <c r="A1200" s="4">
        <v>2007.0</v>
      </c>
      <c r="B1200" s="4">
        <v>323.0</v>
      </c>
      <c r="C1200" s="4" t="s">
        <v>20</v>
      </c>
      <c r="D1200" s="5">
        <v>2092.194333805222</v>
      </c>
      <c r="E1200" s="5">
        <f t="shared" si="1"/>
        <v>0</v>
      </c>
      <c r="F1200" s="5">
        <f t="shared" si="2"/>
        <v>2092.194334</v>
      </c>
      <c r="G1200" s="5" t="s">
        <v>19</v>
      </c>
      <c r="H1200" s="5" t="s">
        <v>19</v>
      </c>
      <c r="I1200" s="5" t="s">
        <v>19</v>
      </c>
      <c r="J1200" s="5">
        <v>0.0</v>
      </c>
      <c r="K1200" s="5">
        <f t="shared" si="3"/>
        <v>0</v>
      </c>
      <c r="L1200" s="5">
        <f t="shared" si="4"/>
        <v>0</v>
      </c>
      <c r="M1200" s="5">
        <v>205104.77280973882</v>
      </c>
      <c r="N1200" s="5">
        <f t="shared" si="5"/>
        <v>0</v>
      </c>
      <c r="O1200" s="5">
        <f t="shared" si="6"/>
        <v>205104.7728</v>
      </c>
      <c r="P1200" s="5">
        <f t="shared" si="9"/>
        <v>207196.9671</v>
      </c>
      <c r="Q1200" s="5">
        <f t="shared" si="7"/>
        <v>207196.9671</v>
      </c>
      <c r="R1200" s="5">
        <f t="shared" si="8"/>
        <v>0</v>
      </c>
    </row>
    <row r="1201" ht="15.75" customHeight="1">
      <c r="A1201" s="4">
        <v>2007.0</v>
      </c>
      <c r="B1201" s="4">
        <v>324.0</v>
      </c>
      <c r="C1201" s="4" t="s">
        <v>20</v>
      </c>
      <c r="D1201" s="5" t="s">
        <v>19</v>
      </c>
      <c r="E1201" s="5" t="str">
        <f t="shared" si="1"/>
        <v/>
      </c>
      <c r="F1201" s="5" t="str">
        <f t="shared" si="2"/>
        <v/>
      </c>
      <c r="G1201" s="5" t="s">
        <v>19</v>
      </c>
      <c r="H1201" s="5" t="s">
        <v>19</v>
      </c>
      <c r="I1201" s="5" t="s">
        <v>19</v>
      </c>
      <c r="J1201" s="5">
        <v>0.0</v>
      </c>
      <c r="K1201" s="5">
        <f t="shared" si="3"/>
        <v>0</v>
      </c>
      <c r="L1201" s="5">
        <f t="shared" si="4"/>
        <v>0</v>
      </c>
      <c r="M1201" s="5">
        <v>110868.76949654377</v>
      </c>
      <c r="N1201" s="5">
        <f t="shared" si="5"/>
        <v>0</v>
      </c>
      <c r="O1201" s="5">
        <f t="shared" si="6"/>
        <v>110868.7695</v>
      </c>
      <c r="P1201" s="5">
        <f t="shared" si="9"/>
        <v>110868.7695</v>
      </c>
      <c r="Q1201" s="5">
        <f t="shared" si="7"/>
        <v>110868.7695</v>
      </c>
      <c r="R1201" s="5">
        <f t="shared" si="8"/>
        <v>0</v>
      </c>
    </row>
    <row r="1202" ht="15.75" customHeight="1">
      <c r="A1202" s="4">
        <v>2007.0</v>
      </c>
      <c r="B1202" s="4">
        <v>325.0</v>
      </c>
      <c r="C1202" s="4" t="s">
        <v>20</v>
      </c>
      <c r="D1202" s="5">
        <v>10312.37832145472</v>
      </c>
      <c r="E1202" s="5">
        <f t="shared" si="1"/>
        <v>0</v>
      </c>
      <c r="F1202" s="5">
        <f t="shared" si="2"/>
        <v>10312.37832</v>
      </c>
      <c r="G1202" s="5" t="s">
        <v>19</v>
      </c>
      <c r="H1202" s="5" t="s">
        <v>19</v>
      </c>
      <c r="I1202" s="5" t="s">
        <v>19</v>
      </c>
      <c r="J1202" s="5">
        <v>0.0</v>
      </c>
      <c r="K1202" s="5">
        <f t="shared" si="3"/>
        <v>0</v>
      </c>
      <c r="L1202" s="5">
        <f t="shared" si="4"/>
        <v>0</v>
      </c>
      <c r="M1202" s="5">
        <v>9525.226263031487</v>
      </c>
      <c r="N1202" s="5">
        <f t="shared" si="5"/>
        <v>0</v>
      </c>
      <c r="O1202" s="5">
        <f t="shared" si="6"/>
        <v>9525.226263</v>
      </c>
      <c r="P1202" s="5">
        <f t="shared" si="9"/>
        <v>19837.60458</v>
      </c>
      <c r="Q1202" s="5">
        <f t="shared" si="7"/>
        <v>19837.60458</v>
      </c>
      <c r="R1202" s="5">
        <f t="shared" si="8"/>
        <v>0</v>
      </c>
    </row>
    <row r="1203" ht="15.75" customHeight="1">
      <c r="A1203" s="4">
        <v>2007.0</v>
      </c>
      <c r="B1203" s="4">
        <v>326.0</v>
      </c>
      <c r="C1203" s="4" t="s">
        <v>20</v>
      </c>
      <c r="D1203" s="5" t="s">
        <v>19</v>
      </c>
      <c r="E1203" s="5" t="str">
        <f t="shared" si="1"/>
        <v/>
      </c>
      <c r="F1203" s="5" t="str">
        <f t="shared" si="2"/>
        <v/>
      </c>
      <c r="G1203" s="5" t="s">
        <v>19</v>
      </c>
      <c r="H1203" s="5" t="s">
        <v>19</v>
      </c>
      <c r="I1203" s="5" t="s">
        <v>19</v>
      </c>
      <c r="J1203" s="5">
        <v>0.0</v>
      </c>
      <c r="K1203" s="5">
        <f t="shared" si="3"/>
        <v>0</v>
      </c>
      <c r="L1203" s="5">
        <f t="shared" si="4"/>
        <v>0</v>
      </c>
      <c r="M1203" s="5">
        <v>18863.211156553567</v>
      </c>
      <c r="N1203" s="5">
        <f t="shared" si="5"/>
        <v>0</v>
      </c>
      <c r="O1203" s="5">
        <f t="shared" si="6"/>
        <v>18863.21116</v>
      </c>
      <c r="P1203" s="5">
        <f t="shared" si="9"/>
        <v>18863.21116</v>
      </c>
      <c r="Q1203" s="5">
        <f t="shared" si="7"/>
        <v>18863.21116</v>
      </c>
      <c r="R1203" s="5">
        <f t="shared" si="8"/>
        <v>0</v>
      </c>
    </row>
    <row r="1204" ht="15.75" customHeight="1">
      <c r="A1204" s="4">
        <v>2007.0</v>
      </c>
      <c r="B1204" s="4">
        <v>327.0</v>
      </c>
      <c r="C1204" s="4" t="s">
        <v>20</v>
      </c>
      <c r="D1204" s="5">
        <v>47852.40727850131</v>
      </c>
      <c r="E1204" s="5">
        <f t="shared" si="1"/>
        <v>0</v>
      </c>
      <c r="F1204" s="5">
        <f t="shared" si="2"/>
        <v>47852.40728</v>
      </c>
      <c r="G1204" s="5">
        <v>5776.8051293629505</v>
      </c>
      <c r="H1204" s="5">
        <v>2164.2678371979505</v>
      </c>
      <c r="I1204" s="5">
        <v>3612.537292165</v>
      </c>
      <c r="J1204" s="5">
        <v>607.5443379057848</v>
      </c>
      <c r="K1204" s="5">
        <f t="shared" si="3"/>
        <v>607.5443379</v>
      </c>
      <c r="L1204" s="5">
        <f t="shared" si="4"/>
        <v>0</v>
      </c>
      <c r="M1204" s="5">
        <v>26784.335179711983</v>
      </c>
      <c r="N1204" s="5">
        <f t="shared" si="5"/>
        <v>0</v>
      </c>
      <c r="O1204" s="5">
        <f t="shared" si="6"/>
        <v>26784.33518</v>
      </c>
      <c r="P1204" s="5">
        <f t="shared" si="9"/>
        <v>81021.09193</v>
      </c>
      <c r="Q1204" s="5">
        <f t="shared" si="7"/>
        <v>78249.27975</v>
      </c>
      <c r="R1204" s="5">
        <f t="shared" si="8"/>
        <v>2771.812175</v>
      </c>
    </row>
    <row r="1205" ht="15.75" customHeight="1">
      <c r="A1205" s="4">
        <v>2007.0</v>
      </c>
      <c r="B1205" s="4">
        <v>328.0</v>
      </c>
      <c r="C1205" s="4" t="s">
        <v>20</v>
      </c>
      <c r="D1205" s="5">
        <v>4104.1482599218925</v>
      </c>
      <c r="E1205" s="5">
        <f t="shared" si="1"/>
        <v>0</v>
      </c>
      <c r="F1205" s="5">
        <f t="shared" si="2"/>
        <v>4104.14826</v>
      </c>
      <c r="G1205" s="5" t="s">
        <v>19</v>
      </c>
      <c r="H1205" s="5" t="s">
        <v>19</v>
      </c>
      <c r="I1205" s="5" t="s">
        <v>19</v>
      </c>
      <c r="J1205" s="5">
        <v>0.0</v>
      </c>
      <c r="K1205" s="5">
        <f t="shared" si="3"/>
        <v>0</v>
      </c>
      <c r="L1205" s="5">
        <f t="shared" si="4"/>
        <v>0</v>
      </c>
      <c r="M1205" s="5">
        <v>188680.95714019035</v>
      </c>
      <c r="N1205" s="5">
        <f t="shared" si="5"/>
        <v>0</v>
      </c>
      <c r="O1205" s="5">
        <f t="shared" si="6"/>
        <v>188680.9571</v>
      </c>
      <c r="P1205" s="5">
        <f t="shared" si="9"/>
        <v>192785.1054</v>
      </c>
      <c r="Q1205" s="5">
        <f t="shared" si="7"/>
        <v>192785.1054</v>
      </c>
      <c r="R1205" s="5">
        <f t="shared" si="8"/>
        <v>0</v>
      </c>
    </row>
    <row r="1206" ht="15.75" customHeight="1">
      <c r="A1206" s="4">
        <v>2007.0</v>
      </c>
      <c r="B1206" s="4">
        <v>331.0</v>
      </c>
      <c r="C1206" s="4" t="s">
        <v>20</v>
      </c>
      <c r="D1206" s="5">
        <v>177132.78027934578</v>
      </c>
      <c r="E1206" s="5">
        <f t="shared" si="1"/>
        <v>0</v>
      </c>
      <c r="F1206" s="5">
        <f t="shared" si="2"/>
        <v>177132.7803</v>
      </c>
      <c r="G1206" s="5">
        <v>98921.68558140103</v>
      </c>
      <c r="H1206" s="5">
        <v>24104.73644542349</v>
      </c>
      <c r="I1206" s="5">
        <v>74816.94913597754</v>
      </c>
      <c r="J1206" s="5">
        <v>1753.6918122528684</v>
      </c>
      <c r="K1206" s="5">
        <f t="shared" si="3"/>
        <v>1753.691812</v>
      </c>
      <c r="L1206" s="5">
        <f t="shared" si="4"/>
        <v>0</v>
      </c>
      <c r="M1206" s="5">
        <v>40603.73194510618</v>
      </c>
      <c r="N1206" s="5">
        <f t="shared" si="5"/>
        <v>0</v>
      </c>
      <c r="O1206" s="5">
        <f t="shared" si="6"/>
        <v>40603.73195</v>
      </c>
      <c r="P1206" s="5">
        <f t="shared" si="9"/>
        <v>318411.8896</v>
      </c>
      <c r="Q1206" s="5">
        <f t="shared" si="7"/>
        <v>292553.4614</v>
      </c>
      <c r="R1206" s="5">
        <f t="shared" si="8"/>
        <v>25858.42826</v>
      </c>
    </row>
    <row r="1207" ht="15.75" customHeight="1">
      <c r="A1207" s="4">
        <v>2007.0</v>
      </c>
      <c r="B1207" s="4">
        <v>332.0</v>
      </c>
      <c r="C1207" s="4" t="s">
        <v>20</v>
      </c>
      <c r="D1207" s="5" t="s">
        <v>19</v>
      </c>
      <c r="E1207" s="5" t="str">
        <f t="shared" si="1"/>
        <v/>
      </c>
      <c r="F1207" s="5" t="str">
        <f t="shared" si="2"/>
        <v/>
      </c>
      <c r="G1207" s="5" t="s">
        <v>19</v>
      </c>
      <c r="H1207" s="5" t="s">
        <v>19</v>
      </c>
      <c r="I1207" s="5" t="s">
        <v>19</v>
      </c>
      <c r="J1207" s="5">
        <v>0.0</v>
      </c>
      <c r="K1207" s="5">
        <f t="shared" si="3"/>
        <v>0</v>
      </c>
      <c r="L1207" s="5">
        <f t="shared" si="4"/>
        <v>0</v>
      </c>
      <c r="M1207" s="5">
        <v>11246.863166917254</v>
      </c>
      <c r="N1207" s="5">
        <f t="shared" si="5"/>
        <v>0</v>
      </c>
      <c r="O1207" s="5">
        <f t="shared" si="6"/>
        <v>11246.86317</v>
      </c>
      <c r="P1207" s="5">
        <f t="shared" si="9"/>
        <v>11246.86317</v>
      </c>
      <c r="Q1207" s="5">
        <f t="shared" si="7"/>
        <v>11246.86317</v>
      </c>
      <c r="R1207" s="5">
        <f t="shared" si="8"/>
        <v>0</v>
      </c>
    </row>
    <row r="1208" ht="15.75" customHeight="1">
      <c r="A1208" s="4">
        <v>2007.0</v>
      </c>
      <c r="B1208" s="4">
        <v>333.0</v>
      </c>
      <c r="C1208" s="4" t="s">
        <v>20</v>
      </c>
      <c r="D1208" s="5">
        <v>9581.299051403463</v>
      </c>
      <c r="E1208" s="5">
        <f t="shared" si="1"/>
        <v>0</v>
      </c>
      <c r="F1208" s="5">
        <f t="shared" si="2"/>
        <v>9581.299051</v>
      </c>
      <c r="G1208" s="5" t="s">
        <v>19</v>
      </c>
      <c r="H1208" s="5" t="s">
        <v>19</v>
      </c>
      <c r="I1208" s="5" t="s">
        <v>19</v>
      </c>
      <c r="J1208" s="5">
        <v>0.0</v>
      </c>
      <c r="K1208" s="5">
        <f t="shared" si="3"/>
        <v>0</v>
      </c>
      <c r="L1208" s="5">
        <f t="shared" si="4"/>
        <v>0</v>
      </c>
      <c r="M1208" s="5">
        <v>2550.654851496216</v>
      </c>
      <c r="N1208" s="5">
        <f t="shared" si="5"/>
        <v>0</v>
      </c>
      <c r="O1208" s="5">
        <f t="shared" si="6"/>
        <v>2550.654851</v>
      </c>
      <c r="P1208" s="5">
        <f t="shared" si="9"/>
        <v>12131.9539</v>
      </c>
      <c r="Q1208" s="5">
        <f t="shared" si="7"/>
        <v>12131.9539</v>
      </c>
      <c r="R1208" s="5">
        <f t="shared" si="8"/>
        <v>0</v>
      </c>
    </row>
    <row r="1209" ht="15.75" customHeight="1">
      <c r="A1209" s="4">
        <v>2007.0</v>
      </c>
      <c r="B1209" s="4">
        <v>400.0</v>
      </c>
      <c r="C1209" s="4" t="s">
        <v>21</v>
      </c>
      <c r="D1209" s="5">
        <v>578.7684148742981</v>
      </c>
      <c r="E1209" s="5">
        <f t="shared" si="1"/>
        <v>0</v>
      </c>
      <c r="F1209" s="5">
        <f t="shared" si="2"/>
        <v>578.7684149</v>
      </c>
      <c r="G1209" s="5" t="s">
        <v>19</v>
      </c>
      <c r="H1209" s="5" t="s">
        <v>19</v>
      </c>
      <c r="I1209" s="5" t="s">
        <v>19</v>
      </c>
      <c r="J1209" s="5">
        <v>41692.37341195509</v>
      </c>
      <c r="K1209" s="5">
        <f t="shared" si="3"/>
        <v>41692.37341</v>
      </c>
      <c r="L1209" s="5">
        <f t="shared" si="4"/>
        <v>0</v>
      </c>
      <c r="M1209" s="5">
        <v>556.8698045154993</v>
      </c>
      <c r="N1209" s="5">
        <f t="shared" si="5"/>
        <v>0</v>
      </c>
      <c r="O1209" s="5">
        <f t="shared" si="6"/>
        <v>556.8698045</v>
      </c>
      <c r="P1209" s="5">
        <f t="shared" si="9"/>
        <v>42828.01163</v>
      </c>
      <c r="Q1209" s="5">
        <f t="shared" si="7"/>
        <v>1135.638219</v>
      </c>
      <c r="R1209" s="5">
        <f t="shared" si="8"/>
        <v>41692.37341</v>
      </c>
    </row>
    <row r="1210" ht="15.75" customHeight="1">
      <c r="A1210" s="4">
        <v>2007.0</v>
      </c>
      <c r="B1210" s="4">
        <v>401.0</v>
      </c>
      <c r="C1210" s="4" t="s">
        <v>21</v>
      </c>
      <c r="D1210" s="5">
        <v>1091.4085882108857</v>
      </c>
      <c r="E1210" s="5">
        <f t="shared" si="1"/>
        <v>0</v>
      </c>
      <c r="F1210" s="5">
        <f t="shared" si="2"/>
        <v>1091.408588</v>
      </c>
      <c r="G1210" s="5">
        <v>6542.764491325359</v>
      </c>
      <c r="H1210" s="5">
        <v>5190.353254256283</v>
      </c>
      <c r="I1210" s="5">
        <v>1352.4112370690755</v>
      </c>
      <c r="J1210" s="5">
        <v>272980.56837587507</v>
      </c>
      <c r="K1210" s="5">
        <f t="shared" si="3"/>
        <v>272980.5684</v>
      </c>
      <c r="L1210" s="5">
        <f t="shared" si="4"/>
        <v>0</v>
      </c>
      <c r="M1210" s="5">
        <v>2767.5033500122063</v>
      </c>
      <c r="N1210" s="5">
        <f t="shared" si="5"/>
        <v>0</v>
      </c>
      <c r="O1210" s="5">
        <f t="shared" si="6"/>
        <v>2767.50335</v>
      </c>
      <c r="P1210" s="5">
        <f t="shared" si="9"/>
        <v>283382.2448</v>
      </c>
      <c r="Q1210" s="5">
        <f t="shared" si="7"/>
        <v>5211.323175</v>
      </c>
      <c r="R1210" s="5">
        <f t="shared" si="8"/>
        <v>278170.9216</v>
      </c>
    </row>
    <row r="1211" ht="15.75" customHeight="1">
      <c r="A1211" s="4">
        <v>2007.0</v>
      </c>
      <c r="B1211" s="4">
        <v>402.0</v>
      </c>
      <c r="C1211" s="4" t="s">
        <v>21</v>
      </c>
      <c r="D1211" s="5">
        <v>1088.482559824261</v>
      </c>
      <c r="E1211" s="5">
        <f t="shared" si="1"/>
        <v>0</v>
      </c>
      <c r="F1211" s="5">
        <f t="shared" si="2"/>
        <v>1088.48256</v>
      </c>
      <c r="G1211" s="5">
        <v>6119.925122343178</v>
      </c>
      <c r="H1211" s="5">
        <v>4459.043569019283</v>
      </c>
      <c r="I1211" s="5">
        <v>1660.8815533238958</v>
      </c>
      <c r="J1211" s="5">
        <v>345663.19906494516</v>
      </c>
      <c r="K1211" s="5">
        <f t="shared" si="3"/>
        <v>345663.1991</v>
      </c>
      <c r="L1211" s="5">
        <f t="shared" si="4"/>
        <v>0</v>
      </c>
      <c r="M1211" s="5">
        <v>9914.496523055903</v>
      </c>
      <c r="N1211" s="5">
        <f t="shared" si="5"/>
        <v>0</v>
      </c>
      <c r="O1211" s="5">
        <f t="shared" si="6"/>
        <v>9914.496523</v>
      </c>
      <c r="P1211" s="5">
        <f t="shared" si="9"/>
        <v>362786.1033</v>
      </c>
      <c r="Q1211" s="5">
        <f t="shared" si="7"/>
        <v>12663.86064</v>
      </c>
      <c r="R1211" s="5">
        <f t="shared" si="8"/>
        <v>350122.2426</v>
      </c>
    </row>
    <row r="1212" ht="15.75" customHeight="1">
      <c r="A1212" s="4">
        <v>2007.0</v>
      </c>
      <c r="B1212" s="4">
        <v>403.0</v>
      </c>
      <c r="C1212" s="4" t="s">
        <v>21</v>
      </c>
      <c r="D1212" s="5">
        <v>7437.964158799117</v>
      </c>
      <c r="E1212" s="5">
        <f t="shared" si="1"/>
        <v>0</v>
      </c>
      <c r="F1212" s="5">
        <f t="shared" si="2"/>
        <v>7437.964159</v>
      </c>
      <c r="G1212" s="5">
        <v>17448.87140725409</v>
      </c>
      <c r="H1212" s="5">
        <v>10915.665784642422</v>
      </c>
      <c r="I1212" s="5">
        <v>6533.205622611667</v>
      </c>
      <c r="J1212" s="5">
        <v>618498.5951781354</v>
      </c>
      <c r="K1212" s="5">
        <f t="shared" si="3"/>
        <v>618498.5952</v>
      </c>
      <c r="L1212" s="5">
        <f t="shared" si="4"/>
        <v>0</v>
      </c>
      <c r="M1212" s="5">
        <v>32861.2866475519</v>
      </c>
      <c r="N1212" s="5">
        <f t="shared" si="5"/>
        <v>0</v>
      </c>
      <c r="O1212" s="5">
        <f t="shared" si="6"/>
        <v>32861.28665</v>
      </c>
      <c r="P1212" s="5">
        <f t="shared" si="9"/>
        <v>676246.7174</v>
      </c>
      <c r="Q1212" s="5">
        <f t="shared" si="7"/>
        <v>46832.45643</v>
      </c>
      <c r="R1212" s="5">
        <f t="shared" si="8"/>
        <v>629414.261</v>
      </c>
    </row>
    <row r="1213" ht="15.75" customHeight="1">
      <c r="A1213" s="4">
        <v>2007.0</v>
      </c>
      <c r="B1213" s="4">
        <v>404.0</v>
      </c>
      <c r="C1213" s="4" t="s">
        <v>21</v>
      </c>
      <c r="D1213" s="5">
        <v>4487.357133727116</v>
      </c>
      <c r="E1213" s="5">
        <f t="shared" si="1"/>
        <v>0</v>
      </c>
      <c r="F1213" s="5">
        <f t="shared" si="2"/>
        <v>4487.357134</v>
      </c>
      <c r="G1213" s="5">
        <v>13091.714132994875</v>
      </c>
      <c r="H1213" s="5">
        <v>8237.945514739567</v>
      </c>
      <c r="I1213" s="5">
        <v>4853.768618255308</v>
      </c>
      <c r="J1213" s="5">
        <v>335378.823522729</v>
      </c>
      <c r="K1213" s="5">
        <f t="shared" si="3"/>
        <v>335378.8235</v>
      </c>
      <c r="L1213" s="5">
        <f t="shared" si="4"/>
        <v>0</v>
      </c>
      <c r="M1213" s="5">
        <v>6118.252014727859</v>
      </c>
      <c r="N1213" s="5">
        <f t="shared" si="5"/>
        <v>0</v>
      </c>
      <c r="O1213" s="5">
        <f t="shared" si="6"/>
        <v>6118.252015</v>
      </c>
      <c r="P1213" s="5">
        <f t="shared" si="9"/>
        <v>359076.1468</v>
      </c>
      <c r="Q1213" s="5">
        <f t="shared" si="7"/>
        <v>15459.37777</v>
      </c>
      <c r="R1213" s="5">
        <f t="shared" si="8"/>
        <v>343616.769</v>
      </c>
    </row>
    <row r="1214" ht="15.75" customHeight="1">
      <c r="A1214" s="4">
        <v>2007.0</v>
      </c>
      <c r="B1214" s="4">
        <v>405.0</v>
      </c>
      <c r="C1214" s="4" t="s">
        <v>21</v>
      </c>
      <c r="D1214" s="5">
        <v>7221.438058188915</v>
      </c>
      <c r="E1214" s="5">
        <f t="shared" si="1"/>
        <v>0</v>
      </c>
      <c r="F1214" s="5">
        <f t="shared" si="2"/>
        <v>7221.438058</v>
      </c>
      <c r="G1214" s="5">
        <v>6177.278334625336</v>
      </c>
      <c r="H1214" s="5">
        <v>3694.221614644863</v>
      </c>
      <c r="I1214" s="5">
        <v>2483.056719980473</v>
      </c>
      <c r="J1214" s="5">
        <v>66233.68093242374</v>
      </c>
      <c r="K1214" s="5">
        <f t="shared" si="3"/>
        <v>66233.68093</v>
      </c>
      <c r="L1214" s="5">
        <f t="shared" si="4"/>
        <v>0</v>
      </c>
      <c r="M1214" s="5">
        <v>2604.8222835245324</v>
      </c>
      <c r="N1214" s="5">
        <f t="shared" si="5"/>
        <v>0</v>
      </c>
      <c r="O1214" s="5">
        <f t="shared" si="6"/>
        <v>2604.822284</v>
      </c>
      <c r="P1214" s="5">
        <f t="shared" si="9"/>
        <v>82237.21961</v>
      </c>
      <c r="Q1214" s="5">
        <f t="shared" si="7"/>
        <v>12309.31706</v>
      </c>
      <c r="R1214" s="5">
        <f t="shared" si="8"/>
        <v>69927.90255</v>
      </c>
    </row>
    <row r="1215" ht="15.75" customHeight="1">
      <c r="A1215" s="4">
        <v>2007.0</v>
      </c>
      <c r="B1215" s="4">
        <v>406.0</v>
      </c>
      <c r="C1215" s="4" t="s">
        <v>21</v>
      </c>
      <c r="D1215" s="5">
        <v>2908.472216304612</v>
      </c>
      <c r="E1215" s="5">
        <f t="shared" si="1"/>
        <v>0</v>
      </c>
      <c r="F1215" s="5">
        <f t="shared" si="2"/>
        <v>2908.472216</v>
      </c>
      <c r="G1215" s="5" t="s">
        <v>19</v>
      </c>
      <c r="H1215" s="5" t="s">
        <v>19</v>
      </c>
      <c r="I1215" s="5" t="s">
        <v>19</v>
      </c>
      <c r="J1215" s="5">
        <v>78834.88727912132</v>
      </c>
      <c r="K1215" s="5">
        <f t="shared" si="3"/>
        <v>78834.88728</v>
      </c>
      <c r="L1215" s="5">
        <f t="shared" si="4"/>
        <v>0</v>
      </c>
      <c r="M1215" s="5">
        <v>369.6421865755433</v>
      </c>
      <c r="N1215" s="5">
        <f t="shared" si="5"/>
        <v>0</v>
      </c>
      <c r="O1215" s="5">
        <f t="shared" si="6"/>
        <v>369.6421866</v>
      </c>
      <c r="P1215" s="5">
        <f t="shared" si="9"/>
        <v>82113.00168</v>
      </c>
      <c r="Q1215" s="5">
        <f t="shared" si="7"/>
        <v>3278.114403</v>
      </c>
      <c r="R1215" s="5">
        <f t="shared" si="8"/>
        <v>78834.88728</v>
      </c>
    </row>
    <row r="1216" ht="15.75" customHeight="1">
      <c r="A1216" s="4">
        <v>2007.0</v>
      </c>
      <c r="B1216" s="4">
        <v>407.0</v>
      </c>
      <c r="C1216" s="4" t="s">
        <v>21</v>
      </c>
      <c r="D1216" s="5" t="s">
        <v>19</v>
      </c>
      <c r="E1216" s="5" t="str">
        <f t="shared" si="1"/>
        <v/>
      </c>
      <c r="F1216" s="5" t="str">
        <f t="shared" si="2"/>
        <v/>
      </c>
      <c r="G1216" s="5" t="s">
        <v>19</v>
      </c>
      <c r="H1216" s="5" t="s">
        <v>19</v>
      </c>
      <c r="I1216" s="5" t="s">
        <v>19</v>
      </c>
      <c r="J1216" s="5">
        <v>144601.7314601123</v>
      </c>
      <c r="K1216" s="5">
        <f t="shared" si="3"/>
        <v>144601.7315</v>
      </c>
      <c r="L1216" s="5">
        <f t="shared" si="4"/>
        <v>0</v>
      </c>
      <c r="M1216" s="5">
        <v>3533.740799267758</v>
      </c>
      <c r="N1216" s="5">
        <f t="shared" si="5"/>
        <v>0</v>
      </c>
      <c r="O1216" s="5">
        <f t="shared" si="6"/>
        <v>3533.740799</v>
      </c>
      <c r="P1216" s="5">
        <f t="shared" si="9"/>
        <v>148135.4723</v>
      </c>
      <c r="Q1216" s="5">
        <f t="shared" si="7"/>
        <v>3533.740799</v>
      </c>
      <c r="R1216" s="5">
        <f t="shared" si="8"/>
        <v>144601.7315</v>
      </c>
    </row>
    <row r="1217" ht="15.75" customHeight="1">
      <c r="A1217" s="4">
        <v>2007.0</v>
      </c>
      <c r="B1217" s="4">
        <v>408.0</v>
      </c>
      <c r="C1217" s="4" t="s">
        <v>21</v>
      </c>
      <c r="D1217" s="5">
        <v>2402.2693054185975</v>
      </c>
      <c r="E1217" s="5">
        <f t="shared" si="1"/>
        <v>0</v>
      </c>
      <c r="F1217" s="5">
        <f t="shared" si="2"/>
        <v>2402.269305</v>
      </c>
      <c r="G1217" s="5">
        <v>1504.1161064193316</v>
      </c>
      <c r="H1217" s="5">
        <v>1051.1381866692705</v>
      </c>
      <c r="I1217" s="5">
        <v>452.9779197500611</v>
      </c>
      <c r="J1217" s="5">
        <v>15715.426489074936</v>
      </c>
      <c r="K1217" s="5">
        <f t="shared" si="3"/>
        <v>15715.42649</v>
      </c>
      <c r="L1217" s="5">
        <f t="shared" si="4"/>
        <v>0</v>
      </c>
      <c r="M1217" s="5">
        <v>171.34455523553834</v>
      </c>
      <c r="N1217" s="5">
        <f t="shared" si="5"/>
        <v>0</v>
      </c>
      <c r="O1217" s="5">
        <f t="shared" si="6"/>
        <v>171.3445552</v>
      </c>
      <c r="P1217" s="5">
        <f t="shared" si="9"/>
        <v>19793.15646</v>
      </c>
      <c r="Q1217" s="5">
        <f t="shared" si="7"/>
        <v>3026.59178</v>
      </c>
      <c r="R1217" s="5">
        <f t="shared" si="8"/>
        <v>16766.56468</v>
      </c>
    </row>
    <row r="1218" ht="15.75" customHeight="1">
      <c r="A1218" s="4">
        <v>2007.0</v>
      </c>
      <c r="B1218" s="4">
        <v>409.0</v>
      </c>
      <c r="C1218" s="4" t="s">
        <v>21</v>
      </c>
      <c r="D1218" s="5">
        <v>1296.2305752745908</v>
      </c>
      <c r="E1218" s="5">
        <f t="shared" si="1"/>
        <v>0</v>
      </c>
      <c r="F1218" s="5">
        <f t="shared" si="2"/>
        <v>1296.230575</v>
      </c>
      <c r="G1218" s="5">
        <v>1424.271438340249</v>
      </c>
      <c r="H1218" s="5">
        <v>962.2969362714182</v>
      </c>
      <c r="I1218" s="5">
        <v>461.9745020688308</v>
      </c>
      <c r="J1218" s="5">
        <v>44575.50301373201</v>
      </c>
      <c r="K1218" s="5">
        <f t="shared" si="3"/>
        <v>44575.50301</v>
      </c>
      <c r="L1218" s="5">
        <f t="shared" si="4"/>
        <v>0</v>
      </c>
      <c r="M1218" s="5">
        <v>699.8173688552606</v>
      </c>
      <c r="N1218" s="5">
        <f t="shared" si="5"/>
        <v>0</v>
      </c>
      <c r="O1218" s="5">
        <f t="shared" si="6"/>
        <v>699.8173689</v>
      </c>
      <c r="P1218" s="5">
        <f t="shared" si="9"/>
        <v>47995.8224</v>
      </c>
      <c r="Q1218" s="5">
        <f t="shared" si="7"/>
        <v>2458.022446</v>
      </c>
      <c r="R1218" s="5">
        <f t="shared" si="8"/>
        <v>45537.79995</v>
      </c>
    </row>
    <row r="1219" ht="15.75" customHeight="1">
      <c r="A1219" s="4">
        <v>2007.0</v>
      </c>
      <c r="B1219" s="4">
        <v>420.0</v>
      </c>
      <c r="C1219" s="4" t="s">
        <v>21</v>
      </c>
      <c r="D1219" s="5">
        <v>8178.2493406150825</v>
      </c>
      <c r="E1219" s="5">
        <f t="shared" si="1"/>
        <v>0</v>
      </c>
      <c r="F1219" s="5">
        <f t="shared" si="2"/>
        <v>8178.249341</v>
      </c>
      <c r="G1219" s="5" t="s">
        <v>19</v>
      </c>
      <c r="H1219" s="5" t="s">
        <v>19</v>
      </c>
      <c r="I1219" s="5" t="s">
        <v>19</v>
      </c>
      <c r="J1219" s="5">
        <v>0.0</v>
      </c>
      <c r="K1219" s="5">
        <f t="shared" si="3"/>
        <v>0</v>
      </c>
      <c r="L1219" s="5">
        <f t="shared" si="4"/>
        <v>0</v>
      </c>
      <c r="M1219" s="5">
        <v>17315.13739443985</v>
      </c>
      <c r="N1219" s="5">
        <f t="shared" si="5"/>
        <v>0</v>
      </c>
      <c r="O1219" s="5">
        <f t="shared" si="6"/>
        <v>17315.13739</v>
      </c>
      <c r="P1219" s="5">
        <f t="shared" si="9"/>
        <v>25493.38674</v>
      </c>
      <c r="Q1219" s="5">
        <f t="shared" si="7"/>
        <v>25493.38674</v>
      </c>
      <c r="R1219" s="5">
        <f t="shared" si="8"/>
        <v>0</v>
      </c>
    </row>
    <row r="1220" ht="15.75" customHeight="1">
      <c r="A1220" s="4">
        <v>2007.0</v>
      </c>
      <c r="B1220" s="4">
        <v>421.0</v>
      </c>
      <c r="C1220" s="4" t="s">
        <v>21</v>
      </c>
      <c r="D1220" s="5">
        <v>269.1946115694409</v>
      </c>
      <c r="E1220" s="5">
        <f t="shared" si="1"/>
        <v>0</v>
      </c>
      <c r="F1220" s="5">
        <f t="shared" si="2"/>
        <v>269.1946116</v>
      </c>
      <c r="G1220" s="5" t="s">
        <v>19</v>
      </c>
      <c r="H1220" s="5" t="s">
        <v>19</v>
      </c>
      <c r="I1220" s="5" t="s">
        <v>19</v>
      </c>
      <c r="J1220" s="5">
        <v>0.0</v>
      </c>
      <c r="K1220" s="5">
        <f t="shared" si="3"/>
        <v>0</v>
      </c>
      <c r="L1220" s="5">
        <f t="shared" si="4"/>
        <v>0</v>
      </c>
      <c r="M1220" s="5">
        <v>88217.32182893349</v>
      </c>
      <c r="N1220" s="5">
        <f t="shared" si="5"/>
        <v>0</v>
      </c>
      <c r="O1220" s="5">
        <f t="shared" si="6"/>
        <v>88217.32183</v>
      </c>
      <c r="P1220" s="5">
        <f t="shared" si="9"/>
        <v>88486.51644</v>
      </c>
      <c r="Q1220" s="5">
        <f t="shared" si="7"/>
        <v>88486.51644</v>
      </c>
      <c r="R1220" s="5">
        <f t="shared" si="8"/>
        <v>0</v>
      </c>
    </row>
    <row r="1221" ht="15.75" customHeight="1">
      <c r="A1221" s="4">
        <v>2007.0</v>
      </c>
      <c r="B1221" s="4">
        <v>422.0</v>
      </c>
      <c r="C1221" s="4" t="s">
        <v>21</v>
      </c>
      <c r="D1221" s="5" t="s">
        <v>19</v>
      </c>
      <c r="E1221" s="5" t="str">
        <f t="shared" si="1"/>
        <v/>
      </c>
      <c r="F1221" s="5" t="str">
        <f t="shared" si="2"/>
        <v/>
      </c>
      <c r="G1221" s="5" t="s">
        <v>19</v>
      </c>
      <c r="H1221" s="5" t="s">
        <v>19</v>
      </c>
      <c r="I1221" s="5" t="s">
        <v>19</v>
      </c>
      <c r="J1221" s="5">
        <v>10752.058779145718</v>
      </c>
      <c r="K1221" s="5">
        <f t="shared" si="3"/>
        <v>10752.05878</v>
      </c>
      <c r="L1221" s="5">
        <f t="shared" si="4"/>
        <v>0</v>
      </c>
      <c r="M1221" s="5">
        <v>239279.01346895797</v>
      </c>
      <c r="N1221" s="5">
        <f t="shared" si="5"/>
        <v>0</v>
      </c>
      <c r="O1221" s="5">
        <f t="shared" si="6"/>
        <v>239279.0135</v>
      </c>
      <c r="P1221" s="5">
        <f t="shared" si="9"/>
        <v>250031.0722</v>
      </c>
      <c r="Q1221" s="5">
        <f t="shared" si="7"/>
        <v>239279.0135</v>
      </c>
      <c r="R1221" s="5">
        <f t="shared" si="8"/>
        <v>10752.05878</v>
      </c>
    </row>
    <row r="1222" ht="15.75" customHeight="1">
      <c r="A1222" s="4">
        <v>2007.0</v>
      </c>
      <c r="B1222" s="4">
        <v>423.0</v>
      </c>
      <c r="C1222" s="4" t="s">
        <v>21</v>
      </c>
      <c r="D1222" s="5">
        <v>18018.482804832798</v>
      </c>
      <c r="E1222" s="5">
        <f t="shared" si="1"/>
        <v>0</v>
      </c>
      <c r="F1222" s="5">
        <f t="shared" si="2"/>
        <v>18018.4828</v>
      </c>
      <c r="G1222" s="5">
        <v>4985.231177388333</v>
      </c>
      <c r="H1222" s="5">
        <v>3300.6211381986823</v>
      </c>
      <c r="I1222" s="5">
        <v>1684.6100391896507</v>
      </c>
      <c r="J1222" s="5">
        <v>76335.21560735174</v>
      </c>
      <c r="K1222" s="5">
        <f t="shared" si="3"/>
        <v>76335.21561</v>
      </c>
      <c r="L1222" s="5">
        <f t="shared" si="4"/>
        <v>0</v>
      </c>
      <c r="M1222" s="5">
        <v>248015.756827235</v>
      </c>
      <c r="N1222" s="5">
        <f t="shared" si="5"/>
        <v>0</v>
      </c>
      <c r="O1222" s="5">
        <f t="shared" si="6"/>
        <v>248015.7568</v>
      </c>
      <c r="P1222" s="5">
        <f t="shared" si="9"/>
        <v>347354.6864</v>
      </c>
      <c r="Q1222" s="5">
        <f t="shared" si="7"/>
        <v>267718.8497</v>
      </c>
      <c r="R1222" s="5">
        <f t="shared" si="8"/>
        <v>79635.83675</v>
      </c>
    </row>
    <row r="1223" ht="15.75" customHeight="1">
      <c r="A1223" s="4">
        <v>2007.0</v>
      </c>
      <c r="B1223" s="4">
        <v>424.0</v>
      </c>
      <c r="C1223" s="4" t="s">
        <v>21</v>
      </c>
      <c r="D1223" s="5">
        <v>10090.116288435434</v>
      </c>
      <c r="E1223" s="5">
        <f t="shared" si="1"/>
        <v>0</v>
      </c>
      <c r="F1223" s="5">
        <f t="shared" si="2"/>
        <v>10090.11629</v>
      </c>
      <c r="G1223" s="5" t="s">
        <v>19</v>
      </c>
      <c r="H1223" s="5" t="s">
        <v>19</v>
      </c>
      <c r="I1223" s="5" t="s">
        <v>19</v>
      </c>
      <c r="J1223" s="5">
        <v>0.0</v>
      </c>
      <c r="K1223" s="5">
        <f t="shared" si="3"/>
        <v>0</v>
      </c>
      <c r="L1223" s="5">
        <f t="shared" si="4"/>
        <v>0</v>
      </c>
      <c r="M1223" s="5">
        <v>55970.27653360512</v>
      </c>
      <c r="N1223" s="5">
        <f t="shared" si="5"/>
        <v>0</v>
      </c>
      <c r="O1223" s="5">
        <f t="shared" si="6"/>
        <v>55970.27653</v>
      </c>
      <c r="P1223" s="5">
        <f t="shared" si="9"/>
        <v>66060.39282</v>
      </c>
      <c r="Q1223" s="5">
        <f t="shared" si="7"/>
        <v>66060.39282</v>
      </c>
      <c r="R1223" s="5">
        <f t="shared" si="8"/>
        <v>0</v>
      </c>
    </row>
    <row r="1224" ht="15.75" customHeight="1">
      <c r="A1224" s="4">
        <v>2007.0</v>
      </c>
      <c r="B1224" s="4">
        <v>425.0</v>
      </c>
      <c r="C1224" s="4" t="s">
        <v>21</v>
      </c>
      <c r="D1224" s="5">
        <v>3680.9437103734426</v>
      </c>
      <c r="E1224" s="5">
        <f t="shared" si="1"/>
        <v>0</v>
      </c>
      <c r="F1224" s="5">
        <f t="shared" si="2"/>
        <v>3680.94371</v>
      </c>
      <c r="G1224" s="5" t="s">
        <v>19</v>
      </c>
      <c r="H1224" s="5" t="s">
        <v>19</v>
      </c>
      <c r="I1224" s="5" t="s">
        <v>19</v>
      </c>
      <c r="J1224" s="5">
        <v>99.46204586282649</v>
      </c>
      <c r="K1224" s="5">
        <f t="shared" si="3"/>
        <v>99.46204586</v>
      </c>
      <c r="L1224" s="5">
        <f t="shared" si="4"/>
        <v>0</v>
      </c>
      <c r="M1224" s="5">
        <v>381395.94175977097</v>
      </c>
      <c r="N1224" s="5">
        <f t="shared" si="5"/>
        <v>0</v>
      </c>
      <c r="O1224" s="5">
        <f t="shared" si="6"/>
        <v>381395.9418</v>
      </c>
      <c r="P1224" s="5">
        <f t="shared" si="9"/>
        <v>385176.3475</v>
      </c>
      <c r="Q1224" s="5">
        <f t="shared" si="7"/>
        <v>385076.8855</v>
      </c>
      <c r="R1224" s="5">
        <f t="shared" si="8"/>
        <v>99.46204586</v>
      </c>
    </row>
    <row r="1225" ht="15.75" customHeight="1">
      <c r="A1225" s="4">
        <v>2007.0</v>
      </c>
      <c r="B1225" s="4">
        <v>426.0</v>
      </c>
      <c r="C1225" s="4" t="s">
        <v>21</v>
      </c>
      <c r="D1225" s="5" t="s">
        <v>19</v>
      </c>
      <c r="E1225" s="5" t="str">
        <f t="shared" si="1"/>
        <v/>
      </c>
      <c r="F1225" s="5" t="str">
        <f t="shared" si="2"/>
        <v/>
      </c>
      <c r="G1225" s="5" t="s">
        <v>19</v>
      </c>
      <c r="H1225" s="5" t="s">
        <v>19</v>
      </c>
      <c r="I1225" s="5" t="s">
        <v>19</v>
      </c>
      <c r="J1225" s="5">
        <v>0.0</v>
      </c>
      <c r="K1225" s="5">
        <f t="shared" si="3"/>
        <v>0</v>
      </c>
      <c r="L1225" s="5">
        <f t="shared" si="4"/>
        <v>0</v>
      </c>
      <c r="M1225" s="5">
        <v>104621.25272907008</v>
      </c>
      <c r="N1225" s="5">
        <f t="shared" si="5"/>
        <v>0</v>
      </c>
      <c r="O1225" s="5">
        <f t="shared" si="6"/>
        <v>104621.2527</v>
      </c>
      <c r="P1225" s="5">
        <f t="shared" si="9"/>
        <v>104621.2527</v>
      </c>
      <c r="Q1225" s="5">
        <f t="shared" si="7"/>
        <v>104621.2527</v>
      </c>
      <c r="R1225" s="5">
        <f t="shared" si="8"/>
        <v>0</v>
      </c>
    </row>
    <row r="1226" ht="15.75" customHeight="1">
      <c r="A1226" s="4">
        <v>2007.0</v>
      </c>
      <c r="B1226" s="4">
        <v>427.0</v>
      </c>
      <c r="C1226" s="4" t="s">
        <v>21</v>
      </c>
      <c r="D1226" s="5">
        <v>1312.616334239687</v>
      </c>
      <c r="E1226" s="5">
        <f t="shared" si="1"/>
        <v>0</v>
      </c>
      <c r="F1226" s="5">
        <f t="shared" si="2"/>
        <v>1312.616334</v>
      </c>
      <c r="G1226" s="5" t="s">
        <v>19</v>
      </c>
      <c r="H1226" s="5" t="s">
        <v>19</v>
      </c>
      <c r="I1226" s="5" t="s">
        <v>19</v>
      </c>
      <c r="J1226" s="5">
        <v>71.95126721991701</v>
      </c>
      <c r="K1226" s="5">
        <f t="shared" si="3"/>
        <v>71.95126722</v>
      </c>
      <c r="L1226" s="5">
        <f t="shared" si="4"/>
        <v>0</v>
      </c>
      <c r="M1226" s="5">
        <v>137331.69841142313</v>
      </c>
      <c r="N1226" s="5">
        <f t="shared" si="5"/>
        <v>0</v>
      </c>
      <c r="O1226" s="5">
        <f t="shared" si="6"/>
        <v>137331.6984</v>
      </c>
      <c r="P1226" s="5">
        <f t="shared" si="9"/>
        <v>138716.266</v>
      </c>
      <c r="Q1226" s="5">
        <f t="shared" si="7"/>
        <v>138644.3147</v>
      </c>
      <c r="R1226" s="5">
        <f t="shared" si="8"/>
        <v>71.95126722</v>
      </c>
    </row>
    <row r="1227" ht="15.75" customHeight="1">
      <c r="A1227" s="4">
        <v>2007.0</v>
      </c>
      <c r="B1227" s="4">
        <v>428.0</v>
      </c>
      <c r="C1227" s="4" t="s">
        <v>21</v>
      </c>
      <c r="D1227" s="5">
        <v>3534.6422910422243</v>
      </c>
      <c r="E1227" s="5">
        <f t="shared" si="1"/>
        <v>0</v>
      </c>
      <c r="F1227" s="5">
        <f t="shared" si="2"/>
        <v>3534.642291</v>
      </c>
      <c r="G1227" s="5" t="s">
        <v>19</v>
      </c>
      <c r="H1227" s="5" t="s">
        <v>19</v>
      </c>
      <c r="I1227" s="5" t="s">
        <v>19</v>
      </c>
      <c r="J1227" s="5">
        <v>0.0</v>
      </c>
      <c r="K1227" s="5">
        <f t="shared" si="3"/>
        <v>0</v>
      </c>
      <c r="L1227" s="5">
        <f t="shared" si="4"/>
        <v>0</v>
      </c>
      <c r="M1227" s="5">
        <v>38134.94477034907</v>
      </c>
      <c r="N1227" s="5">
        <f t="shared" si="5"/>
        <v>0</v>
      </c>
      <c r="O1227" s="5">
        <f t="shared" si="6"/>
        <v>38134.94477</v>
      </c>
      <c r="P1227" s="5">
        <f t="shared" si="9"/>
        <v>41669.58706</v>
      </c>
      <c r="Q1227" s="5">
        <f t="shared" si="7"/>
        <v>41669.58706</v>
      </c>
      <c r="R1227" s="5">
        <f t="shared" si="8"/>
        <v>0</v>
      </c>
    </row>
    <row r="1228" ht="15.75" customHeight="1">
      <c r="A1228" s="4">
        <v>2007.0</v>
      </c>
      <c r="B1228" s="4">
        <v>429.0</v>
      </c>
      <c r="C1228" s="4" t="s">
        <v>21</v>
      </c>
      <c r="D1228" s="5">
        <v>11072.676620663893</v>
      </c>
      <c r="E1228" s="5">
        <f t="shared" si="1"/>
        <v>0</v>
      </c>
      <c r="F1228" s="5">
        <f t="shared" si="2"/>
        <v>11072.67662</v>
      </c>
      <c r="G1228" s="5">
        <v>1767.828425638272</v>
      </c>
      <c r="H1228" s="5">
        <v>734.7958608855262</v>
      </c>
      <c r="I1228" s="5">
        <v>1033.0325647527457</v>
      </c>
      <c r="J1228" s="5">
        <v>0.0</v>
      </c>
      <c r="K1228" s="5">
        <f t="shared" si="3"/>
        <v>0</v>
      </c>
      <c r="L1228" s="5">
        <f t="shared" si="4"/>
        <v>0</v>
      </c>
      <c r="M1228" s="5">
        <v>12855.173387039307</v>
      </c>
      <c r="N1228" s="5">
        <f t="shared" si="5"/>
        <v>0</v>
      </c>
      <c r="O1228" s="5">
        <f t="shared" si="6"/>
        <v>12855.17339</v>
      </c>
      <c r="P1228" s="5">
        <f t="shared" si="9"/>
        <v>25695.67843</v>
      </c>
      <c r="Q1228" s="5">
        <f t="shared" si="7"/>
        <v>24960.88257</v>
      </c>
      <c r="R1228" s="5">
        <f t="shared" si="8"/>
        <v>734.7958609</v>
      </c>
    </row>
    <row r="1229" ht="15.75" customHeight="1">
      <c r="A1229" s="4">
        <v>2007.0</v>
      </c>
      <c r="B1229" s="4">
        <v>500.0</v>
      </c>
      <c r="C1229" s="4" t="s">
        <v>22</v>
      </c>
      <c r="D1229" s="5">
        <v>9666.858260561383</v>
      </c>
      <c r="E1229" s="5">
        <f t="shared" si="1"/>
        <v>0</v>
      </c>
      <c r="F1229" s="5">
        <f t="shared" si="2"/>
        <v>9666.858261</v>
      </c>
      <c r="G1229" s="5">
        <v>28357.004387747133</v>
      </c>
      <c r="H1229" s="5">
        <v>15142.015074474006</v>
      </c>
      <c r="I1229" s="5">
        <v>13214.989313273127</v>
      </c>
      <c r="J1229" s="5">
        <v>1185336.2202191264</v>
      </c>
      <c r="K1229" s="5">
        <f t="shared" si="3"/>
        <v>1185336.22</v>
      </c>
      <c r="L1229" s="5">
        <f t="shared" si="4"/>
        <v>0</v>
      </c>
      <c r="M1229" s="5">
        <v>93762.98293937027</v>
      </c>
      <c r="N1229" s="5">
        <f t="shared" si="5"/>
        <v>0</v>
      </c>
      <c r="O1229" s="5">
        <f t="shared" si="6"/>
        <v>93762.98294</v>
      </c>
      <c r="P1229" s="5">
        <f t="shared" si="9"/>
        <v>1317123.066</v>
      </c>
      <c r="Q1229" s="5">
        <f t="shared" si="7"/>
        <v>116644.8305</v>
      </c>
      <c r="R1229" s="5">
        <f t="shared" si="8"/>
        <v>1200478.235</v>
      </c>
    </row>
    <row r="1230" ht="15.75" customHeight="1">
      <c r="A1230" s="4">
        <v>2007.0</v>
      </c>
      <c r="B1230" s="4">
        <v>501.0</v>
      </c>
      <c r="C1230" s="4" t="s">
        <v>22</v>
      </c>
      <c r="D1230" s="5" t="s">
        <v>19</v>
      </c>
      <c r="E1230" s="5" t="str">
        <f t="shared" si="1"/>
        <v/>
      </c>
      <c r="F1230" s="5" t="str">
        <f t="shared" si="2"/>
        <v/>
      </c>
      <c r="G1230" s="5">
        <v>12712.852283085183</v>
      </c>
      <c r="H1230" s="5">
        <v>4245.381461938005</v>
      </c>
      <c r="I1230" s="5">
        <v>8467.470821147179</v>
      </c>
      <c r="J1230" s="5">
        <v>23193.442857847207</v>
      </c>
      <c r="K1230" s="5">
        <f t="shared" si="3"/>
        <v>23193.44286</v>
      </c>
      <c r="L1230" s="5">
        <f t="shared" si="4"/>
        <v>0</v>
      </c>
      <c r="M1230" s="5">
        <v>21569.619339443496</v>
      </c>
      <c r="N1230" s="5">
        <f t="shared" si="5"/>
        <v>0</v>
      </c>
      <c r="O1230" s="5">
        <f t="shared" si="6"/>
        <v>21569.61934</v>
      </c>
      <c r="P1230" s="5">
        <f t="shared" si="9"/>
        <v>57475.91448</v>
      </c>
      <c r="Q1230" s="5">
        <f t="shared" si="7"/>
        <v>30037.09016</v>
      </c>
      <c r="R1230" s="5">
        <f t="shared" si="8"/>
        <v>27438.82432</v>
      </c>
    </row>
    <row r="1231" ht="15.75" customHeight="1">
      <c r="A1231" s="4">
        <v>2007.0</v>
      </c>
      <c r="B1231" s="4">
        <v>502.0</v>
      </c>
      <c r="C1231" s="4" t="s">
        <v>22</v>
      </c>
      <c r="D1231" s="5" t="s">
        <v>19</v>
      </c>
      <c r="E1231" s="5" t="str">
        <f t="shared" si="1"/>
        <v/>
      </c>
      <c r="F1231" s="5" t="str">
        <f t="shared" si="2"/>
        <v/>
      </c>
      <c r="G1231" s="5" t="s">
        <v>19</v>
      </c>
      <c r="H1231" s="5" t="s">
        <v>19</v>
      </c>
      <c r="I1231" s="5" t="s">
        <v>19</v>
      </c>
      <c r="J1231" s="5">
        <v>0.0</v>
      </c>
      <c r="K1231" s="5">
        <f t="shared" si="3"/>
        <v>0</v>
      </c>
      <c r="L1231" s="5">
        <f t="shared" si="4"/>
        <v>0</v>
      </c>
      <c r="M1231" s="5">
        <v>4803.705876909933</v>
      </c>
      <c r="N1231" s="5">
        <f t="shared" si="5"/>
        <v>0</v>
      </c>
      <c r="O1231" s="5">
        <f t="shared" si="6"/>
        <v>4803.705877</v>
      </c>
      <c r="P1231" s="5">
        <f t="shared" si="9"/>
        <v>4803.705877</v>
      </c>
      <c r="Q1231" s="5">
        <f t="shared" si="7"/>
        <v>4803.705877</v>
      </c>
      <c r="R1231" s="5">
        <f t="shared" si="8"/>
        <v>0</v>
      </c>
    </row>
    <row r="1232" ht="15.75" customHeight="1">
      <c r="A1232" s="4">
        <v>2007.0</v>
      </c>
      <c r="B1232" s="4">
        <v>503.0</v>
      </c>
      <c r="C1232" s="4" t="s">
        <v>22</v>
      </c>
      <c r="D1232" s="5">
        <v>2761.4526594581394</v>
      </c>
      <c r="E1232" s="5">
        <f t="shared" si="1"/>
        <v>0</v>
      </c>
      <c r="F1232" s="5">
        <f t="shared" si="2"/>
        <v>2761.452659</v>
      </c>
      <c r="G1232" s="5">
        <v>2380.0910798144987</v>
      </c>
      <c r="H1232" s="5">
        <v>1836.2317879423972</v>
      </c>
      <c r="I1232" s="5">
        <v>543.8592918721015</v>
      </c>
      <c r="J1232" s="5">
        <v>3443.715385945814</v>
      </c>
      <c r="K1232" s="5">
        <f t="shared" si="3"/>
        <v>3443.715386</v>
      </c>
      <c r="L1232" s="5">
        <f t="shared" si="4"/>
        <v>0</v>
      </c>
      <c r="M1232" s="5">
        <v>11343.9645266927</v>
      </c>
      <c r="N1232" s="5">
        <f t="shared" si="5"/>
        <v>0</v>
      </c>
      <c r="O1232" s="5">
        <f t="shared" si="6"/>
        <v>11343.96453</v>
      </c>
      <c r="P1232" s="5">
        <f t="shared" si="9"/>
        <v>19929.22365</v>
      </c>
      <c r="Q1232" s="5">
        <f t="shared" si="7"/>
        <v>14649.27648</v>
      </c>
      <c r="R1232" s="5">
        <f t="shared" si="8"/>
        <v>5279.947174</v>
      </c>
    </row>
    <row r="1233" ht="15.75" customHeight="1">
      <c r="A1233" s="4">
        <v>2007.0</v>
      </c>
      <c r="B1233" s="4">
        <v>504.0</v>
      </c>
      <c r="C1233" s="4" t="s">
        <v>22</v>
      </c>
      <c r="D1233" s="5">
        <v>3027.545528142542</v>
      </c>
      <c r="E1233" s="5">
        <f t="shared" si="1"/>
        <v>0</v>
      </c>
      <c r="F1233" s="5">
        <f t="shared" si="2"/>
        <v>3027.545528</v>
      </c>
      <c r="G1233" s="5">
        <v>11259.357231730537</v>
      </c>
      <c r="H1233" s="5">
        <v>6314.534277168662</v>
      </c>
      <c r="I1233" s="5">
        <v>4944.822954561875</v>
      </c>
      <c r="J1233" s="5">
        <v>57205.23011545034</v>
      </c>
      <c r="K1233" s="5">
        <f t="shared" si="3"/>
        <v>57205.23012</v>
      </c>
      <c r="L1233" s="5">
        <f t="shared" si="4"/>
        <v>0</v>
      </c>
      <c r="M1233" s="5">
        <v>43630.37903737856</v>
      </c>
      <c r="N1233" s="5">
        <f t="shared" si="5"/>
        <v>0</v>
      </c>
      <c r="O1233" s="5">
        <f t="shared" si="6"/>
        <v>43630.37904</v>
      </c>
      <c r="P1233" s="5">
        <f t="shared" si="9"/>
        <v>115122.5119</v>
      </c>
      <c r="Q1233" s="5">
        <f t="shared" si="7"/>
        <v>51602.74752</v>
      </c>
      <c r="R1233" s="5">
        <f t="shared" si="8"/>
        <v>63519.76439</v>
      </c>
    </row>
    <row r="1234" ht="15.75" customHeight="1">
      <c r="A1234" s="4">
        <v>2007.0</v>
      </c>
      <c r="B1234" s="4">
        <v>505.0</v>
      </c>
      <c r="C1234" s="4" t="s">
        <v>22</v>
      </c>
      <c r="D1234" s="5">
        <v>57697.21237558211</v>
      </c>
      <c r="E1234" s="5">
        <f t="shared" si="1"/>
        <v>0</v>
      </c>
      <c r="F1234" s="5">
        <f t="shared" si="2"/>
        <v>57697.21238</v>
      </c>
      <c r="G1234" s="5">
        <v>48018.47887083233</v>
      </c>
      <c r="H1234" s="5">
        <v>15136.135514561878</v>
      </c>
      <c r="I1234" s="5">
        <v>32882.34335627045</v>
      </c>
      <c r="J1234" s="5">
        <v>0.0</v>
      </c>
      <c r="K1234" s="5">
        <f t="shared" si="3"/>
        <v>0</v>
      </c>
      <c r="L1234" s="5">
        <f t="shared" si="4"/>
        <v>0</v>
      </c>
      <c r="M1234" s="5">
        <v>12653.801515953135</v>
      </c>
      <c r="N1234" s="5">
        <f t="shared" si="5"/>
        <v>0</v>
      </c>
      <c r="O1234" s="5">
        <f t="shared" si="6"/>
        <v>12653.80152</v>
      </c>
      <c r="P1234" s="5">
        <f t="shared" si="9"/>
        <v>118369.4928</v>
      </c>
      <c r="Q1234" s="5">
        <f t="shared" si="7"/>
        <v>103233.3572</v>
      </c>
      <c r="R1234" s="5">
        <f t="shared" si="8"/>
        <v>15136.13551</v>
      </c>
    </row>
    <row r="1235" ht="15.75" customHeight="1">
      <c r="A1235" s="4">
        <v>2007.0</v>
      </c>
      <c r="B1235" s="4">
        <v>506.0</v>
      </c>
      <c r="C1235" s="4" t="s">
        <v>22</v>
      </c>
      <c r="D1235" s="5" t="s">
        <v>19</v>
      </c>
      <c r="E1235" s="5" t="str">
        <f t="shared" si="1"/>
        <v/>
      </c>
      <c r="F1235" s="5" t="str">
        <f t="shared" si="2"/>
        <v/>
      </c>
      <c r="G1235" s="5">
        <v>21926.801076153286</v>
      </c>
      <c r="H1235" s="5">
        <v>9473.440908420796</v>
      </c>
      <c r="I1235" s="5">
        <v>12453.36016773249</v>
      </c>
      <c r="J1235" s="5">
        <v>4753.581406297291</v>
      </c>
      <c r="K1235" s="5">
        <f t="shared" si="3"/>
        <v>4753.581406</v>
      </c>
      <c r="L1235" s="5">
        <f t="shared" si="4"/>
        <v>0</v>
      </c>
      <c r="M1235" s="5">
        <v>2778.794916475469</v>
      </c>
      <c r="N1235" s="5">
        <f t="shared" si="5"/>
        <v>0</v>
      </c>
      <c r="O1235" s="5">
        <f t="shared" si="6"/>
        <v>2778.794916</v>
      </c>
      <c r="P1235" s="5">
        <f t="shared" si="9"/>
        <v>29459.1774</v>
      </c>
      <c r="Q1235" s="5">
        <f t="shared" si="7"/>
        <v>15232.15508</v>
      </c>
      <c r="R1235" s="5">
        <f t="shared" si="8"/>
        <v>14227.02231</v>
      </c>
    </row>
    <row r="1236" ht="15.75" customHeight="1">
      <c r="A1236" s="4">
        <v>2007.0</v>
      </c>
      <c r="B1236" s="4">
        <v>507.0</v>
      </c>
      <c r="C1236" s="4" t="s">
        <v>22</v>
      </c>
      <c r="D1236" s="5" t="s">
        <v>19</v>
      </c>
      <c r="E1236" s="5" t="str">
        <f t="shared" si="1"/>
        <v/>
      </c>
      <c r="F1236" s="5" t="str">
        <f t="shared" si="2"/>
        <v/>
      </c>
      <c r="G1236" s="5" t="s">
        <v>19</v>
      </c>
      <c r="H1236" s="5" t="s">
        <v>19</v>
      </c>
      <c r="I1236" s="5" t="s">
        <v>19</v>
      </c>
      <c r="J1236" s="5">
        <v>0.0</v>
      </c>
      <c r="K1236" s="5">
        <f t="shared" si="3"/>
        <v>0</v>
      </c>
      <c r="L1236" s="5">
        <f t="shared" si="4"/>
        <v>0</v>
      </c>
      <c r="M1236" s="5">
        <v>0.0</v>
      </c>
      <c r="N1236" s="5">
        <f t="shared" si="5"/>
        <v>0</v>
      </c>
      <c r="O1236" s="5">
        <f t="shared" si="6"/>
        <v>0</v>
      </c>
      <c r="P1236" s="5">
        <f t="shared" si="9"/>
        <v>0</v>
      </c>
      <c r="Q1236" s="5">
        <f t="shared" si="7"/>
        <v>0</v>
      </c>
      <c r="R1236" s="5">
        <f t="shared" si="8"/>
        <v>0</v>
      </c>
    </row>
    <row r="1237" ht="15.75" customHeight="1">
      <c r="A1237" s="4">
        <v>2007.0</v>
      </c>
      <c r="B1237" s="4">
        <v>508.0</v>
      </c>
      <c r="C1237" s="4" t="s">
        <v>22</v>
      </c>
      <c r="D1237" s="5" t="s">
        <v>19</v>
      </c>
      <c r="E1237" s="5" t="str">
        <f t="shared" si="1"/>
        <v/>
      </c>
      <c r="F1237" s="5" t="str">
        <f t="shared" si="2"/>
        <v/>
      </c>
      <c r="G1237" s="5">
        <v>35376.8597174518</v>
      </c>
      <c r="H1237" s="5">
        <v>10481.33315951184</v>
      </c>
      <c r="I1237" s="5">
        <v>24895.52655793996</v>
      </c>
      <c r="J1237" s="5">
        <v>0.0</v>
      </c>
      <c r="K1237" s="5">
        <f t="shared" si="3"/>
        <v>0</v>
      </c>
      <c r="L1237" s="5">
        <f t="shared" si="4"/>
        <v>0</v>
      </c>
      <c r="M1237" s="5">
        <v>32646.95927010006</v>
      </c>
      <c r="N1237" s="5">
        <f t="shared" si="5"/>
        <v>0</v>
      </c>
      <c r="O1237" s="5">
        <f t="shared" si="6"/>
        <v>32646.95927</v>
      </c>
      <c r="P1237" s="5">
        <f t="shared" si="9"/>
        <v>68023.81899</v>
      </c>
      <c r="Q1237" s="5">
        <f t="shared" si="7"/>
        <v>57542.48583</v>
      </c>
      <c r="R1237" s="5">
        <f t="shared" si="8"/>
        <v>10481.33316</v>
      </c>
    </row>
    <row r="1238" ht="15.75" customHeight="1">
      <c r="A1238" s="4">
        <v>2007.0</v>
      </c>
      <c r="B1238" s="4">
        <v>520.0</v>
      </c>
      <c r="C1238" s="4" t="s">
        <v>22</v>
      </c>
      <c r="D1238" s="5">
        <v>4124.439464608247</v>
      </c>
      <c r="E1238" s="5">
        <f t="shared" si="1"/>
        <v>0</v>
      </c>
      <c r="F1238" s="5">
        <f t="shared" si="2"/>
        <v>4124.439465</v>
      </c>
      <c r="G1238" s="5">
        <v>5992.628371979497</v>
      </c>
      <c r="H1238" s="5">
        <v>3218.4937095923847</v>
      </c>
      <c r="I1238" s="5">
        <v>2774.1346623871127</v>
      </c>
      <c r="J1238" s="5">
        <v>4227.354682352941</v>
      </c>
      <c r="K1238" s="5">
        <f t="shared" si="3"/>
        <v>4227.354682</v>
      </c>
      <c r="L1238" s="5">
        <f t="shared" si="4"/>
        <v>0</v>
      </c>
      <c r="M1238" s="5">
        <v>700718.9339714325</v>
      </c>
      <c r="N1238" s="5">
        <f t="shared" si="5"/>
        <v>0</v>
      </c>
      <c r="O1238" s="5">
        <f t="shared" si="6"/>
        <v>700718.934</v>
      </c>
      <c r="P1238" s="5">
        <f t="shared" si="9"/>
        <v>715063.3565</v>
      </c>
      <c r="Q1238" s="5">
        <f t="shared" si="7"/>
        <v>707617.5081</v>
      </c>
      <c r="R1238" s="5">
        <f t="shared" si="8"/>
        <v>7445.848392</v>
      </c>
    </row>
    <row r="1239" ht="15.75" customHeight="1">
      <c r="A1239" s="4">
        <v>2007.0</v>
      </c>
      <c r="B1239" s="4">
        <v>521.0</v>
      </c>
      <c r="C1239" s="4" t="s">
        <v>22</v>
      </c>
      <c r="D1239" s="5" t="s">
        <v>19</v>
      </c>
      <c r="E1239" s="5" t="str">
        <f t="shared" si="1"/>
        <v/>
      </c>
      <c r="F1239" s="5" t="str">
        <f t="shared" si="2"/>
        <v/>
      </c>
      <c r="G1239" s="5" t="s">
        <v>19</v>
      </c>
      <c r="H1239" s="5" t="s">
        <v>19</v>
      </c>
      <c r="I1239" s="5" t="s">
        <v>19</v>
      </c>
      <c r="J1239" s="5">
        <v>0.0</v>
      </c>
      <c r="K1239" s="5">
        <f t="shared" si="3"/>
        <v>0</v>
      </c>
      <c r="L1239" s="5">
        <f t="shared" si="4"/>
        <v>0</v>
      </c>
      <c r="M1239" s="5">
        <v>16619.405769660723</v>
      </c>
      <c r="N1239" s="5">
        <f t="shared" si="5"/>
        <v>0</v>
      </c>
      <c r="O1239" s="5">
        <f t="shared" si="6"/>
        <v>16619.40577</v>
      </c>
      <c r="P1239" s="5">
        <f t="shared" si="9"/>
        <v>16619.40577</v>
      </c>
      <c r="Q1239" s="5">
        <f t="shared" si="7"/>
        <v>16619.40577</v>
      </c>
      <c r="R1239" s="5">
        <f t="shared" si="8"/>
        <v>0</v>
      </c>
    </row>
    <row r="1240" ht="15.75" customHeight="1">
      <c r="A1240" s="4">
        <v>2007.0</v>
      </c>
      <c r="B1240" s="4">
        <v>522.0</v>
      </c>
      <c r="C1240" s="4" t="s">
        <v>22</v>
      </c>
      <c r="D1240" s="5" t="s">
        <v>19</v>
      </c>
      <c r="E1240" s="5" t="str">
        <f t="shared" si="1"/>
        <v/>
      </c>
      <c r="F1240" s="5" t="str">
        <f t="shared" si="2"/>
        <v/>
      </c>
      <c r="G1240" s="5" t="s">
        <v>19</v>
      </c>
      <c r="H1240" s="5" t="s">
        <v>19</v>
      </c>
      <c r="I1240" s="5" t="s">
        <v>19</v>
      </c>
      <c r="J1240" s="5">
        <v>0.0</v>
      </c>
      <c r="K1240" s="5">
        <f t="shared" si="3"/>
        <v>0</v>
      </c>
      <c r="L1240" s="5">
        <f t="shared" si="4"/>
        <v>0</v>
      </c>
      <c r="M1240" s="5">
        <v>14411.117630729801</v>
      </c>
      <c r="N1240" s="5">
        <f t="shared" si="5"/>
        <v>0</v>
      </c>
      <c r="O1240" s="5">
        <f t="shared" si="6"/>
        <v>14411.11763</v>
      </c>
      <c r="P1240" s="5">
        <f t="shared" si="9"/>
        <v>14411.11763</v>
      </c>
      <c r="Q1240" s="5">
        <f t="shared" si="7"/>
        <v>14411.11763</v>
      </c>
      <c r="R1240" s="5">
        <f t="shared" si="8"/>
        <v>0</v>
      </c>
    </row>
    <row r="1241" ht="15.75" customHeight="1">
      <c r="A1241" s="4">
        <v>2007.0</v>
      </c>
      <c r="B1241" s="4">
        <v>523.0</v>
      </c>
      <c r="C1241" s="4" t="s">
        <v>22</v>
      </c>
      <c r="D1241" s="5" t="s">
        <v>19</v>
      </c>
      <c r="E1241" s="5" t="str">
        <f t="shared" si="1"/>
        <v/>
      </c>
      <c r="F1241" s="5" t="str">
        <f t="shared" si="2"/>
        <v/>
      </c>
      <c r="G1241" s="5" t="s">
        <v>19</v>
      </c>
      <c r="H1241" s="5" t="s">
        <v>19</v>
      </c>
      <c r="I1241" s="5" t="s">
        <v>19</v>
      </c>
      <c r="J1241" s="5">
        <v>0.0</v>
      </c>
      <c r="K1241" s="5">
        <f t="shared" si="3"/>
        <v>0</v>
      </c>
      <c r="L1241" s="5">
        <f t="shared" si="4"/>
        <v>0</v>
      </c>
      <c r="M1241" s="5">
        <v>46771.85326243591</v>
      </c>
      <c r="N1241" s="5">
        <f t="shared" si="5"/>
        <v>0</v>
      </c>
      <c r="O1241" s="5">
        <f t="shared" si="6"/>
        <v>46771.85326</v>
      </c>
      <c r="P1241" s="5">
        <f t="shared" si="9"/>
        <v>46771.85326</v>
      </c>
      <c r="Q1241" s="5">
        <f t="shared" si="7"/>
        <v>46771.85326</v>
      </c>
      <c r="R1241" s="5">
        <f t="shared" si="8"/>
        <v>0</v>
      </c>
    </row>
    <row r="1242" ht="15.75" customHeight="1">
      <c r="A1242" s="4">
        <v>2007.0</v>
      </c>
      <c r="B1242" s="4">
        <v>524.0</v>
      </c>
      <c r="C1242" s="4" t="s">
        <v>22</v>
      </c>
      <c r="D1242" s="5">
        <v>6168.624013590429</v>
      </c>
      <c r="E1242" s="5">
        <f t="shared" si="1"/>
        <v>0</v>
      </c>
      <c r="F1242" s="5">
        <f t="shared" si="2"/>
        <v>6168.624014</v>
      </c>
      <c r="G1242" s="5">
        <v>21918.320941664635</v>
      </c>
      <c r="H1242" s="5">
        <v>15271.478461000737</v>
      </c>
      <c r="I1242" s="5">
        <v>6646.842480663898</v>
      </c>
      <c r="J1242" s="5">
        <v>1333.107700659019</v>
      </c>
      <c r="K1242" s="5">
        <f t="shared" si="3"/>
        <v>1333.107701</v>
      </c>
      <c r="L1242" s="5">
        <f t="shared" si="4"/>
        <v>0</v>
      </c>
      <c r="M1242" s="5">
        <v>203310.37482398818</v>
      </c>
      <c r="N1242" s="5">
        <f t="shared" si="5"/>
        <v>0</v>
      </c>
      <c r="O1242" s="5">
        <f t="shared" si="6"/>
        <v>203310.3748</v>
      </c>
      <c r="P1242" s="5">
        <f t="shared" si="9"/>
        <v>232730.4275</v>
      </c>
      <c r="Q1242" s="5">
        <f t="shared" si="7"/>
        <v>216125.8413</v>
      </c>
      <c r="R1242" s="5">
        <f t="shared" si="8"/>
        <v>16604.58616</v>
      </c>
    </row>
    <row r="1243" ht="15.75" customHeight="1">
      <c r="A1243" s="4">
        <v>2007.0</v>
      </c>
      <c r="B1243" s="4">
        <v>525.0</v>
      </c>
      <c r="C1243" s="4" t="s">
        <v>22</v>
      </c>
      <c r="D1243" s="5" t="s">
        <v>19</v>
      </c>
      <c r="E1243" s="5" t="str">
        <f t="shared" si="1"/>
        <v/>
      </c>
      <c r="F1243" s="5" t="str">
        <f t="shared" si="2"/>
        <v/>
      </c>
      <c r="G1243" s="5" t="s">
        <v>19</v>
      </c>
      <c r="H1243" s="5" t="s">
        <v>19</v>
      </c>
      <c r="I1243" s="5" t="s">
        <v>19</v>
      </c>
      <c r="J1243" s="5">
        <v>0.0</v>
      </c>
      <c r="K1243" s="5">
        <f t="shared" si="3"/>
        <v>0</v>
      </c>
      <c r="L1243" s="5">
        <f t="shared" si="4"/>
        <v>0</v>
      </c>
      <c r="M1243" s="5">
        <v>0.0</v>
      </c>
      <c r="N1243" s="5">
        <f t="shared" si="5"/>
        <v>0</v>
      </c>
      <c r="O1243" s="5">
        <f t="shared" si="6"/>
        <v>0</v>
      </c>
      <c r="P1243" s="5">
        <f t="shared" si="9"/>
        <v>0</v>
      </c>
      <c r="Q1243" s="5">
        <f t="shared" si="7"/>
        <v>0</v>
      </c>
      <c r="R1243" s="5">
        <f t="shared" si="8"/>
        <v>0</v>
      </c>
    </row>
    <row r="1244" ht="15.75" customHeight="1">
      <c r="A1244" s="4">
        <v>2007.0</v>
      </c>
      <c r="B1244" s="4">
        <v>526.0</v>
      </c>
      <c r="C1244" s="4" t="s">
        <v>22</v>
      </c>
      <c r="D1244" s="5" t="s">
        <v>19</v>
      </c>
      <c r="E1244" s="5" t="str">
        <f t="shared" si="1"/>
        <v/>
      </c>
      <c r="F1244" s="5" t="str">
        <f t="shared" si="2"/>
        <v/>
      </c>
      <c r="G1244" s="5" t="s">
        <v>19</v>
      </c>
      <c r="H1244" s="5" t="s">
        <v>19</v>
      </c>
      <c r="I1244" s="5" t="s">
        <v>19</v>
      </c>
      <c r="J1244" s="5">
        <v>0.0</v>
      </c>
      <c r="K1244" s="5">
        <f t="shared" si="3"/>
        <v>0</v>
      </c>
      <c r="L1244" s="5">
        <f t="shared" si="4"/>
        <v>0</v>
      </c>
      <c r="M1244" s="5">
        <v>0.0</v>
      </c>
      <c r="N1244" s="5">
        <f t="shared" si="5"/>
        <v>0</v>
      </c>
      <c r="O1244" s="5">
        <f t="shared" si="6"/>
        <v>0</v>
      </c>
      <c r="P1244" s="5">
        <f t="shared" si="9"/>
        <v>0</v>
      </c>
      <c r="Q1244" s="5">
        <f t="shared" si="7"/>
        <v>0</v>
      </c>
      <c r="R1244" s="5">
        <f t="shared" si="8"/>
        <v>0</v>
      </c>
    </row>
    <row r="1245" ht="15.75" customHeight="1">
      <c r="A1245" s="4">
        <v>2007.0</v>
      </c>
      <c r="B1245" s="4">
        <v>527.0</v>
      </c>
      <c r="C1245" s="4" t="s">
        <v>22</v>
      </c>
      <c r="D1245" s="5" t="s">
        <v>19</v>
      </c>
      <c r="E1245" s="5" t="str">
        <f t="shared" si="1"/>
        <v/>
      </c>
      <c r="F1245" s="5" t="str">
        <f t="shared" si="2"/>
        <v/>
      </c>
      <c r="G1245" s="5" t="s">
        <v>19</v>
      </c>
      <c r="H1245" s="5" t="s">
        <v>19</v>
      </c>
      <c r="I1245" s="5" t="s">
        <v>19</v>
      </c>
      <c r="J1245" s="5">
        <v>0.0</v>
      </c>
      <c r="K1245" s="5">
        <f t="shared" si="3"/>
        <v>0</v>
      </c>
      <c r="L1245" s="5">
        <f t="shared" si="4"/>
        <v>0</v>
      </c>
      <c r="M1245" s="5">
        <v>0.0</v>
      </c>
      <c r="N1245" s="5">
        <f t="shared" si="5"/>
        <v>0</v>
      </c>
      <c r="O1245" s="5">
        <f t="shared" si="6"/>
        <v>0</v>
      </c>
      <c r="P1245" s="5">
        <f t="shared" si="9"/>
        <v>0</v>
      </c>
      <c r="Q1245" s="5">
        <f t="shared" si="7"/>
        <v>0</v>
      </c>
      <c r="R1245" s="5">
        <f t="shared" si="8"/>
        <v>0</v>
      </c>
    </row>
    <row r="1246" ht="15.75" customHeight="1">
      <c r="A1246" s="4">
        <v>2007.0</v>
      </c>
      <c r="B1246" s="4">
        <v>528.0</v>
      </c>
      <c r="C1246" s="4" t="s">
        <v>22</v>
      </c>
      <c r="D1246" s="5" t="s">
        <v>19</v>
      </c>
      <c r="E1246" s="5" t="str">
        <f t="shared" si="1"/>
        <v/>
      </c>
      <c r="F1246" s="5" t="str">
        <f t="shared" si="2"/>
        <v/>
      </c>
      <c r="G1246" s="5" t="s">
        <v>19</v>
      </c>
      <c r="H1246" s="5" t="s">
        <v>19</v>
      </c>
      <c r="I1246" s="5" t="s">
        <v>19</v>
      </c>
      <c r="J1246" s="5">
        <v>0.0</v>
      </c>
      <c r="K1246" s="5">
        <f t="shared" si="3"/>
        <v>0</v>
      </c>
      <c r="L1246" s="5">
        <f t="shared" si="4"/>
        <v>0</v>
      </c>
      <c r="M1246" s="5">
        <v>0.0</v>
      </c>
      <c r="N1246" s="5">
        <f t="shared" si="5"/>
        <v>0</v>
      </c>
      <c r="O1246" s="5">
        <f t="shared" si="6"/>
        <v>0</v>
      </c>
      <c r="P1246" s="5">
        <f t="shared" si="9"/>
        <v>0</v>
      </c>
      <c r="Q1246" s="5">
        <f t="shared" si="7"/>
        <v>0</v>
      </c>
      <c r="R1246" s="5">
        <f t="shared" si="8"/>
        <v>0</v>
      </c>
    </row>
    <row r="1247" ht="15.75" customHeight="1">
      <c r="A1247" s="4">
        <v>2006.0</v>
      </c>
      <c r="B1247" s="4">
        <v>100.0</v>
      </c>
      <c r="C1247" s="4" t="s">
        <v>18</v>
      </c>
      <c r="D1247" s="5">
        <v>637.4792414130992</v>
      </c>
      <c r="E1247" s="5">
        <f t="shared" si="1"/>
        <v>0</v>
      </c>
      <c r="F1247" s="5">
        <f t="shared" si="2"/>
        <v>637.4792414</v>
      </c>
      <c r="G1247" s="5" t="s">
        <v>19</v>
      </c>
      <c r="H1247" s="5" t="s">
        <v>19</v>
      </c>
      <c r="I1247" s="5" t="s">
        <v>19</v>
      </c>
      <c r="J1247" s="5">
        <v>10374.241385796802</v>
      </c>
      <c r="K1247" s="5">
        <f t="shared" si="3"/>
        <v>10374.24139</v>
      </c>
      <c r="L1247" s="5">
        <f t="shared" si="4"/>
        <v>0</v>
      </c>
      <c r="M1247" s="5">
        <v>44827.15090165031</v>
      </c>
      <c r="N1247" s="5">
        <f t="shared" si="5"/>
        <v>0</v>
      </c>
      <c r="O1247" s="5">
        <f t="shared" si="6"/>
        <v>44827.1509</v>
      </c>
      <c r="P1247" s="5">
        <f t="shared" si="9"/>
        <v>55838.87153</v>
      </c>
      <c r="Q1247" s="5">
        <f t="shared" si="7"/>
        <v>45464.63014</v>
      </c>
      <c r="R1247" s="5">
        <f t="shared" si="8"/>
        <v>10374.24139</v>
      </c>
    </row>
    <row r="1248" ht="15.75" customHeight="1">
      <c r="A1248" s="4">
        <v>2006.0</v>
      </c>
      <c r="B1248" s="4">
        <v>101.0</v>
      </c>
      <c r="C1248" s="4" t="s">
        <v>18</v>
      </c>
      <c r="D1248" s="5">
        <v>26027.45690906136</v>
      </c>
      <c r="E1248" s="5">
        <f t="shared" si="1"/>
        <v>0</v>
      </c>
      <c r="F1248" s="5">
        <f t="shared" si="2"/>
        <v>26027.45691</v>
      </c>
      <c r="G1248" s="5">
        <v>6302.765056627126</v>
      </c>
      <c r="H1248" s="5">
        <v>2570.4113477875185</v>
      </c>
      <c r="I1248" s="5">
        <v>3732.3537088396074</v>
      </c>
      <c r="J1248" s="5">
        <v>637951.9035936462</v>
      </c>
      <c r="K1248" s="5">
        <f t="shared" si="3"/>
        <v>637951.9036</v>
      </c>
      <c r="L1248" s="5">
        <f t="shared" si="4"/>
        <v>0</v>
      </c>
      <c r="M1248" s="5">
        <v>304861.20479372854</v>
      </c>
      <c r="N1248" s="5">
        <f t="shared" si="5"/>
        <v>0</v>
      </c>
      <c r="O1248" s="5">
        <f t="shared" si="6"/>
        <v>304861.2048</v>
      </c>
      <c r="P1248" s="5">
        <f t="shared" si="9"/>
        <v>975143.3304</v>
      </c>
      <c r="Q1248" s="5">
        <f t="shared" si="7"/>
        <v>334621.0154</v>
      </c>
      <c r="R1248" s="5">
        <f t="shared" si="8"/>
        <v>640522.3149</v>
      </c>
    </row>
    <row r="1249" ht="15.75" customHeight="1">
      <c r="A1249" s="4">
        <v>2006.0</v>
      </c>
      <c r="B1249" s="4">
        <v>102.0</v>
      </c>
      <c r="C1249" s="4" t="s">
        <v>18</v>
      </c>
      <c r="D1249" s="5">
        <v>36376.08031718925</v>
      </c>
      <c r="E1249" s="5">
        <f t="shared" si="1"/>
        <v>0</v>
      </c>
      <c r="F1249" s="5">
        <f t="shared" si="2"/>
        <v>36376.08032</v>
      </c>
      <c r="G1249" s="5">
        <v>17429.729455843215</v>
      </c>
      <c r="H1249" s="5">
        <v>6355.8722381598745</v>
      </c>
      <c r="I1249" s="5">
        <v>11073.85721768334</v>
      </c>
      <c r="J1249" s="5">
        <v>15802.585928282624</v>
      </c>
      <c r="K1249" s="5">
        <f t="shared" si="3"/>
        <v>15802.58593</v>
      </c>
      <c r="L1249" s="5">
        <f t="shared" si="4"/>
        <v>0</v>
      </c>
      <c r="M1249" s="5">
        <v>73029.29969412065</v>
      </c>
      <c r="N1249" s="5">
        <f t="shared" si="5"/>
        <v>0</v>
      </c>
      <c r="O1249" s="5">
        <f t="shared" si="6"/>
        <v>73029.29969</v>
      </c>
      <c r="P1249" s="5">
        <f t="shared" si="9"/>
        <v>142637.6954</v>
      </c>
      <c r="Q1249" s="5">
        <f t="shared" si="7"/>
        <v>120479.2372</v>
      </c>
      <c r="R1249" s="5">
        <f t="shared" si="8"/>
        <v>22158.45817</v>
      </c>
    </row>
    <row r="1250" ht="15.75" customHeight="1">
      <c r="A1250" s="4">
        <v>2006.0</v>
      </c>
      <c r="B1250" s="4">
        <v>103.0</v>
      </c>
      <c r="C1250" s="4" t="s">
        <v>18</v>
      </c>
      <c r="D1250" s="5">
        <v>3329.408909360493</v>
      </c>
      <c r="E1250" s="5">
        <f t="shared" si="1"/>
        <v>0</v>
      </c>
      <c r="F1250" s="5">
        <f t="shared" si="2"/>
        <v>3329.408909</v>
      </c>
      <c r="G1250" s="5" t="s">
        <v>19</v>
      </c>
      <c r="H1250" s="5" t="s">
        <v>19</v>
      </c>
      <c r="I1250" s="5" t="s">
        <v>19</v>
      </c>
      <c r="J1250" s="5">
        <v>0.0</v>
      </c>
      <c r="K1250" s="5">
        <f t="shared" si="3"/>
        <v>0</v>
      </c>
      <c r="L1250" s="5">
        <f t="shared" si="4"/>
        <v>0</v>
      </c>
      <c r="M1250" s="5">
        <v>4449.295493965959</v>
      </c>
      <c r="N1250" s="5">
        <f t="shared" si="5"/>
        <v>0</v>
      </c>
      <c r="O1250" s="5">
        <f t="shared" si="6"/>
        <v>4449.295494</v>
      </c>
      <c r="P1250" s="5">
        <f t="shared" si="9"/>
        <v>7778.704403</v>
      </c>
      <c r="Q1250" s="5">
        <f t="shared" si="7"/>
        <v>7778.704403</v>
      </c>
      <c r="R1250" s="5">
        <f t="shared" si="8"/>
        <v>0</v>
      </c>
    </row>
    <row r="1251" ht="15.75" customHeight="1">
      <c r="A1251" s="4">
        <v>2006.0</v>
      </c>
      <c r="B1251" s="4">
        <v>104.0</v>
      </c>
      <c r="C1251" s="4" t="s">
        <v>18</v>
      </c>
      <c r="D1251" s="5">
        <v>1194.1690344094886</v>
      </c>
      <c r="E1251" s="5">
        <f t="shared" si="1"/>
        <v>0</v>
      </c>
      <c r="F1251" s="5">
        <f t="shared" si="2"/>
        <v>1194.169034</v>
      </c>
      <c r="G1251" s="5" t="s">
        <v>19</v>
      </c>
      <c r="H1251" s="5" t="s">
        <v>19</v>
      </c>
      <c r="I1251" s="5" t="s">
        <v>19</v>
      </c>
      <c r="J1251" s="5">
        <v>4413.126848241362</v>
      </c>
      <c r="K1251" s="5">
        <f t="shared" si="3"/>
        <v>4413.126848</v>
      </c>
      <c r="L1251" s="5">
        <f t="shared" si="4"/>
        <v>0</v>
      </c>
      <c r="M1251" s="5">
        <v>2110.256293326456</v>
      </c>
      <c r="N1251" s="5">
        <f t="shared" si="5"/>
        <v>0</v>
      </c>
      <c r="O1251" s="5">
        <f t="shared" si="6"/>
        <v>2110.256293</v>
      </c>
      <c r="P1251" s="5">
        <f t="shared" si="9"/>
        <v>7717.552176</v>
      </c>
      <c r="Q1251" s="5">
        <f t="shared" si="7"/>
        <v>3304.425328</v>
      </c>
      <c r="R1251" s="5">
        <f t="shared" si="8"/>
        <v>4413.126848</v>
      </c>
    </row>
    <row r="1252" ht="15.75" customHeight="1">
      <c r="A1252" s="4">
        <v>2006.0</v>
      </c>
      <c r="B1252" s="4">
        <v>105.0</v>
      </c>
      <c r="C1252" s="4" t="s">
        <v>18</v>
      </c>
      <c r="D1252" s="5">
        <v>17499.75192813821</v>
      </c>
      <c r="E1252" s="5">
        <f t="shared" si="1"/>
        <v>0</v>
      </c>
      <c r="F1252" s="5">
        <f t="shared" si="2"/>
        <v>17499.75193</v>
      </c>
      <c r="G1252" s="5">
        <v>2707.634602083548</v>
      </c>
      <c r="H1252" s="5">
        <v>1340.9860357050025</v>
      </c>
      <c r="I1252" s="5">
        <v>1366.6485663785456</v>
      </c>
      <c r="J1252" s="5">
        <v>35879.79697298608</v>
      </c>
      <c r="K1252" s="5">
        <f t="shared" si="3"/>
        <v>35879.79697</v>
      </c>
      <c r="L1252" s="5">
        <f t="shared" si="4"/>
        <v>0</v>
      </c>
      <c r="M1252" s="5">
        <v>21399.34889951004</v>
      </c>
      <c r="N1252" s="5">
        <f t="shared" si="5"/>
        <v>0</v>
      </c>
      <c r="O1252" s="5">
        <f t="shared" si="6"/>
        <v>21399.3489</v>
      </c>
      <c r="P1252" s="5">
        <f t="shared" si="9"/>
        <v>77486.5324</v>
      </c>
      <c r="Q1252" s="5">
        <f t="shared" si="7"/>
        <v>40265.74939</v>
      </c>
      <c r="R1252" s="5">
        <f t="shared" si="8"/>
        <v>37220.78301</v>
      </c>
    </row>
    <row r="1253" ht="15.75" customHeight="1">
      <c r="A1253" s="4">
        <v>2006.0</v>
      </c>
      <c r="B1253" s="4">
        <v>106.0</v>
      </c>
      <c r="C1253" s="4" t="s">
        <v>18</v>
      </c>
      <c r="D1253" s="5">
        <v>17071.189150990194</v>
      </c>
      <c r="E1253" s="5">
        <f t="shared" si="1"/>
        <v>0</v>
      </c>
      <c r="F1253" s="5">
        <f t="shared" si="2"/>
        <v>17071.18915</v>
      </c>
      <c r="G1253" s="5">
        <v>5817.43432606498</v>
      </c>
      <c r="H1253" s="5">
        <v>3182.2726115317164</v>
      </c>
      <c r="I1253" s="5">
        <v>2635.161714533264</v>
      </c>
      <c r="J1253" s="5">
        <v>40757.3662952656</v>
      </c>
      <c r="K1253" s="5">
        <f t="shared" si="3"/>
        <v>40757.3663</v>
      </c>
      <c r="L1253" s="5">
        <f t="shared" si="4"/>
        <v>0</v>
      </c>
      <c r="M1253" s="5">
        <v>117490.66397070646</v>
      </c>
      <c r="N1253" s="5">
        <f t="shared" si="5"/>
        <v>0</v>
      </c>
      <c r="O1253" s="5">
        <f t="shared" si="6"/>
        <v>117490.664</v>
      </c>
      <c r="P1253" s="5">
        <f t="shared" si="9"/>
        <v>181136.6537</v>
      </c>
      <c r="Q1253" s="5">
        <f t="shared" si="7"/>
        <v>137197.0148</v>
      </c>
      <c r="R1253" s="5">
        <f t="shared" si="8"/>
        <v>43939.63891</v>
      </c>
    </row>
    <row r="1254" ht="15.75" customHeight="1">
      <c r="A1254" s="4">
        <v>2006.0</v>
      </c>
      <c r="B1254" s="4">
        <v>107.0</v>
      </c>
      <c r="C1254" s="4" t="s">
        <v>18</v>
      </c>
      <c r="D1254" s="5">
        <v>3518.759179087157</v>
      </c>
      <c r="E1254" s="5">
        <f t="shared" si="1"/>
        <v>0</v>
      </c>
      <c r="F1254" s="5">
        <f t="shared" si="2"/>
        <v>3518.759179</v>
      </c>
      <c r="G1254" s="5" t="s">
        <v>19</v>
      </c>
      <c r="H1254" s="5" t="s">
        <v>19</v>
      </c>
      <c r="I1254" s="5" t="s">
        <v>19</v>
      </c>
      <c r="J1254" s="5">
        <v>11579.668125074784</v>
      </c>
      <c r="K1254" s="5">
        <f t="shared" si="3"/>
        <v>11579.66813</v>
      </c>
      <c r="L1254" s="5">
        <f t="shared" si="4"/>
        <v>0</v>
      </c>
      <c r="M1254" s="5">
        <v>142366.981008102</v>
      </c>
      <c r="N1254" s="5">
        <f t="shared" si="5"/>
        <v>0</v>
      </c>
      <c r="O1254" s="5">
        <f t="shared" si="6"/>
        <v>142366.981</v>
      </c>
      <c r="P1254" s="5">
        <f t="shared" si="9"/>
        <v>157465.4083</v>
      </c>
      <c r="Q1254" s="5">
        <f t="shared" si="7"/>
        <v>145885.7402</v>
      </c>
      <c r="R1254" s="5">
        <f t="shared" si="8"/>
        <v>11579.66813</v>
      </c>
    </row>
    <row r="1255" ht="15.75" customHeight="1">
      <c r="A1255" s="4">
        <v>2006.0</v>
      </c>
      <c r="B1255" s="4">
        <v>108.0</v>
      </c>
      <c r="C1255" s="4" t="s">
        <v>18</v>
      </c>
      <c r="D1255" s="5">
        <v>10572.056726405357</v>
      </c>
      <c r="E1255" s="5">
        <f t="shared" si="1"/>
        <v>0</v>
      </c>
      <c r="F1255" s="5">
        <f t="shared" si="2"/>
        <v>10572.05673</v>
      </c>
      <c r="G1255" s="5" t="s">
        <v>19</v>
      </c>
      <c r="H1255" s="5" t="s">
        <v>19</v>
      </c>
      <c r="I1255" s="5" t="s">
        <v>19</v>
      </c>
      <c r="J1255" s="5">
        <v>11479.0235332852</v>
      </c>
      <c r="K1255" s="5">
        <f t="shared" si="3"/>
        <v>11479.02353</v>
      </c>
      <c r="L1255" s="5">
        <f t="shared" si="4"/>
        <v>0</v>
      </c>
      <c r="M1255" s="5">
        <v>36323.443202140246</v>
      </c>
      <c r="N1255" s="5">
        <f t="shared" si="5"/>
        <v>0</v>
      </c>
      <c r="O1255" s="5">
        <f t="shared" si="6"/>
        <v>36323.4432</v>
      </c>
      <c r="P1255" s="5">
        <f t="shared" si="9"/>
        <v>58374.52346</v>
      </c>
      <c r="Q1255" s="5">
        <f t="shared" si="7"/>
        <v>46895.49993</v>
      </c>
      <c r="R1255" s="5">
        <f t="shared" si="8"/>
        <v>11479.02353</v>
      </c>
    </row>
    <row r="1256" ht="15.75" customHeight="1">
      <c r="A1256" s="4">
        <v>2006.0</v>
      </c>
      <c r="B1256" s="4">
        <v>120.0</v>
      </c>
      <c r="C1256" s="4" t="s">
        <v>18</v>
      </c>
      <c r="D1256" s="5">
        <v>25590.05778599277</v>
      </c>
      <c r="E1256" s="5">
        <f t="shared" si="1"/>
        <v>0</v>
      </c>
      <c r="F1256" s="5">
        <f t="shared" si="2"/>
        <v>25590.05779</v>
      </c>
      <c r="G1256" s="5" t="s">
        <v>19</v>
      </c>
      <c r="H1256" s="5" t="s">
        <v>19</v>
      </c>
      <c r="I1256" s="5" t="s">
        <v>19</v>
      </c>
      <c r="J1256" s="5">
        <v>0.0</v>
      </c>
      <c r="K1256" s="5">
        <f t="shared" si="3"/>
        <v>0</v>
      </c>
      <c r="L1256" s="5">
        <f t="shared" si="4"/>
        <v>0</v>
      </c>
      <c r="M1256" s="5">
        <v>71581.94852539964</v>
      </c>
      <c r="N1256" s="5">
        <f t="shared" si="5"/>
        <v>0</v>
      </c>
      <c r="O1256" s="5">
        <f t="shared" si="6"/>
        <v>71581.94853</v>
      </c>
      <c r="P1256" s="5">
        <f t="shared" si="9"/>
        <v>97172.00631</v>
      </c>
      <c r="Q1256" s="5">
        <f t="shared" si="7"/>
        <v>97172.00631</v>
      </c>
      <c r="R1256" s="5">
        <f t="shared" si="8"/>
        <v>0</v>
      </c>
    </row>
    <row r="1257" ht="15.75" customHeight="1">
      <c r="A1257" s="4">
        <v>2006.0</v>
      </c>
      <c r="B1257" s="4">
        <v>121.0</v>
      </c>
      <c r="C1257" s="4" t="s">
        <v>18</v>
      </c>
      <c r="D1257" s="5">
        <v>31945.91517315109</v>
      </c>
      <c r="E1257" s="5">
        <f t="shared" si="1"/>
        <v>0</v>
      </c>
      <c r="F1257" s="5">
        <f t="shared" si="2"/>
        <v>31945.91517</v>
      </c>
      <c r="G1257" s="5">
        <v>8760.308792656007</v>
      </c>
      <c r="H1257" s="5">
        <v>3134.987022605467</v>
      </c>
      <c r="I1257" s="5">
        <v>5625.321770050541</v>
      </c>
      <c r="J1257" s="5">
        <v>114887.18654512637</v>
      </c>
      <c r="K1257" s="5">
        <f t="shared" si="3"/>
        <v>114887.1865</v>
      </c>
      <c r="L1257" s="5">
        <f t="shared" si="4"/>
        <v>0</v>
      </c>
      <c r="M1257" s="5">
        <v>1002321.3605357963</v>
      </c>
      <c r="N1257" s="5">
        <f t="shared" si="5"/>
        <v>0</v>
      </c>
      <c r="O1257" s="5">
        <f t="shared" si="6"/>
        <v>1002321.361</v>
      </c>
      <c r="P1257" s="5">
        <f t="shared" si="9"/>
        <v>1157914.771</v>
      </c>
      <c r="Q1257" s="5">
        <f t="shared" si="7"/>
        <v>1039892.597</v>
      </c>
      <c r="R1257" s="5">
        <f t="shared" si="8"/>
        <v>118022.1736</v>
      </c>
    </row>
    <row r="1258" ht="15.75" customHeight="1">
      <c r="A1258" s="4">
        <v>2006.0</v>
      </c>
      <c r="B1258" s="4">
        <v>122.0</v>
      </c>
      <c r="C1258" s="4" t="s">
        <v>18</v>
      </c>
      <c r="D1258" s="5">
        <v>52554.16736263535</v>
      </c>
      <c r="E1258" s="5">
        <f t="shared" si="1"/>
        <v>0</v>
      </c>
      <c r="F1258" s="5">
        <f t="shared" si="2"/>
        <v>52554.16736</v>
      </c>
      <c r="G1258" s="5">
        <v>13263.132461763795</v>
      </c>
      <c r="H1258" s="5">
        <v>3228.2513123218155</v>
      </c>
      <c r="I1258" s="5">
        <v>10034.881149441979</v>
      </c>
      <c r="J1258" s="5">
        <v>2359.1461653429606</v>
      </c>
      <c r="K1258" s="5">
        <f t="shared" si="3"/>
        <v>2359.146165</v>
      </c>
      <c r="L1258" s="5">
        <f t="shared" si="4"/>
        <v>0</v>
      </c>
      <c r="M1258" s="5">
        <v>164779.72512568848</v>
      </c>
      <c r="N1258" s="5">
        <f t="shared" si="5"/>
        <v>0</v>
      </c>
      <c r="O1258" s="5">
        <f t="shared" si="6"/>
        <v>164779.7251</v>
      </c>
      <c r="P1258" s="5">
        <f t="shared" si="9"/>
        <v>232956.1711</v>
      </c>
      <c r="Q1258" s="5">
        <f t="shared" si="7"/>
        <v>227368.7736</v>
      </c>
      <c r="R1258" s="5">
        <f t="shared" si="8"/>
        <v>5587.397478</v>
      </c>
    </row>
    <row r="1259" ht="15.75" customHeight="1">
      <c r="A1259" s="4">
        <v>2006.0</v>
      </c>
      <c r="B1259" s="4">
        <v>123.0</v>
      </c>
      <c r="C1259" s="4" t="s">
        <v>18</v>
      </c>
      <c r="D1259" s="5" t="s">
        <v>19</v>
      </c>
      <c r="E1259" s="5" t="str">
        <f t="shared" si="1"/>
        <v/>
      </c>
      <c r="F1259" s="5" t="str">
        <f t="shared" si="2"/>
        <v/>
      </c>
      <c r="G1259" s="5" t="s">
        <v>19</v>
      </c>
      <c r="H1259" s="5" t="s">
        <v>19</v>
      </c>
      <c r="I1259" s="5" t="s">
        <v>19</v>
      </c>
      <c r="J1259" s="5">
        <v>0.0</v>
      </c>
      <c r="K1259" s="5">
        <f t="shared" si="3"/>
        <v>0</v>
      </c>
      <c r="L1259" s="5">
        <f t="shared" si="4"/>
        <v>0</v>
      </c>
      <c r="M1259" s="5">
        <v>4315.783375817427</v>
      </c>
      <c r="N1259" s="5">
        <f t="shared" si="5"/>
        <v>0</v>
      </c>
      <c r="O1259" s="5">
        <f t="shared" si="6"/>
        <v>4315.783376</v>
      </c>
      <c r="P1259" s="5">
        <f t="shared" si="9"/>
        <v>4315.783376</v>
      </c>
      <c r="Q1259" s="5">
        <f t="shared" si="7"/>
        <v>4315.783376</v>
      </c>
      <c r="R1259" s="5">
        <f t="shared" si="8"/>
        <v>0</v>
      </c>
    </row>
    <row r="1260" ht="15.75" customHeight="1">
      <c r="A1260" s="4">
        <v>2006.0</v>
      </c>
      <c r="B1260" s="4">
        <v>124.0</v>
      </c>
      <c r="C1260" s="4" t="s">
        <v>18</v>
      </c>
      <c r="D1260" s="5" t="s">
        <v>19</v>
      </c>
      <c r="E1260" s="5" t="str">
        <f t="shared" si="1"/>
        <v/>
      </c>
      <c r="F1260" s="5" t="str">
        <f t="shared" si="2"/>
        <v/>
      </c>
      <c r="G1260" s="5" t="s">
        <v>19</v>
      </c>
      <c r="H1260" s="5" t="s">
        <v>19</v>
      </c>
      <c r="I1260" s="5" t="s">
        <v>19</v>
      </c>
      <c r="J1260" s="5">
        <v>0.0</v>
      </c>
      <c r="K1260" s="5">
        <f t="shared" si="3"/>
        <v>0</v>
      </c>
      <c r="L1260" s="5">
        <f t="shared" si="4"/>
        <v>0</v>
      </c>
      <c r="M1260" s="5">
        <v>38099.171000180475</v>
      </c>
      <c r="N1260" s="5">
        <f t="shared" si="5"/>
        <v>0</v>
      </c>
      <c r="O1260" s="5">
        <f t="shared" si="6"/>
        <v>38099.171</v>
      </c>
      <c r="P1260" s="5">
        <f t="shared" si="9"/>
        <v>38099.171</v>
      </c>
      <c r="Q1260" s="5">
        <f t="shared" si="7"/>
        <v>38099.171</v>
      </c>
      <c r="R1260" s="5">
        <f t="shared" si="8"/>
        <v>0</v>
      </c>
    </row>
    <row r="1261" ht="15.75" customHeight="1">
      <c r="A1261" s="4">
        <v>2006.0</v>
      </c>
      <c r="B1261" s="4">
        <v>125.0</v>
      </c>
      <c r="C1261" s="4" t="s">
        <v>18</v>
      </c>
      <c r="D1261" s="5">
        <v>8235.474397978334</v>
      </c>
      <c r="E1261" s="5">
        <f t="shared" si="1"/>
        <v>0</v>
      </c>
      <c r="F1261" s="5">
        <f t="shared" si="2"/>
        <v>8235.474398</v>
      </c>
      <c r="G1261" s="5" t="s">
        <v>19</v>
      </c>
      <c r="H1261" s="5" t="s">
        <v>19</v>
      </c>
      <c r="I1261" s="5" t="s">
        <v>19</v>
      </c>
      <c r="J1261" s="5">
        <v>115.41810985043838</v>
      </c>
      <c r="K1261" s="5">
        <f t="shared" si="3"/>
        <v>115.4181099</v>
      </c>
      <c r="L1261" s="5">
        <f t="shared" si="4"/>
        <v>0</v>
      </c>
      <c r="M1261" s="5">
        <v>354791.74418161914</v>
      </c>
      <c r="N1261" s="5">
        <f t="shared" si="5"/>
        <v>0</v>
      </c>
      <c r="O1261" s="5">
        <f t="shared" si="6"/>
        <v>354791.7442</v>
      </c>
      <c r="P1261" s="5">
        <f t="shared" si="9"/>
        <v>363142.6367</v>
      </c>
      <c r="Q1261" s="5">
        <f t="shared" si="7"/>
        <v>363027.2186</v>
      </c>
      <c r="R1261" s="5">
        <f t="shared" si="8"/>
        <v>115.4181099</v>
      </c>
    </row>
    <row r="1262" ht="15.75" customHeight="1">
      <c r="A1262" s="4">
        <v>2006.0</v>
      </c>
      <c r="B1262" s="4">
        <v>126.0</v>
      </c>
      <c r="C1262" s="4" t="s">
        <v>18</v>
      </c>
      <c r="D1262" s="5">
        <v>6160.195441774106</v>
      </c>
      <c r="E1262" s="5">
        <f t="shared" si="1"/>
        <v>0</v>
      </c>
      <c r="F1262" s="5">
        <f t="shared" si="2"/>
        <v>6160.195442</v>
      </c>
      <c r="G1262" s="5">
        <v>2338.141683589479</v>
      </c>
      <c r="H1262" s="5">
        <v>1193.3076763197523</v>
      </c>
      <c r="I1262" s="5">
        <v>1144.8340072697265</v>
      </c>
      <c r="J1262" s="5">
        <v>1425.644492872615</v>
      </c>
      <c r="K1262" s="5">
        <f t="shared" si="3"/>
        <v>1425.644493</v>
      </c>
      <c r="L1262" s="5">
        <f t="shared" si="4"/>
        <v>0</v>
      </c>
      <c r="M1262" s="5">
        <v>288954.9734028003</v>
      </c>
      <c r="N1262" s="5">
        <f t="shared" si="5"/>
        <v>0</v>
      </c>
      <c r="O1262" s="5">
        <f t="shared" si="6"/>
        <v>288954.9734</v>
      </c>
      <c r="P1262" s="5">
        <f t="shared" si="9"/>
        <v>298878.955</v>
      </c>
      <c r="Q1262" s="5">
        <f t="shared" si="7"/>
        <v>296260.0029</v>
      </c>
      <c r="R1262" s="5">
        <f t="shared" si="8"/>
        <v>2618.952169</v>
      </c>
    </row>
    <row r="1263" ht="15.75" customHeight="1">
      <c r="A1263" s="4">
        <v>2006.0</v>
      </c>
      <c r="B1263" s="4">
        <v>127.0</v>
      </c>
      <c r="C1263" s="4" t="s">
        <v>18</v>
      </c>
      <c r="D1263" s="5" t="s">
        <v>19</v>
      </c>
      <c r="E1263" s="5" t="str">
        <f t="shared" si="1"/>
        <v/>
      </c>
      <c r="F1263" s="5" t="str">
        <f t="shared" si="2"/>
        <v/>
      </c>
      <c r="G1263" s="5" t="s">
        <v>19</v>
      </c>
      <c r="H1263" s="5" t="s">
        <v>19</v>
      </c>
      <c r="I1263" s="5" t="s">
        <v>19</v>
      </c>
      <c r="J1263" s="5">
        <v>0.0</v>
      </c>
      <c r="K1263" s="5">
        <f t="shared" si="3"/>
        <v>0</v>
      </c>
      <c r="L1263" s="5">
        <f t="shared" si="4"/>
        <v>0</v>
      </c>
      <c r="M1263" s="5">
        <v>76623.81835197005</v>
      </c>
      <c r="N1263" s="5">
        <f t="shared" si="5"/>
        <v>0</v>
      </c>
      <c r="O1263" s="5">
        <f t="shared" si="6"/>
        <v>76623.81835</v>
      </c>
      <c r="P1263" s="5">
        <f t="shared" si="9"/>
        <v>76623.81835</v>
      </c>
      <c r="Q1263" s="5">
        <f t="shared" si="7"/>
        <v>76623.81835</v>
      </c>
      <c r="R1263" s="5">
        <f t="shared" si="8"/>
        <v>0</v>
      </c>
    </row>
    <row r="1264" ht="15.75" customHeight="1">
      <c r="A1264" s="4">
        <v>2006.0</v>
      </c>
      <c r="B1264" s="4">
        <v>128.0</v>
      </c>
      <c r="C1264" s="4" t="s">
        <v>18</v>
      </c>
      <c r="D1264" s="5" t="s">
        <v>19</v>
      </c>
      <c r="E1264" s="5" t="str">
        <f t="shared" si="1"/>
        <v/>
      </c>
      <c r="F1264" s="5" t="str">
        <f t="shared" si="2"/>
        <v/>
      </c>
      <c r="G1264" s="5" t="s">
        <v>19</v>
      </c>
      <c r="H1264" s="5" t="s">
        <v>19</v>
      </c>
      <c r="I1264" s="5" t="s">
        <v>19</v>
      </c>
      <c r="J1264" s="5">
        <v>0.0</v>
      </c>
      <c r="K1264" s="5">
        <f t="shared" si="3"/>
        <v>0</v>
      </c>
      <c r="L1264" s="5">
        <f t="shared" si="4"/>
        <v>0</v>
      </c>
      <c r="M1264" s="5">
        <v>237.76130629190288</v>
      </c>
      <c r="N1264" s="5">
        <f t="shared" si="5"/>
        <v>0</v>
      </c>
      <c r="O1264" s="5">
        <f t="shared" si="6"/>
        <v>237.7613063</v>
      </c>
      <c r="P1264" s="5">
        <f t="shared" si="9"/>
        <v>237.7613063</v>
      </c>
      <c r="Q1264" s="5">
        <f t="shared" si="7"/>
        <v>237.7613063</v>
      </c>
      <c r="R1264" s="5">
        <f t="shared" si="8"/>
        <v>0</v>
      </c>
    </row>
    <row r="1265" ht="15.75" customHeight="1">
      <c r="A1265" s="4">
        <v>2006.0</v>
      </c>
      <c r="B1265" s="4">
        <v>300.0</v>
      </c>
      <c r="C1265" s="4" t="s">
        <v>20</v>
      </c>
      <c r="D1265" s="5" t="s">
        <v>19</v>
      </c>
      <c r="E1265" s="5" t="str">
        <f t="shared" si="1"/>
        <v/>
      </c>
      <c r="F1265" s="5" t="str">
        <f t="shared" si="2"/>
        <v/>
      </c>
      <c r="G1265" s="5">
        <v>17224.88571732852</v>
      </c>
      <c r="H1265" s="5">
        <v>8250.386740618875</v>
      </c>
      <c r="I1265" s="5">
        <v>8974.498976709647</v>
      </c>
      <c r="J1265" s="5">
        <v>300982.5590342135</v>
      </c>
      <c r="K1265" s="5">
        <f t="shared" si="3"/>
        <v>300982.559</v>
      </c>
      <c r="L1265" s="5">
        <f t="shared" si="4"/>
        <v>0</v>
      </c>
      <c r="M1265" s="5">
        <v>1115.7573604796285</v>
      </c>
      <c r="N1265" s="5">
        <f t="shared" si="5"/>
        <v>0</v>
      </c>
      <c r="O1265" s="5">
        <f t="shared" si="6"/>
        <v>1115.75736</v>
      </c>
      <c r="P1265" s="5">
        <f t="shared" si="9"/>
        <v>319323.2021</v>
      </c>
      <c r="Q1265" s="5">
        <f t="shared" si="7"/>
        <v>10090.25634</v>
      </c>
      <c r="R1265" s="5">
        <f t="shared" si="8"/>
        <v>309232.9458</v>
      </c>
    </row>
    <row r="1266" ht="15.75" customHeight="1">
      <c r="A1266" s="4">
        <v>2006.0</v>
      </c>
      <c r="B1266" s="4">
        <v>301.0</v>
      </c>
      <c r="C1266" s="4" t="s">
        <v>20</v>
      </c>
      <c r="D1266" s="5">
        <v>508.63066059824627</v>
      </c>
      <c r="E1266" s="5">
        <f t="shared" si="1"/>
        <v>0</v>
      </c>
      <c r="F1266" s="5">
        <f t="shared" si="2"/>
        <v>508.6306606</v>
      </c>
      <c r="G1266" s="5">
        <v>3887.6047876224857</v>
      </c>
      <c r="H1266" s="5">
        <v>2211.6482779112944</v>
      </c>
      <c r="I1266" s="5">
        <v>1675.9565097111913</v>
      </c>
      <c r="J1266" s="5">
        <v>8772.002342135122</v>
      </c>
      <c r="K1266" s="5">
        <f t="shared" si="3"/>
        <v>8772.002342</v>
      </c>
      <c r="L1266" s="5">
        <f t="shared" si="4"/>
        <v>0</v>
      </c>
      <c r="M1266" s="5">
        <v>576.961410108303</v>
      </c>
      <c r="N1266" s="5">
        <f t="shared" si="5"/>
        <v>0</v>
      </c>
      <c r="O1266" s="5">
        <f t="shared" si="6"/>
        <v>576.9614101</v>
      </c>
      <c r="P1266" s="5">
        <f t="shared" si="9"/>
        <v>13745.1992</v>
      </c>
      <c r="Q1266" s="5">
        <f t="shared" si="7"/>
        <v>2761.54858</v>
      </c>
      <c r="R1266" s="5">
        <f t="shared" si="8"/>
        <v>10983.65062</v>
      </c>
    </row>
    <row r="1267" ht="15.75" customHeight="1">
      <c r="A1267" s="4">
        <v>2006.0</v>
      </c>
      <c r="B1267" s="4">
        <v>302.0</v>
      </c>
      <c r="C1267" s="4" t="s">
        <v>20</v>
      </c>
      <c r="D1267" s="5">
        <v>10612.170572975754</v>
      </c>
      <c r="E1267" s="5">
        <f t="shared" si="1"/>
        <v>0</v>
      </c>
      <c r="F1267" s="5">
        <f t="shared" si="2"/>
        <v>10612.17057</v>
      </c>
      <c r="G1267" s="5">
        <v>2533.4759383960804</v>
      </c>
      <c r="H1267" s="5">
        <v>1492.1204814285716</v>
      </c>
      <c r="I1267" s="5">
        <v>1041.3554569675089</v>
      </c>
      <c r="J1267" s="5">
        <v>97412.47146850955</v>
      </c>
      <c r="K1267" s="5">
        <f t="shared" si="3"/>
        <v>97412.47147</v>
      </c>
      <c r="L1267" s="5">
        <f t="shared" si="4"/>
        <v>0</v>
      </c>
      <c r="M1267" s="5">
        <v>4912.9518334657005</v>
      </c>
      <c r="N1267" s="5">
        <f t="shared" si="5"/>
        <v>0</v>
      </c>
      <c r="O1267" s="5">
        <f t="shared" si="6"/>
        <v>4912.951833</v>
      </c>
      <c r="P1267" s="5">
        <f t="shared" si="9"/>
        <v>115471.0698</v>
      </c>
      <c r="Q1267" s="5">
        <f t="shared" si="7"/>
        <v>16566.47786</v>
      </c>
      <c r="R1267" s="5">
        <f t="shared" si="8"/>
        <v>98904.59195</v>
      </c>
    </row>
    <row r="1268" ht="15.75" customHeight="1">
      <c r="A1268" s="4">
        <v>2006.0</v>
      </c>
      <c r="B1268" s="4">
        <v>303.0</v>
      </c>
      <c r="C1268" s="4" t="s">
        <v>20</v>
      </c>
      <c r="D1268" s="5">
        <v>9745.614632697263</v>
      </c>
      <c r="E1268" s="5">
        <f t="shared" si="1"/>
        <v>0</v>
      </c>
      <c r="F1268" s="5">
        <f t="shared" si="2"/>
        <v>9745.614633</v>
      </c>
      <c r="G1268" s="5">
        <v>1372.4666076585868</v>
      </c>
      <c r="H1268" s="5">
        <v>687.0928862558019</v>
      </c>
      <c r="I1268" s="5">
        <v>685.3737214027849</v>
      </c>
      <c r="J1268" s="5">
        <v>0.0</v>
      </c>
      <c r="K1268" s="5">
        <f t="shared" si="3"/>
        <v>0</v>
      </c>
      <c r="L1268" s="5">
        <f t="shared" si="4"/>
        <v>0</v>
      </c>
      <c r="M1268" s="5">
        <v>8387.2629334657</v>
      </c>
      <c r="N1268" s="5">
        <f t="shared" si="5"/>
        <v>0</v>
      </c>
      <c r="O1268" s="5">
        <f t="shared" si="6"/>
        <v>8387.262933</v>
      </c>
      <c r="P1268" s="5">
        <f t="shared" si="9"/>
        <v>19505.34417</v>
      </c>
      <c r="Q1268" s="5">
        <f t="shared" si="7"/>
        <v>18818.25129</v>
      </c>
      <c r="R1268" s="5">
        <f t="shared" si="8"/>
        <v>687.0928863</v>
      </c>
    </row>
    <row r="1269" ht="15.75" customHeight="1">
      <c r="A1269" s="4">
        <v>2006.0</v>
      </c>
      <c r="B1269" s="4">
        <v>304.0</v>
      </c>
      <c r="C1269" s="4" t="s">
        <v>20</v>
      </c>
      <c r="D1269" s="5">
        <v>25101.865009154193</v>
      </c>
      <c r="E1269" s="5">
        <f t="shared" si="1"/>
        <v>0</v>
      </c>
      <c r="F1269" s="5">
        <f t="shared" si="2"/>
        <v>25101.86501</v>
      </c>
      <c r="G1269" s="5">
        <v>4423.984221763795</v>
      </c>
      <c r="H1269" s="5">
        <v>1510.572850850954</v>
      </c>
      <c r="I1269" s="5">
        <v>2913.4113709128414</v>
      </c>
      <c r="J1269" s="5">
        <v>268.5771345023208</v>
      </c>
      <c r="K1269" s="5">
        <f t="shared" si="3"/>
        <v>268.5771345</v>
      </c>
      <c r="L1269" s="5">
        <f t="shared" si="4"/>
        <v>0</v>
      </c>
      <c r="M1269" s="5">
        <v>2081.1822293192354</v>
      </c>
      <c r="N1269" s="5">
        <f t="shared" si="5"/>
        <v>0</v>
      </c>
      <c r="O1269" s="5">
        <f t="shared" si="6"/>
        <v>2081.182229</v>
      </c>
      <c r="P1269" s="5">
        <f t="shared" si="9"/>
        <v>31875.60859</v>
      </c>
      <c r="Q1269" s="5">
        <f t="shared" si="7"/>
        <v>30096.45861</v>
      </c>
      <c r="R1269" s="5">
        <f t="shared" si="8"/>
        <v>1779.149985</v>
      </c>
    </row>
    <row r="1270" ht="15.75" customHeight="1">
      <c r="A1270" s="4">
        <v>2006.0</v>
      </c>
      <c r="B1270" s="4">
        <v>305.0</v>
      </c>
      <c r="C1270" s="4" t="s">
        <v>20</v>
      </c>
      <c r="D1270" s="5">
        <v>40937.86084820008</v>
      </c>
      <c r="E1270" s="5">
        <f t="shared" si="1"/>
        <v>0</v>
      </c>
      <c r="F1270" s="5">
        <f t="shared" si="2"/>
        <v>40937.86085</v>
      </c>
      <c r="G1270" s="5">
        <v>7674.924958818978</v>
      </c>
      <c r="H1270" s="5">
        <v>3835.57139807117</v>
      </c>
      <c r="I1270" s="5">
        <v>3839.353560747808</v>
      </c>
      <c r="J1270" s="5">
        <v>1374.7507562661167</v>
      </c>
      <c r="K1270" s="5">
        <f t="shared" si="3"/>
        <v>1374.750756</v>
      </c>
      <c r="L1270" s="5">
        <f t="shared" si="4"/>
        <v>0</v>
      </c>
      <c r="M1270" s="5">
        <v>7395.856883115002</v>
      </c>
      <c r="N1270" s="5">
        <f t="shared" si="5"/>
        <v>0</v>
      </c>
      <c r="O1270" s="5">
        <f t="shared" si="6"/>
        <v>7395.856883</v>
      </c>
      <c r="P1270" s="5">
        <f t="shared" si="9"/>
        <v>57383.39345</v>
      </c>
      <c r="Q1270" s="5">
        <f t="shared" si="7"/>
        <v>52173.07129</v>
      </c>
      <c r="R1270" s="5">
        <f t="shared" si="8"/>
        <v>5210.322154</v>
      </c>
    </row>
    <row r="1271" ht="15.75" customHeight="1">
      <c r="A1271" s="4">
        <v>2006.0</v>
      </c>
      <c r="B1271" s="4">
        <v>306.0</v>
      </c>
      <c r="C1271" s="4" t="s">
        <v>20</v>
      </c>
      <c r="D1271" s="5" t="s">
        <v>19</v>
      </c>
      <c r="E1271" s="5" t="str">
        <f t="shared" si="1"/>
        <v/>
      </c>
      <c r="F1271" s="5" t="str">
        <f t="shared" si="2"/>
        <v/>
      </c>
      <c r="G1271" s="5" t="s">
        <v>19</v>
      </c>
      <c r="H1271" s="5" t="s">
        <v>19</v>
      </c>
      <c r="I1271" s="5" t="s">
        <v>19</v>
      </c>
      <c r="J1271" s="5">
        <v>0.0</v>
      </c>
      <c r="K1271" s="5">
        <f t="shared" si="3"/>
        <v>0</v>
      </c>
      <c r="L1271" s="5">
        <f t="shared" si="4"/>
        <v>0</v>
      </c>
      <c r="M1271" s="5">
        <v>10030.527868901489</v>
      </c>
      <c r="N1271" s="5">
        <f t="shared" si="5"/>
        <v>0</v>
      </c>
      <c r="O1271" s="5">
        <f t="shared" si="6"/>
        <v>10030.52787</v>
      </c>
      <c r="P1271" s="5">
        <f t="shared" si="9"/>
        <v>10030.52787</v>
      </c>
      <c r="Q1271" s="5">
        <f t="shared" si="7"/>
        <v>10030.52787</v>
      </c>
      <c r="R1271" s="5">
        <f t="shared" si="8"/>
        <v>0</v>
      </c>
    </row>
    <row r="1272" ht="15.75" customHeight="1">
      <c r="A1272" s="4">
        <v>2006.0</v>
      </c>
      <c r="B1272" s="4">
        <v>307.0</v>
      </c>
      <c r="C1272" s="4" t="s">
        <v>20</v>
      </c>
      <c r="D1272" s="5">
        <v>1355.0925500876738</v>
      </c>
      <c r="E1272" s="5">
        <f t="shared" si="1"/>
        <v>0</v>
      </c>
      <c r="F1272" s="5">
        <f t="shared" si="2"/>
        <v>1355.09255</v>
      </c>
      <c r="G1272" s="5" t="s">
        <v>19</v>
      </c>
      <c r="H1272" s="5" t="s">
        <v>19</v>
      </c>
      <c r="I1272" s="5" t="s">
        <v>19</v>
      </c>
      <c r="J1272" s="5">
        <v>0.0</v>
      </c>
      <c r="K1272" s="5">
        <f t="shared" si="3"/>
        <v>0</v>
      </c>
      <c r="L1272" s="5">
        <f t="shared" si="4"/>
        <v>0</v>
      </c>
      <c r="M1272" s="5">
        <v>2611.73587383187</v>
      </c>
      <c r="N1272" s="5">
        <f t="shared" si="5"/>
        <v>0</v>
      </c>
      <c r="O1272" s="5">
        <f t="shared" si="6"/>
        <v>2611.735874</v>
      </c>
      <c r="P1272" s="5">
        <f t="shared" si="9"/>
        <v>3966.828424</v>
      </c>
      <c r="Q1272" s="5">
        <f t="shared" si="7"/>
        <v>3966.828424</v>
      </c>
      <c r="R1272" s="5">
        <f t="shared" si="8"/>
        <v>0</v>
      </c>
    </row>
    <row r="1273" ht="15.75" customHeight="1">
      <c r="A1273" s="4">
        <v>2006.0</v>
      </c>
      <c r="B1273" s="4">
        <v>308.0</v>
      </c>
      <c r="C1273" s="4" t="s">
        <v>20</v>
      </c>
      <c r="D1273" s="5">
        <v>12413.099874945843</v>
      </c>
      <c r="E1273" s="5">
        <f t="shared" si="1"/>
        <v>0</v>
      </c>
      <c r="F1273" s="5">
        <f t="shared" si="2"/>
        <v>12413.09987</v>
      </c>
      <c r="G1273" s="5">
        <v>8135.661139427541</v>
      </c>
      <c r="H1273" s="5">
        <v>2708.1430874626103</v>
      </c>
      <c r="I1273" s="5">
        <v>5427.51805196493</v>
      </c>
      <c r="J1273" s="5">
        <v>6115.820003455388</v>
      </c>
      <c r="K1273" s="5">
        <f t="shared" si="3"/>
        <v>6115.820003</v>
      </c>
      <c r="L1273" s="5">
        <f t="shared" si="4"/>
        <v>0</v>
      </c>
      <c r="M1273" s="5">
        <v>23932.968505203702</v>
      </c>
      <c r="N1273" s="5">
        <f t="shared" si="5"/>
        <v>0</v>
      </c>
      <c r="O1273" s="5">
        <f t="shared" si="6"/>
        <v>23932.96851</v>
      </c>
      <c r="P1273" s="5">
        <f t="shared" si="9"/>
        <v>50597.54952</v>
      </c>
      <c r="Q1273" s="5">
        <f t="shared" si="7"/>
        <v>41773.58643</v>
      </c>
      <c r="R1273" s="5">
        <f t="shared" si="8"/>
        <v>8823.963091</v>
      </c>
    </row>
    <row r="1274" ht="15.75" customHeight="1">
      <c r="A1274" s="4">
        <v>2006.0</v>
      </c>
      <c r="B1274" s="4">
        <v>309.0</v>
      </c>
      <c r="C1274" s="4" t="s">
        <v>20</v>
      </c>
      <c r="D1274" s="5" t="s">
        <v>19</v>
      </c>
      <c r="E1274" s="5" t="str">
        <f t="shared" si="1"/>
        <v/>
      </c>
      <c r="F1274" s="5" t="str">
        <f t="shared" si="2"/>
        <v/>
      </c>
      <c r="G1274" s="5">
        <v>8086.951468592058</v>
      </c>
      <c r="H1274" s="5">
        <v>5439.781427916452</v>
      </c>
      <c r="I1274" s="5">
        <v>2647.1700406756054</v>
      </c>
      <c r="J1274" s="5">
        <v>2040.7310067354308</v>
      </c>
      <c r="K1274" s="5">
        <f t="shared" si="3"/>
        <v>2040.731007</v>
      </c>
      <c r="L1274" s="5">
        <f t="shared" si="4"/>
        <v>0</v>
      </c>
      <c r="M1274" s="5">
        <v>2293.511195461577</v>
      </c>
      <c r="N1274" s="5">
        <f t="shared" si="5"/>
        <v>0</v>
      </c>
      <c r="O1274" s="5">
        <f t="shared" si="6"/>
        <v>2293.511195</v>
      </c>
      <c r="P1274" s="5">
        <f t="shared" si="9"/>
        <v>12421.19367</v>
      </c>
      <c r="Q1274" s="5">
        <f t="shared" si="7"/>
        <v>4940.681236</v>
      </c>
      <c r="R1274" s="5">
        <f t="shared" si="8"/>
        <v>7480.512435</v>
      </c>
    </row>
    <row r="1275" ht="15.75" customHeight="1">
      <c r="A1275" s="4">
        <v>2006.0</v>
      </c>
      <c r="B1275" s="4">
        <v>310.0</v>
      </c>
      <c r="C1275" s="4" t="s">
        <v>20</v>
      </c>
      <c r="D1275" s="5" t="s">
        <v>19</v>
      </c>
      <c r="E1275" s="5" t="str">
        <f t="shared" si="1"/>
        <v/>
      </c>
      <c r="F1275" s="5" t="str">
        <f t="shared" si="2"/>
        <v/>
      </c>
      <c r="G1275" s="5" t="s">
        <v>19</v>
      </c>
      <c r="H1275" s="5" t="s">
        <v>19</v>
      </c>
      <c r="I1275" s="5" t="s">
        <v>19</v>
      </c>
      <c r="J1275" s="5">
        <v>6530.066092264054</v>
      </c>
      <c r="K1275" s="5">
        <f t="shared" si="3"/>
        <v>6530.066092</v>
      </c>
      <c r="L1275" s="5">
        <f t="shared" si="4"/>
        <v>0</v>
      </c>
      <c r="M1275" s="5">
        <v>3279.9001900721996</v>
      </c>
      <c r="N1275" s="5">
        <f t="shared" si="5"/>
        <v>0</v>
      </c>
      <c r="O1275" s="5">
        <f t="shared" si="6"/>
        <v>3279.90019</v>
      </c>
      <c r="P1275" s="5">
        <f t="shared" si="9"/>
        <v>9809.966282</v>
      </c>
      <c r="Q1275" s="5">
        <f t="shared" si="7"/>
        <v>3279.90019</v>
      </c>
      <c r="R1275" s="5">
        <f t="shared" si="8"/>
        <v>6530.066092</v>
      </c>
    </row>
    <row r="1276" ht="15.75" customHeight="1">
      <c r="A1276" s="4">
        <v>2006.0</v>
      </c>
      <c r="B1276" s="4">
        <v>311.0</v>
      </c>
      <c r="C1276" s="4" t="s">
        <v>20</v>
      </c>
      <c r="D1276" s="5" t="s">
        <v>19</v>
      </c>
      <c r="E1276" s="5" t="str">
        <f t="shared" si="1"/>
        <v/>
      </c>
      <c r="F1276" s="5" t="str">
        <f t="shared" si="2"/>
        <v/>
      </c>
      <c r="G1276" s="5" t="s">
        <v>19</v>
      </c>
      <c r="H1276" s="5" t="s">
        <v>19</v>
      </c>
      <c r="I1276" s="5" t="s">
        <v>19</v>
      </c>
      <c r="J1276" s="5">
        <v>0.0</v>
      </c>
      <c r="K1276" s="5">
        <f t="shared" si="3"/>
        <v>0</v>
      </c>
      <c r="L1276" s="5">
        <f t="shared" si="4"/>
        <v>0</v>
      </c>
      <c r="M1276" s="5">
        <v>2777.298713254254</v>
      </c>
      <c r="N1276" s="5">
        <f t="shared" si="5"/>
        <v>0</v>
      </c>
      <c r="O1276" s="5">
        <f t="shared" si="6"/>
        <v>2777.298713</v>
      </c>
      <c r="P1276" s="5">
        <f t="shared" si="9"/>
        <v>2777.298713</v>
      </c>
      <c r="Q1276" s="5">
        <f t="shared" si="7"/>
        <v>2777.298713</v>
      </c>
      <c r="R1276" s="5">
        <f t="shared" si="8"/>
        <v>0</v>
      </c>
    </row>
    <row r="1277" ht="15.75" customHeight="1">
      <c r="A1277" s="4">
        <v>2006.0</v>
      </c>
      <c r="B1277" s="4">
        <v>312.0</v>
      </c>
      <c r="C1277" s="4" t="s">
        <v>20</v>
      </c>
      <c r="D1277" s="5">
        <v>1755.089748607529</v>
      </c>
      <c r="E1277" s="5">
        <f t="shared" si="1"/>
        <v>0</v>
      </c>
      <c r="F1277" s="5">
        <f t="shared" si="2"/>
        <v>1755.089749</v>
      </c>
      <c r="G1277" s="5" t="s">
        <v>19</v>
      </c>
      <c r="H1277" s="5" t="s">
        <v>19</v>
      </c>
      <c r="I1277" s="5" t="s">
        <v>19</v>
      </c>
      <c r="J1277" s="5">
        <v>0.0</v>
      </c>
      <c r="K1277" s="5">
        <f t="shared" si="3"/>
        <v>0</v>
      </c>
      <c r="L1277" s="5">
        <f t="shared" si="4"/>
        <v>0</v>
      </c>
      <c r="M1277" s="5">
        <v>1134.2129583806077</v>
      </c>
      <c r="N1277" s="5">
        <f t="shared" si="5"/>
        <v>0</v>
      </c>
      <c r="O1277" s="5">
        <f t="shared" si="6"/>
        <v>1134.212958</v>
      </c>
      <c r="P1277" s="5">
        <f t="shared" si="9"/>
        <v>2889.302707</v>
      </c>
      <c r="Q1277" s="5">
        <f t="shared" si="7"/>
        <v>2889.302707</v>
      </c>
      <c r="R1277" s="5">
        <f t="shared" si="8"/>
        <v>0</v>
      </c>
    </row>
    <row r="1278" ht="15.75" customHeight="1">
      <c r="A1278" s="4">
        <v>2006.0</v>
      </c>
      <c r="B1278" s="4">
        <v>313.0</v>
      </c>
      <c r="C1278" s="4" t="s">
        <v>20</v>
      </c>
      <c r="D1278" s="5">
        <v>25189.776481356355</v>
      </c>
      <c r="E1278" s="5">
        <f t="shared" si="1"/>
        <v>0</v>
      </c>
      <c r="F1278" s="5">
        <f t="shared" si="2"/>
        <v>25189.77648</v>
      </c>
      <c r="G1278" s="5" t="s">
        <v>19</v>
      </c>
      <c r="H1278" s="5" t="s">
        <v>19</v>
      </c>
      <c r="I1278" s="5" t="s">
        <v>19</v>
      </c>
      <c r="J1278" s="5">
        <v>0.0</v>
      </c>
      <c r="K1278" s="5">
        <f t="shared" si="3"/>
        <v>0</v>
      </c>
      <c r="L1278" s="5">
        <f t="shared" si="4"/>
        <v>0</v>
      </c>
      <c r="M1278" s="5">
        <v>6084.07598764827</v>
      </c>
      <c r="N1278" s="5">
        <f t="shared" si="5"/>
        <v>0</v>
      </c>
      <c r="O1278" s="5">
        <f t="shared" si="6"/>
        <v>6084.075988</v>
      </c>
      <c r="P1278" s="5">
        <f t="shared" si="9"/>
        <v>31273.85247</v>
      </c>
      <c r="Q1278" s="5">
        <f t="shared" si="7"/>
        <v>31273.85247</v>
      </c>
      <c r="R1278" s="5">
        <f t="shared" si="8"/>
        <v>0</v>
      </c>
    </row>
    <row r="1279" ht="15.75" customHeight="1">
      <c r="A1279" s="4">
        <v>2006.0</v>
      </c>
      <c r="B1279" s="4">
        <v>314.0</v>
      </c>
      <c r="C1279" s="4" t="s">
        <v>20</v>
      </c>
      <c r="D1279" s="5">
        <v>29257.565887968012</v>
      </c>
      <c r="E1279" s="5">
        <f t="shared" si="1"/>
        <v>0</v>
      </c>
      <c r="F1279" s="5">
        <f t="shared" si="2"/>
        <v>29257.56589</v>
      </c>
      <c r="G1279" s="5">
        <v>5053.77161291903</v>
      </c>
      <c r="H1279" s="5">
        <v>2540.8110417689527</v>
      </c>
      <c r="I1279" s="5">
        <v>2512.9605711500776</v>
      </c>
      <c r="J1279" s="5">
        <v>0.0</v>
      </c>
      <c r="K1279" s="5">
        <f t="shared" si="3"/>
        <v>0</v>
      </c>
      <c r="L1279" s="5">
        <f t="shared" si="4"/>
        <v>0</v>
      </c>
      <c r="M1279" s="5">
        <v>1662.7956167096436</v>
      </c>
      <c r="N1279" s="5">
        <f t="shared" si="5"/>
        <v>0</v>
      </c>
      <c r="O1279" s="5">
        <f t="shared" si="6"/>
        <v>1662.795617</v>
      </c>
      <c r="P1279" s="5">
        <f t="shared" si="9"/>
        <v>35974.13312</v>
      </c>
      <c r="Q1279" s="5">
        <f t="shared" si="7"/>
        <v>33433.32208</v>
      </c>
      <c r="R1279" s="5">
        <f t="shared" si="8"/>
        <v>2540.811042</v>
      </c>
    </row>
    <row r="1280" ht="15.75" customHeight="1">
      <c r="A1280" s="4">
        <v>2006.0</v>
      </c>
      <c r="B1280" s="4">
        <v>320.0</v>
      </c>
      <c r="C1280" s="4" t="s">
        <v>20</v>
      </c>
      <c r="D1280" s="5">
        <v>108205.2076209489</v>
      </c>
      <c r="E1280" s="5">
        <f t="shared" si="1"/>
        <v>0</v>
      </c>
      <c r="F1280" s="5">
        <f t="shared" si="2"/>
        <v>108205.2076</v>
      </c>
      <c r="G1280" s="5">
        <v>15770.472251676123</v>
      </c>
      <c r="H1280" s="5">
        <v>9415.292845023208</v>
      </c>
      <c r="I1280" s="5">
        <v>6355.179406652915</v>
      </c>
      <c r="J1280" s="5">
        <v>68399.767925508</v>
      </c>
      <c r="K1280" s="5">
        <f t="shared" si="3"/>
        <v>68399.76793</v>
      </c>
      <c r="L1280" s="5">
        <f t="shared" si="4"/>
        <v>0</v>
      </c>
      <c r="M1280" s="5">
        <v>30542.222720500242</v>
      </c>
      <c r="N1280" s="5">
        <f t="shared" si="5"/>
        <v>0</v>
      </c>
      <c r="O1280" s="5">
        <f t="shared" si="6"/>
        <v>30542.22272</v>
      </c>
      <c r="P1280" s="5">
        <f t="shared" si="9"/>
        <v>222917.6705</v>
      </c>
      <c r="Q1280" s="5">
        <f t="shared" si="7"/>
        <v>145102.6097</v>
      </c>
      <c r="R1280" s="5">
        <f t="shared" si="8"/>
        <v>77815.06077</v>
      </c>
    </row>
    <row r="1281" ht="15.75" customHeight="1">
      <c r="A1281" s="4">
        <v>2006.0</v>
      </c>
      <c r="B1281" s="4">
        <v>321.0</v>
      </c>
      <c r="C1281" s="4" t="s">
        <v>20</v>
      </c>
      <c r="D1281" s="5">
        <v>63988.24885960802</v>
      </c>
      <c r="E1281" s="5">
        <f t="shared" si="1"/>
        <v>0</v>
      </c>
      <c r="F1281" s="5">
        <f t="shared" si="2"/>
        <v>63988.24886</v>
      </c>
      <c r="G1281" s="5">
        <v>10628.450176302216</v>
      </c>
      <c r="H1281" s="5">
        <v>6733.7395072872605</v>
      </c>
      <c r="I1281" s="5">
        <v>3894.710669014956</v>
      </c>
      <c r="J1281" s="5">
        <v>754.2920540175347</v>
      </c>
      <c r="K1281" s="5">
        <f t="shared" si="3"/>
        <v>754.292054</v>
      </c>
      <c r="L1281" s="5">
        <f t="shared" si="4"/>
        <v>0</v>
      </c>
      <c r="M1281" s="5">
        <v>2883.911147730788</v>
      </c>
      <c r="N1281" s="5">
        <f t="shared" si="5"/>
        <v>0</v>
      </c>
      <c r="O1281" s="5">
        <f t="shared" si="6"/>
        <v>2883.911148</v>
      </c>
      <c r="P1281" s="5">
        <f t="shared" si="9"/>
        <v>78254.90224</v>
      </c>
      <c r="Q1281" s="5">
        <f t="shared" si="7"/>
        <v>70766.87068</v>
      </c>
      <c r="R1281" s="5">
        <f t="shared" si="8"/>
        <v>7488.031561</v>
      </c>
    </row>
    <row r="1282" ht="15.75" customHeight="1">
      <c r="A1282" s="4">
        <v>2006.0</v>
      </c>
      <c r="B1282" s="4">
        <v>322.0</v>
      </c>
      <c r="C1282" s="4" t="s">
        <v>20</v>
      </c>
      <c r="D1282" s="5">
        <v>5058.049347060339</v>
      </c>
      <c r="E1282" s="5">
        <f t="shared" si="1"/>
        <v>0</v>
      </c>
      <c r="F1282" s="5">
        <f t="shared" si="2"/>
        <v>5058.049347</v>
      </c>
      <c r="G1282" s="5" t="s">
        <v>19</v>
      </c>
      <c r="H1282" s="5" t="s">
        <v>19</v>
      </c>
      <c r="I1282" s="5" t="s">
        <v>19</v>
      </c>
      <c r="J1282" s="5">
        <v>0.0</v>
      </c>
      <c r="K1282" s="5">
        <f t="shared" si="3"/>
        <v>0</v>
      </c>
      <c r="L1282" s="5">
        <f t="shared" si="4"/>
        <v>0</v>
      </c>
      <c r="M1282" s="5">
        <v>18780.810621273842</v>
      </c>
      <c r="N1282" s="5">
        <f t="shared" si="5"/>
        <v>0</v>
      </c>
      <c r="O1282" s="5">
        <f t="shared" si="6"/>
        <v>18780.81062</v>
      </c>
      <c r="P1282" s="5">
        <f t="shared" si="9"/>
        <v>23838.85997</v>
      </c>
      <c r="Q1282" s="5">
        <f t="shared" si="7"/>
        <v>23838.85997</v>
      </c>
      <c r="R1282" s="5">
        <f t="shared" si="8"/>
        <v>0</v>
      </c>
    </row>
    <row r="1283" ht="15.75" customHeight="1">
      <c r="A1283" s="4">
        <v>2006.0</v>
      </c>
      <c r="B1283" s="4">
        <v>323.0</v>
      </c>
      <c r="C1283" s="4" t="s">
        <v>20</v>
      </c>
      <c r="D1283" s="5" t="s">
        <v>19</v>
      </c>
      <c r="E1283" s="5" t="str">
        <f t="shared" si="1"/>
        <v/>
      </c>
      <c r="F1283" s="5" t="str">
        <f t="shared" si="2"/>
        <v/>
      </c>
      <c r="G1283" s="5" t="s">
        <v>19</v>
      </c>
      <c r="H1283" s="5" t="s">
        <v>19</v>
      </c>
      <c r="I1283" s="5" t="s">
        <v>19</v>
      </c>
      <c r="J1283" s="5">
        <v>0.0</v>
      </c>
      <c r="K1283" s="5">
        <f t="shared" si="3"/>
        <v>0</v>
      </c>
      <c r="L1283" s="5">
        <f t="shared" si="4"/>
        <v>0</v>
      </c>
      <c r="M1283" s="5">
        <v>160096.21965188748</v>
      </c>
      <c r="N1283" s="5">
        <f t="shared" si="5"/>
        <v>0</v>
      </c>
      <c r="O1283" s="5">
        <f t="shared" si="6"/>
        <v>160096.2197</v>
      </c>
      <c r="P1283" s="5">
        <f t="shared" si="9"/>
        <v>160096.2197</v>
      </c>
      <c r="Q1283" s="5">
        <f t="shared" si="7"/>
        <v>160096.2197</v>
      </c>
      <c r="R1283" s="5">
        <f t="shared" si="8"/>
        <v>0</v>
      </c>
    </row>
    <row r="1284" ht="15.75" customHeight="1">
      <c r="A1284" s="4">
        <v>2006.0</v>
      </c>
      <c r="B1284" s="4">
        <v>324.0</v>
      </c>
      <c r="C1284" s="4" t="s">
        <v>20</v>
      </c>
      <c r="D1284" s="5">
        <v>2926.1961461578117</v>
      </c>
      <c r="E1284" s="5">
        <f t="shared" si="1"/>
        <v>0</v>
      </c>
      <c r="F1284" s="5">
        <f t="shared" si="2"/>
        <v>2926.196146</v>
      </c>
      <c r="G1284" s="5" t="s">
        <v>19</v>
      </c>
      <c r="H1284" s="5" t="s">
        <v>19</v>
      </c>
      <c r="I1284" s="5" t="s">
        <v>19</v>
      </c>
      <c r="J1284" s="5">
        <v>0.0</v>
      </c>
      <c r="K1284" s="5">
        <f t="shared" si="3"/>
        <v>0</v>
      </c>
      <c r="L1284" s="5">
        <f t="shared" si="4"/>
        <v>0</v>
      </c>
      <c r="M1284" s="5">
        <v>17129.303379979363</v>
      </c>
      <c r="N1284" s="5">
        <f t="shared" si="5"/>
        <v>0</v>
      </c>
      <c r="O1284" s="5">
        <f t="shared" si="6"/>
        <v>17129.30338</v>
      </c>
      <c r="P1284" s="5">
        <f t="shared" si="9"/>
        <v>20055.49953</v>
      </c>
      <c r="Q1284" s="5">
        <f t="shared" si="7"/>
        <v>20055.49953</v>
      </c>
      <c r="R1284" s="5">
        <f t="shared" si="8"/>
        <v>0</v>
      </c>
    </row>
    <row r="1285" ht="15.75" customHeight="1">
      <c r="A1285" s="4">
        <v>2006.0</v>
      </c>
      <c r="B1285" s="4">
        <v>325.0</v>
      </c>
      <c r="C1285" s="4" t="s">
        <v>20</v>
      </c>
      <c r="D1285" s="5">
        <v>4489.136534094892</v>
      </c>
      <c r="E1285" s="5">
        <f t="shared" si="1"/>
        <v>0</v>
      </c>
      <c r="F1285" s="5">
        <f t="shared" si="2"/>
        <v>4489.136534</v>
      </c>
      <c r="G1285" s="5" t="s">
        <v>19</v>
      </c>
      <c r="H1285" s="5" t="s">
        <v>19</v>
      </c>
      <c r="I1285" s="5" t="s">
        <v>19</v>
      </c>
      <c r="J1285" s="5">
        <v>0.0</v>
      </c>
      <c r="K1285" s="5">
        <f t="shared" si="3"/>
        <v>0</v>
      </c>
      <c r="L1285" s="5">
        <f t="shared" si="4"/>
        <v>0</v>
      </c>
      <c r="M1285" s="5">
        <v>19193.46345589478</v>
      </c>
      <c r="N1285" s="5">
        <f t="shared" si="5"/>
        <v>0</v>
      </c>
      <c r="O1285" s="5">
        <f t="shared" si="6"/>
        <v>19193.46346</v>
      </c>
      <c r="P1285" s="5">
        <f t="shared" si="9"/>
        <v>23682.59999</v>
      </c>
      <c r="Q1285" s="5">
        <f t="shared" si="7"/>
        <v>23682.59999</v>
      </c>
      <c r="R1285" s="5">
        <f t="shared" si="8"/>
        <v>0</v>
      </c>
    </row>
    <row r="1286" ht="15.75" customHeight="1">
      <c r="A1286" s="4">
        <v>2006.0</v>
      </c>
      <c r="B1286" s="4">
        <v>326.0</v>
      </c>
      <c r="C1286" s="4" t="s">
        <v>20</v>
      </c>
      <c r="D1286" s="5" t="s">
        <v>19</v>
      </c>
      <c r="E1286" s="5" t="str">
        <f t="shared" si="1"/>
        <v/>
      </c>
      <c r="F1286" s="5" t="str">
        <f t="shared" si="2"/>
        <v/>
      </c>
      <c r="G1286" s="5" t="s">
        <v>19</v>
      </c>
      <c r="H1286" s="5" t="s">
        <v>19</v>
      </c>
      <c r="I1286" s="5" t="s">
        <v>19</v>
      </c>
      <c r="J1286" s="5">
        <v>0.0</v>
      </c>
      <c r="K1286" s="5">
        <f t="shared" si="3"/>
        <v>0</v>
      </c>
      <c r="L1286" s="5">
        <f t="shared" si="4"/>
        <v>0</v>
      </c>
      <c r="M1286" s="5">
        <v>40988.449493579144</v>
      </c>
      <c r="N1286" s="5">
        <f t="shared" si="5"/>
        <v>0</v>
      </c>
      <c r="O1286" s="5">
        <f t="shared" si="6"/>
        <v>40988.44949</v>
      </c>
      <c r="P1286" s="5">
        <f t="shared" si="9"/>
        <v>40988.44949</v>
      </c>
      <c r="Q1286" s="5">
        <f t="shared" si="7"/>
        <v>40988.44949</v>
      </c>
      <c r="R1286" s="5">
        <f t="shared" si="8"/>
        <v>0</v>
      </c>
    </row>
    <row r="1287" ht="15.75" customHeight="1">
      <c r="A1287" s="4">
        <v>2006.0</v>
      </c>
      <c r="B1287" s="4">
        <v>327.0</v>
      </c>
      <c r="C1287" s="4" t="s">
        <v>20</v>
      </c>
      <c r="D1287" s="5">
        <v>86520.58712411035</v>
      </c>
      <c r="E1287" s="5">
        <f t="shared" si="1"/>
        <v>0</v>
      </c>
      <c r="F1287" s="5">
        <f t="shared" si="2"/>
        <v>86520.58712</v>
      </c>
      <c r="G1287" s="5">
        <v>7625.642233032491</v>
      </c>
      <c r="H1287" s="5">
        <v>4012.416155951522</v>
      </c>
      <c r="I1287" s="5">
        <v>3613.2260770809694</v>
      </c>
      <c r="J1287" s="5">
        <v>245.81636039195467</v>
      </c>
      <c r="K1287" s="5">
        <f t="shared" si="3"/>
        <v>245.8163604</v>
      </c>
      <c r="L1287" s="5">
        <f t="shared" si="4"/>
        <v>0</v>
      </c>
      <c r="M1287" s="5">
        <v>34253.052162532214</v>
      </c>
      <c r="N1287" s="5">
        <f t="shared" si="5"/>
        <v>0</v>
      </c>
      <c r="O1287" s="5">
        <f t="shared" si="6"/>
        <v>34253.05216</v>
      </c>
      <c r="P1287" s="5">
        <f t="shared" si="9"/>
        <v>128645.0979</v>
      </c>
      <c r="Q1287" s="5">
        <f t="shared" si="7"/>
        <v>124386.8654</v>
      </c>
      <c r="R1287" s="5">
        <f t="shared" si="8"/>
        <v>4258.232516</v>
      </c>
    </row>
    <row r="1288" ht="15.75" customHeight="1">
      <c r="A1288" s="4">
        <v>2006.0</v>
      </c>
      <c r="B1288" s="4">
        <v>328.0</v>
      </c>
      <c r="C1288" s="4" t="s">
        <v>20</v>
      </c>
      <c r="D1288" s="5">
        <v>20775.364698633308</v>
      </c>
      <c r="E1288" s="5">
        <f t="shared" si="1"/>
        <v>0</v>
      </c>
      <c r="F1288" s="5">
        <f t="shared" si="2"/>
        <v>20775.3647</v>
      </c>
      <c r="G1288" s="5" t="s">
        <v>19</v>
      </c>
      <c r="H1288" s="5" t="s">
        <v>19</v>
      </c>
      <c r="I1288" s="5" t="s">
        <v>19</v>
      </c>
      <c r="J1288" s="5">
        <v>473.4241014956163</v>
      </c>
      <c r="K1288" s="5">
        <f t="shared" si="3"/>
        <v>473.4241015</v>
      </c>
      <c r="L1288" s="5">
        <f t="shared" si="4"/>
        <v>0</v>
      </c>
      <c r="M1288" s="5">
        <v>89444.24891456933</v>
      </c>
      <c r="N1288" s="5">
        <f t="shared" si="5"/>
        <v>0</v>
      </c>
      <c r="O1288" s="5">
        <f t="shared" si="6"/>
        <v>89444.24891</v>
      </c>
      <c r="P1288" s="5">
        <f t="shared" si="9"/>
        <v>110693.0377</v>
      </c>
      <c r="Q1288" s="5">
        <f t="shared" si="7"/>
        <v>110219.6136</v>
      </c>
      <c r="R1288" s="5">
        <f t="shared" si="8"/>
        <v>473.4241015</v>
      </c>
    </row>
    <row r="1289" ht="15.75" customHeight="1">
      <c r="A1289" s="4">
        <v>2006.0</v>
      </c>
      <c r="B1289" s="4">
        <v>331.0</v>
      </c>
      <c r="C1289" s="4" t="s">
        <v>20</v>
      </c>
      <c r="D1289" s="5">
        <v>259633.97436735415</v>
      </c>
      <c r="E1289" s="5">
        <f t="shared" si="1"/>
        <v>0</v>
      </c>
      <c r="F1289" s="5">
        <f t="shared" si="2"/>
        <v>259633.9744</v>
      </c>
      <c r="G1289" s="5">
        <v>94515.67223421865</v>
      </c>
      <c r="H1289" s="5">
        <v>21426.868451072714</v>
      </c>
      <c r="I1289" s="5">
        <v>73088.80378314594</v>
      </c>
      <c r="J1289" s="5">
        <v>1304.647572006189</v>
      </c>
      <c r="K1289" s="5">
        <f t="shared" si="3"/>
        <v>1304.647572</v>
      </c>
      <c r="L1289" s="5">
        <f t="shared" si="4"/>
        <v>0</v>
      </c>
      <c r="M1289" s="5">
        <v>49978.834199226374</v>
      </c>
      <c r="N1289" s="5">
        <f t="shared" si="5"/>
        <v>0</v>
      </c>
      <c r="O1289" s="5">
        <f t="shared" si="6"/>
        <v>49978.8342</v>
      </c>
      <c r="P1289" s="5">
        <f t="shared" si="9"/>
        <v>405433.1284</v>
      </c>
      <c r="Q1289" s="5">
        <f t="shared" si="7"/>
        <v>382701.6123</v>
      </c>
      <c r="R1289" s="5">
        <f t="shared" si="8"/>
        <v>22731.51602</v>
      </c>
    </row>
    <row r="1290" ht="15.75" customHeight="1">
      <c r="A1290" s="4">
        <v>2006.0</v>
      </c>
      <c r="B1290" s="4">
        <v>332.0</v>
      </c>
      <c r="C1290" s="4" t="s">
        <v>20</v>
      </c>
      <c r="D1290" s="5" t="s">
        <v>19</v>
      </c>
      <c r="E1290" s="5" t="str">
        <f t="shared" si="1"/>
        <v/>
      </c>
      <c r="F1290" s="5" t="str">
        <f t="shared" si="2"/>
        <v/>
      </c>
      <c r="G1290" s="5" t="s">
        <v>19</v>
      </c>
      <c r="H1290" s="5" t="s">
        <v>19</v>
      </c>
      <c r="I1290" s="5" t="s">
        <v>19</v>
      </c>
      <c r="J1290" s="5">
        <v>0.0</v>
      </c>
      <c r="K1290" s="5">
        <f t="shared" si="3"/>
        <v>0</v>
      </c>
      <c r="L1290" s="5">
        <f t="shared" si="4"/>
        <v>0</v>
      </c>
      <c r="M1290" s="5">
        <v>14957.993327900971</v>
      </c>
      <c r="N1290" s="5">
        <f t="shared" si="5"/>
        <v>0</v>
      </c>
      <c r="O1290" s="5">
        <f t="shared" si="6"/>
        <v>14957.99333</v>
      </c>
      <c r="P1290" s="5">
        <f t="shared" si="9"/>
        <v>14957.99333</v>
      </c>
      <c r="Q1290" s="5">
        <f t="shared" si="7"/>
        <v>14957.99333</v>
      </c>
      <c r="R1290" s="5">
        <f t="shared" si="8"/>
        <v>0</v>
      </c>
    </row>
    <row r="1291" ht="15.75" customHeight="1">
      <c r="A1291" s="4">
        <v>2006.0</v>
      </c>
      <c r="B1291" s="4">
        <v>333.0</v>
      </c>
      <c r="C1291" s="4" t="s">
        <v>20</v>
      </c>
      <c r="D1291" s="5">
        <v>3155.393912970602</v>
      </c>
      <c r="E1291" s="5">
        <f t="shared" si="1"/>
        <v>0</v>
      </c>
      <c r="F1291" s="5">
        <f t="shared" si="2"/>
        <v>3155.393913</v>
      </c>
      <c r="G1291" s="5" t="s">
        <v>19</v>
      </c>
      <c r="H1291" s="5" t="s">
        <v>19</v>
      </c>
      <c r="I1291" s="5" t="s">
        <v>19</v>
      </c>
      <c r="J1291" s="5">
        <v>0.0</v>
      </c>
      <c r="K1291" s="5">
        <f t="shared" si="3"/>
        <v>0</v>
      </c>
      <c r="L1291" s="5">
        <f t="shared" si="4"/>
        <v>0</v>
      </c>
      <c r="M1291" s="5">
        <v>5146.065744816915</v>
      </c>
      <c r="N1291" s="5">
        <f t="shared" si="5"/>
        <v>0</v>
      </c>
      <c r="O1291" s="5">
        <f t="shared" si="6"/>
        <v>5146.065745</v>
      </c>
      <c r="P1291" s="5">
        <f t="shared" si="9"/>
        <v>8301.459658</v>
      </c>
      <c r="Q1291" s="5">
        <f t="shared" si="7"/>
        <v>8301.459658</v>
      </c>
      <c r="R1291" s="5">
        <f t="shared" si="8"/>
        <v>0</v>
      </c>
    </row>
    <row r="1292" ht="15.75" customHeight="1">
      <c r="A1292" s="4">
        <v>2006.0</v>
      </c>
      <c r="B1292" s="4">
        <v>400.0</v>
      </c>
      <c r="C1292" s="4" t="s">
        <v>21</v>
      </c>
      <c r="D1292" s="5">
        <v>479.1465798091798</v>
      </c>
      <c r="E1292" s="5">
        <f t="shared" si="1"/>
        <v>0</v>
      </c>
      <c r="F1292" s="5">
        <f t="shared" si="2"/>
        <v>479.1465798</v>
      </c>
      <c r="G1292" s="5" t="s">
        <v>19</v>
      </c>
      <c r="H1292" s="5" t="s">
        <v>19</v>
      </c>
      <c r="I1292" s="5" t="s">
        <v>19</v>
      </c>
      <c r="J1292" s="5">
        <v>172451.47810428578</v>
      </c>
      <c r="K1292" s="5">
        <f t="shared" si="3"/>
        <v>172451.4781</v>
      </c>
      <c r="L1292" s="5">
        <f t="shared" si="4"/>
        <v>0</v>
      </c>
      <c r="M1292" s="5">
        <v>1232.568558844766</v>
      </c>
      <c r="N1292" s="5">
        <f t="shared" si="5"/>
        <v>0</v>
      </c>
      <c r="O1292" s="5">
        <f t="shared" si="6"/>
        <v>1232.568559</v>
      </c>
      <c r="P1292" s="5">
        <f t="shared" si="9"/>
        <v>174163.1932</v>
      </c>
      <c r="Q1292" s="5">
        <f t="shared" si="7"/>
        <v>1711.715139</v>
      </c>
      <c r="R1292" s="5">
        <f t="shared" si="8"/>
        <v>172451.4781</v>
      </c>
    </row>
    <row r="1293" ht="15.75" customHeight="1">
      <c r="A1293" s="4">
        <v>2006.0</v>
      </c>
      <c r="B1293" s="4">
        <v>401.0</v>
      </c>
      <c r="C1293" s="4" t="s">
        <v>21</v>
      </c>
      <c r="D1293" s="5">
        <v>748.0869181536871</v>
      </c>
      <c r="E1293" s="5">
        <f t="shared" si="1"/>
        <v>0</v>
      </c>
      <c r="F1293" s="5">
        <f t="shared" si="2"/>
        <v>748.0869182</v>
      </c>
      <c r="G1293" s="5">
        <v>5914.262856152656</v>
      </c>
      <c r="H1293" s="5">
        <v>4686.8572802805575</v>
      </c>
      <c r="I1293" s="5">
        <v>1227.4055758720988</v>
      </c>
      <c r="J1293" s="5">
        <v>278667.0260214285</v>
      </c>
      <c r="K1293" s="5">
        <f t="shared" si="3"/>
        <v>278667.026</v>
      </c>
      <c r="L1293" s="5">
        <f t="shared" si="4"/>
        <v>0</v>
      </c>
      <c r="M1293" s="5">
        <v>2934.875910866427</v>
      </c>
      <c r="N1293" s="5">
        <f t="shared" si="5"/>
        <v>0</v>
      </c>
      <c r="O1293" s="5">
        <f t="shared" si="6"/>
        <v>2934.875911</v>
      </c>
      <c r="P1293" s="5">
        <f t="shared" si="9"/>
        <v>288264.2517</v>
      </c>
      <c r="Q1293" s="5">
        <f t="shared" si="7"/>
        <v>4910.368405</v>
      </c>
      <c r="R1293" s="5">
        <f t="shared" si="8"/>
        <v>283353.8833</v>
      </c>
    </row>
    <row r="1294" ht="15.75" customHeight="1">
      <c r="A1294" s="4">
        <v>2006.0</v>
      </c>
      <c r="B1294" s="4">
        <v>402.0</v>
      </c>
      <c r="C1294" s="4" t="s">
        <v>21</v>
      </c>
      <c r="D1294" s="5" t="s">
        <v>19</v>
      </c>
      <c r="E1294" s="5" t="str">
        <f t="shared" si="1"/>
        <v/>
      </c>
      <c r="F1294" s="5" t="str">
        <f t="shared" si="2"/>
        <v/>
      </c>
      <c r="G1294" s="5">
        <v>2559.7186266735425</v>
      </c>
      <c r="H1294" s="5">
        <v>1488.5455870778749</v>
      </c>
      <c r="I1294" s="5">
        <v>1071.1730395956677</v>
      </c>
      <c r="J1294" s="5">
        <v>312424.18387142854</v>
      </c>
      <c r="K1294" s="5">
        <f t="shared" si="3"/>
        <v>312424.1839</v>
      </c>
      <c r="L1294" s="5">
        <f t="shared" si="4"/>
        <v>0</v>
      </c>
      <c r="M1294" s="5">
        <v>3674.4170461732865</v>
      </c>
      <c r="N1294" s="5">
        <f t="shared" si="5"/>
        <v>0</v>
      </c>
      <c r="O1294" s="5">
        <f t="shared" si="6"/>
        <v>3674.417046</v>
      </c>
      <c r="P1294" s="5">
        <f t="shared" si="9"/>
        <v>318658.3195</v>
      </c>
      <c r="Q1294" s="5">
        <f t="shared" si="7"/>
        <v>4745.590086</v>
      </c>
      <c r="R1294" s="5">
        <f t="shared" si="8"/>
        <v>313912.7295</v>
      </c>
    </row>
    <row r="1295" ht="15.75" customHeight="1">
      <c r="A1295" s="4">
        <v>2006.0</v>
      </c>
      <c r="B1295" s="4">
        <v>403.0</v>
      </c>
      <c r="C1295" s="4" t="s">
        <v>21</v>
      </c>
      <c r="D1295" s="5">
        <v>4991.161727483235</v>
      </c>
      <c r="E1295" s="5">
        <f t="shared" si="1"/>
        <v>0</v>
      </c>
      <c r="F1295" s="5">
        <f t="shared" si="2"/>
        <v>4991.161727</v>
      </c>
      <c r="G1295" s="5">
        <v>11629.522291572976</v>
      </c>
      <c r="H1295" s="5">
        <v>4367.857767046932</v>
      </c>
      <c r="I1295" s="5">
        <v>7261.664524526043</v>
      </c>
      <c r="J1295" s="5">
        <v>533267.8522971428</v>
      </c>
      <c r="K1295" s="5">
        <f t="shared" si="3"/>
        <v>533267.8523</v>
      </c>
      <c r="L1295" s="5">
        <f t="shared" si="4"/>
        <v>0</v>
      </c>
      <c r="M1295" s="5">
        <v>32717.27135079421</v>
      </c>
      <c r="N1295" s="5">
        <f t="shared" si="5"/>
        <v>0</v>
      </c>
      <c r="O1295" s="5">
        <f t="shared" si="6"/>
        <v>32717.27135</v>
      </c>
      <c r="P1295" s="5">
        <f t="shared" si="9"/>
        <v>582605.8077</v>
      </c>
      <c r="Q1295" s="5">
        <f t="shared" si="7"/>
        <v>44970.0976</v>
      </c>
      <c r="R1295" s="5">
        <f t="shared" si="8"/>
        <v>537635.7101</v>
      </c>
    </row>
    <row r="1296" ht="15.75" customHeight="1">
      <c r="A1296" s="4">
        <v>2006.0</v>
      </c>
      <c r="B1296" s="4">
        <v>404.0</v>
      </c>
      <c r="C1296" s="4" t="s">
        <v>21</v>
      </c>
      <c r="D1296" s="5">
        <v>7607.611180067041</v>
      </c>
      <c r="E1296" s="5">
        <f t="shared" si="1"/>
        <v>0</v>
      </c>
      <c r="F1296" s="5">
        <f t="shared" si="2"/>
        <v>7607.61118</v>
      </c>
      <c r="G1296" s="5">
        <v>8046.866678329034</v>
      </c>
      <c r="H1296" s="5">
        <v>3676.989175071686</v>
      </c>
      <c r="I1296" s="5">
        <v>4369.877503257348</v>
      </c>
      <c r="J1296" s="5">
        <v>306848.2946285714</v>
      </c>
      <c r="K1296" s="5">
        <f t="shared" si="3"/>
        <v>306848.2946</v>
      </c>
      <c r="L1296" s="5">
        <f t="shared" si="4"/>
        <v>0</v>
      </c>
      <c r="M1296" s="5">
        <v>15750.232919350194</v>
      </c>
      <c r="N1296" s="5">
        <f t="shared" si="5"/>
        <v>0</v>
      </c>
      <c r="O1296" s="5">
        <f t="shared" si="6"/>
        <v>15750.23292</v>
      </c>
      <c r="P1296" s="5">
        <f t="shared" si="9"/>
        <v>338253.0054</v>
      </c>
      <c r="Q1296" s="5">
        <f t="shared" si="7"/>
        <v>27727.7216</v>
      </c>
      <c r="R1296" s="5">
        <f t="shared" si="8"/>
        <v>310525.2838</v>
      </c>
    </row>
    <row r="1297" ht="15.75" customHeight="1">
      <c r="A1297" s="4">
        <v>2006.0</v>
      </c>
      <c r="B1297" s="4">
        <v>405.0</v>
      </c>
      <c r="C1297" s="4" t="s">
        <v>21</v>
      </c>
      <c r="D1297" s="5">
        <v>2192.945701397626</v>
      </c>
      <c r="E1297" s="5">
        <f t="shared" si="1"/>
        <v>0</v>
      </c>
      <c r="F1297" s="5">
        <f t="shared" si="2"/>
        <v>2192.945701</v>
      </c>
      <c r="G1297" s="5">
        <v>8449.03180022692</v>
      </c>
      <c r="H1297" s="5">
        <v>5038.0537648684885</v>
      </c>
      <c r="I1297" s="5">
        <v>3410.978035358431</v>
      </c>
      <c r="J1297" s="5">
        <v>67927.47701999999</v>
      </c>
      <c r="K1297" s="5">
        <f t="shared" si="3"/>
        <v>67927.47702</v>
      </c>
      <c r="L1297" s="5">
        <f t="shared" si="4"/>
        <v>0</v>
      </c>
      <c r="M1297" s="5">
        <v>4258.870140866427</v>
      </c>
      <c r="N1297" s="5">
        <f t="shared" si="5"/>
        <v>0</v>
      </c>
      <c r="O1297" s="5">
        <f t="shared" si="6"/>
        <v>4258.870141</v>
      </c>
      <c r="P1297" s="5">
        <f t="shared" si="9"/>
        <v>82828.32466</v>
      </c>
      <c r="Q1297" s="5">
        <f t="shared" si="7"/>
        <v>9862.793878</v>
      </c>
      <c r="R1297" s="5">
        <f t="shared" si="8"/>
        <v>72965.53078</v>
      </c>
    </row>
    <row r="1298" ht="15.75" customHeight="1">
      <c r="A1298" s="4">
        <v>2006.0</v>
      </c>
      <c r="B1298" s="4">
        <v>406.0</v>
      </c>
      <c r="C1298" s="4" t="s">
        <v>21</v>
      </c>
      <c r="D1298" s="5" t="s">
        <v>19</v>
      </c>
      <c r="E1298" s="5" t="str">
        <f t="shared" si="1"/>
        <v/>
      </c>
      <c r="F1298" s="5" t="str">
        <f t="shared" si="2"/>
        <v/>
      </c>
      <c r="G1298" s="5" t="s">
        <v>19</v>
      </c>
      <c r="H1298" s="5" t="s">
        <v>19</v>
      </c>
      <c r="I1298" s="5" t="s">
        <v>19</v>
      </c>
      <c r="J1298" s="5">
        <v>58931.381135714284</v>
      </c>
      <c r="K1298" s="5">
        <f t="shared" si="3"/>
        <v>58931.38114</v>
      </c>
      <c r="L1298" s="5">
        <f t="shared" si="4"/>
        <v>0</v>
      </c>
      <c r="M1298" s="5">
        <v>6486.239495306865</v>
      </c>
      <c r="N1298" s="5">
        <f t="shared" si="5"/>
        <v>0</v>
      </c>
      <c r="O1298" s="5">
        <f t="shared" si="6"/>
        <v>6486.239495</v>
      </c>
      <c r="P1298" s="5">
        <f t="shared" si="9"/>
        <v>65417.62063</v>
      </c>
      <c r="Q1298" s="5">
        <f t="shared" si="7"/>
        <v>6486.239495</v>
      </c>
      <c r="R1298" s="5">
        <f t="shared" si="8"/>
        <v>58931.38114</v>
      </c>
    </row>
    <row r="1299" ht="15.75" customHeight="1">
      <c r="A1299" s="4">
        <v>2006.0</v>
      </c>
      <c r="B1299" s="4">
        <v>407.0</v>
      </c>
      <c r="C1299" s="4" t="s">
        <v>21</v>
      </c>
      <c r="D1299" s="5" t="s">
        <v>19</v>
      </c>
      <c r="E1299" s="5" t="str">
        <f t="shared" si="1"/>
        <v/>
      </c>
      <c r="F1299" s="5" t="str">
        <f t="shared" si="2"/>
        <v/>
      </c>
      <c r="G1299" s="5">
        <v>5819.810486312532</v>
      </c>
      <c r="H1299" s="5">
        <v>4611.295384408459</v>
      </c>
      <c r="I1299" s="5">
        <v>1208.5151019040732</v>
      </c>
      <c r="J1299" s="5">
        <v>256806.14189285715</v>
      </c>
      <c r="K1299" s="5">
        <f t="shared" si="3"/>
        <v>256806.1419</v>
      </c>
      <c r="L1299" s="5">
        <f t="shared" si="4"/>
        <v>0</v>
      </c>
      <c r="M1299" s="5">
        <v>3198.373034296028</v>
      </c>
      <c r="N1299" s="5">
        <f t="shared" si="5"/>
        <v>0</v>
      </c>
      <c r="O1299" s="5">
        <f t="shared" si="6"/>
        <v>3198.373034</v>
      </c>
      <c r="P1299" s="5">
        <f t="shared" si="9"/>
        <v>265824.3254</v>
      </c>
      <c r="Q1299" s="5">
        <f t="shared" si="7"/>
        <v>4406.888136</v>
      </c>
      <c r="R1299" s="5">
        <f t="shared" si="8"/>
        <v>261417.4373</v>
      </c>
    </row>
    <row r="1300" ht="15.75" customHeight="1">
      <c r="A1300" s="4">
        <v>2006.0</v>
      </c>
      <c r="B1300" s="4">
        <v>408.0</v>
      </c>
      <c r="C1300" s="4" t="s">
        <v>21</v>
      </c>
      <c r="D1300" s="5">
        <v>2908.8834296802465</v>
      </c>
      <c r="E1300" s="5">
        <f t="shared" si="1"/>
        <v>0</v>
      </c>
      <c r="F1300" s="5">
        <f t="shared" si="2"/>
        <v>2908.88343</v>
      </c>
      <c r="G1300" s="5">
        <v>1841.5241918514698</v>
      </c>
      <c r="H1300" s="5">
        <v>1237.979488973698</v>
      </c>
      <c r="I1300" s="5">
        <v>603.5447028777719</v>
      </c>
      <c r="J1300" s="5">
        <v>18250.19402142857</v>
      </c>
      <c r="K1300" s="5">
        <f t="shared" si="3"/>
        <v>18250.19402</v>
      </c>
      <c r="L1300" s="5">
        <f t="shared" si="4"/>
        <v>0</v>
      </c>
      <c r="M1300" s="5">
        <v>639.6746068592056</v>
      </c>
      <c r="N1300" s="5">
        <f t="shared" si="5"/>
        <v>0</v>
      </c>
      <c r="O1300" s="5">
        <f t="shared" si="6"/>
        <v>639.6746069</v>
      </c>
      <c r="P1300" s="5">
        <f t="shared" si="9"/>
        <v>23640.27625</v>
      </c>
      <c r="Q1300" s="5">
        <f t="shared" si="7"/>
        <v>4152.102739</v>
      </c>
      <c r="R1300" s="5">
        <f t="shared" si="8"/>
        <v>19488.17351</v>
      </c>
    </row>
    <row r="1301" ht="15.75" customHeight="1">
      <c r="A1301" s="4">
        <v>2006.0</v>
      </c>
      <c r="B1301" s="4">
        <v>409.0</v>
      </c>
      <c r="C1301" s="4" t="s">
        <v>21</v>
      </c>
      <c r="D1301" s="5">
        <v>6491.663339350179</v>
      </c>
      <c r="E1301" s="5">
        <f t="shared" si="1"/>
        <v>0</v>
      </c>
      <c r="F1301" s="5">
        <f t="shared" si="2"/>
        <v>6491.663339</v>
      </c>
      <c r="G1301" s="5">
        <v>1268.2755321299637</v>
      </c>
      <c r="H1301" s="5">
        <v>904.1289741928828</v>
      </c>
      <c r="I1301" s="5">
        <v>364.14655793708096</v>
      </c>
      <c r="J1301" s="5">
        <v>47618.630707142845</v>
      </c>
      <c r="K1301" s="5">
        <f t="shared" si="3"/>
        <v>47618.63071</v>
      </c>
      <c r="L1301" s="5">
        <f t="shared" si="4"/>
        <v>0</v>
      </c>
      <c r="M1301" s="5">
        <v>1598.5763346931408</v>
      </c>
      <c r="N1301" s="5">
        <f t="shared" si="5"/>
        <v>0</v>
      </c>
      <c r="O1301" s="5">
        <f t="shared" si="6"/>
        <v>1598.576335</v>
      </c>
      <c r="P1301" s="5">
        <f t="shared" si="9"/>
        <v>56977.14591</v>
      </c>
      <c r="Q1301" s="5">
        <f t="shared" si="7"/>
        <v>8454.386232</v>
      </c>
      <c r="R1301" s="5">
        <f t="shared" si="8"/>
        <v>48522.75968</v>
      </c>
    </row>
    <row r="1302" ht="15.75" customHeight="1">
      <c r="A1302" s="4">
        <v>2006.0</v>
      </c>
      <c r="B1302" s="4">
        <v>420.0</v>
      </c>
      <c r="C1302" s="4" t="s">
        <v>21</v>
      </c>
      <c r="D1302" s="5" t="s">
        <v>19</v>
      </c>
      <c r="E1302" s="5" t="str">
        <f t="shared" si="1"/>
        <v/>
      </c>
      <c r="F1302" s="5" t="str">
        <f t="shared" si="2"/>
        <v/>
      </c>
      <c r="G1302" s="5" t="s">
        <v>19</v>
      </c>
      <c r="H1302" s="5" t="s">
        <v>19</v>
      </c>
      <c r="I1302" s="5" t="s">
        <v>19</v>
      </c>
      <c r="J1302" s="5">
        <v>0.0</v>
      </c>
      <c r="K1302" s="5">
        <f t="shared" si="3"/>
        <v>0</v>
      </c>
      <c r="L1302" s="5">
        <f t="shared" si="4"/>
        <v>0</v>
      </c>
      <c r="M1302" s="5">
        <v>31788.471957400732</v>
      </c>
      <c r="N1302" s="5">
        <f t="shared" si="5"/>
        <v>0</v>
      </c>
      <c r="O1302" s="5">
        <f t="shared" si="6"/>
        <v>31788.47196</v>
      </c>
      <c r="P1302" s="5">
        <f t="shared" si="9"/>
        <v>31788.47196</v>
      </c>
      <c r="Q1302" s="5">
        <f t="shared" si="7"/>
        <v>31788.47196</v>
      </c>
      <c r="R1302" s="5">
        <f t="shared" si="8"/>
        <v>0</v>
      </c>
    </row>
    <row r="1303" ht="15.75" customHeight="1">
      <c r="A1303" s="4">
        <v>2006.0</v>
      </c>
      <c r="B1303" s="4">
        <v>421.0</v>
      </c>
      <c r="C1303" s="4" t="s">
        <v>21</v>
      </c>
      <c r="D1303" s="5" t="s">
        <v>19</v>
      </c>
      <c r="E1303" s="5" t="str">
        <f t="shared" si="1"/>
        <v/>
      </c>
      <c r="F1303" s="5" t="str">
        <f t="shared" si="2"/>
        <v/>
      </c>
      <c r="G1303" s="5" t="s">
        <v>19</v>
      </c>
      <c r="H1303" s="5" t="s">
        <v>19</v>
      </c>
      <c r="I1303" s="5" t="s">
        <v>19</v>
      </c>
      <c r="J1303" s="5">
        <v>353.24398571428577</v>
      </c>
      <c r="K1303" s="5">
        <f t="shared" si="3"/>
        <v>353.2439857</v>
      </c>
      <c r="L1303" s="5">
        <f t="shared" si="4"/>
        <v>0</v>
      </c>
      <c r="M1303" s="5">
        <v>122814.06681638991</v>
      </c>
      <c r="N1303" s="5">
        <f t="shared" si="5"/>
        <v>0</v>
      </c>
      <c r="O1303" s="5">
        <f t="shared" si="6"/>
        <v>122814.0668</v>
      </c>
      <c r="P1303" s="5">
        <f t="shared" si="9"/>
        <v>123167.3108</v>
      </c>
      <c r="Q1303" s="5">
        <f t="shared" si="7"/>
        <v>122814.0668</v>
      </c>
      <c r="R1303" s="5">
        <f t="shared" si="8"/>
        <v>353.2439857</v>
      </c>
    </row>
    <row r="1304" ht="15.75" customHeight="1">
      <c r="A1304" s="4">
        <v>2006.0</v>
      </c>
      <c r="B1304" s="4">
        <v>422.0</v>
      </c>
      <c r="C1304" s="4" t="s">
        <v>21</v>
      </c>
      <c r="D1304" s="5" t="s">
        <v>19</v>
      </c>
      <c r="E1304" s="5" t="str">
        <f t="shared" si="1"/>
        <v/>
      </c>
      <c r="F1304" s="5" t="str">
        <f t="shared" si="2"/>
        <v/>
      </c>
      <c r="G1304" s="5" t="s">
        <v>19</v>
      </c>
      <c r="H1304" s="5" t="s">
        <v>19</v>
      </c>
      <c r="I1304" s="5" t="s">
        <v>19</v>
      </c>
      <c r="J1304" s="5">
        <v>17480.658705714286</v>
      </c>
      <c r="K1304" s="5">
        <f t="shared" si="3"/>
        <v>17480.65871</v>
      </c>
      <c r="L1304" s="5">
        <f t="shared" si="4"/>
        <v>0</v>
      </c>
      <c r="M1304" s="5">
        <v>129147.45560675091</v>
      </c>
      <c r="N1304" s="5">
        <f t="shared" si="5"/>
        <v>0</v>
      </c>
      <c r="O1304" s="5">
        <f t="shared" si="6"/>
        <v>129147.4556</v>
      </c>
      <c r="P1304" s="5">
        <f t="shared" si="9"/>
        <v>146628.1143</v>
      </c>
      <c r="Q1304" s="5">
        <f t="shared" si="7"/>
        <v>129147.4556</v>
      </c>
      <c r="R1304" s="5">
        <f t="shared" si="8"/>
        <v>17480.65871</v>
      </c>
    </row>
    <row r="1305" ht="15.75" customHeight="1">
      <c r="A1305" s="4">
        <v>2006.0</v>
      </c>
      <c r="B1305" s="4">
        <v>423.0</v>
      </c>
      <c r="C1305" s="4" t="s">
        <v>21</v>
      </c>
      <c r="D1305" s="5">
        <v>9363.451549948424</v>
      </c>
      <c r="E1305" s="5">
        <f t="shared" si="1"/>
        <v>0</v>
      </c>
      <c r="F1305" s="5">
        <f t="shared" si="2"/>
        <v>9363.45155</v>
      </c>
      <c r="G1305" s="5">
        <v>3416.9184359773076</v>
      </c>
      <c r="H1305" s="5">
        <v>1241.5437293450232</v>
      </c>
      <c r="I1305" s="5">
        <v>2175.3747066322844</v>
      </c>
      <c r="J1305" s="5">
        <v>56517.24913714286</v>
      </c>
      <c r="K1305" s="5">
        <f t="shared" si="3"/>
        <v>56517.24914</v>
      </c>
      <c r="L1305" s="5">
        <f t="shared" si="4"/>
        <v>0</v>
      </c>
      <c r="M1305" s="5">
        <v>222968.60138274368</v>
      </c>
      <c r="N1305" s="5">
        <f t="shared" si="5"/>
        <v>0</v>
      </c>
      <c r="O1305" s="5">
        <f t="shared" si="6"/>
        <v>222968.6014</v>
      </c>
      <c r="P1305" s="5">
        <f t="shared" si="9"/>
        <v>292266.2205</v>
      </c>
      <c r="Q1305" s="5">
        <f t="shared" si="7"/>
        <v>234507.4276</v>
      </c>
      <c r="R1305" s="5">
        <f t="shared" si="8"/>
        <v>57758.79287</v>
      </c>
    </row>
    <row r="1306" ht="15.75" customHeight="1">
      <c r="A1306" s="4">
        <v>2006.0</v>
      </c>
      <c r="B1306" s="4">
        <v>424.0</v>
      </c>
      <c r="C1306" s="4" t="s">
        <v>21</v>
      </c>
      <c r="D1306" s="5">
        <v>5603.851095987619</v>
      </c>
      <c r="E1306" s="5">
        <f t="shared" si="1"/>
        <v>0</v>
      </c>
      <c r="F1306" s="5">
        <f t="shared" si="2"/>
        <v>5603.851096</v>
      </c>
      <c r="G1306" s="5">
        <v>3234.548136977823</v>
      </c>
      <c r="H1306" s="5">
        <v>1311.6404566477565</v>
      </c>
      <c r="I1306" s="5">
        <v>1922.9076803300666</v>
      </c>
      <c r="J1306" s="5">
        <v>0.0</v>
      </c>
      <c r="K1306" s="5">
        <f t="shared" si="3"/>
        <v>0</v>
      </c>
      <c r="L1306" s="5">
        <f t="shared" si="4"/>
        <v>0</v>
      </c>
      <c r="M1306" s="5">
        <v>73221.48779653432</v>
      </c>
      <c r="N1306" s="5">
        <f t="shared" si="5"/>
        <v>0</v>
      </c>
      <c r="O1306" s="5">
        <f t="shared" si="6"/>
        <v>73221.4878</v>
      </c>
      <c r="P1306" s="5">
        <f t="shared" si="9"/>
        <v>82059.88703</v>
      </c>
      <c r="Q1306" s="5">
        <f t="shared" si="7"/>
        <v>80748.24657</v>
      </c>
      <c r="R1306" s="5">
        <f t="shared" si="8"/>
        <v>1311.640457</v>
      </c>
    </row>
    <row r="1307" ht="15.75" customHeight="1">
      <c r="A1307" s="4">
        <v>2006.0</v>
      </c>
      <c r="B1307" s="4">
        <v>425.0</v>
      </c>
      <c r="C1307" s="4" t="s">
        <v>21</v>
      </c>
      <c r="D1307" s="5">
        <v>2889.717566487879</v>
      </c>
      <c r="E1307" s="5">
        <f t="shared" si="1"/>
        <v>0</v>
      </c>
      <c r="F1307" s="5">
        <f t="shared" si="2"/>
        <v>2889.717566</v>
      </c>
      <c r="G1307" s="5" t="s">
        <v>19</v>
      </c>
      <c r="H1307" s="5" t="s">
        <v>19</v>
      </c>
      <c r="I1307" s="5" t="s">
        <v>19</v>
      </c>
      <c r="J1307" s="5">
        <v>0.0</v>
      </c>
      <c r="K1307" s="5">
        <f t="shared" si="3"/>
        <v>0</v>
      </c>
      <c r="L1307" s="5">
        <f t="shared" si="4"/>
        <v>0</v>
      </c>
      <c r="M1307" s="5">
        <v>295553.56718176906</v>
      </c>
      <c r="N1307" s="5">
        <f t="shared" si="5"/>
        <v>0</v>
      </c>
      <c r="O1307" s="5">
        <f t="shared" si="6"/>
        <v>295553.5672</v>
      </c>
      <c r="P1307" s="5">
        <f t="shared" si="9"/>
        <v>298443.2847</v>
      </c>
      <c r="Q1307" s="5">
        <f t="shared" si="7"/>
        <v>298443.2847</v>
      </c>
      <c r="R1307" s="5">
        <f t="shared" si="8"/>
        <v>0</v>
      </c>
    </row>
    <row r="1308" ht="15.75" customHeight="1">
      <c r="A1308" s="4">
        <v>2006.0</v>
      </c>
      <c r="B1308" s="4">
        <v>426.0</v>
      </c>
      <c r="C1308" s="4" t="s">
        <v>21</v>
      </c>
      <c r="D1308" s="5" t="s">
        <v>19</v>
      </c>
      <c r="E1308" s="5" t="str">
        <f t="shared" si="1"/>
        <v/>
      </c>
      <c r="F1308" s="5" t="str">
        <f t="shared" si="2"/>
        <v/>
      </c>
      <c r="G1308" s="5" t="s">
        <v>19</v>
      </c>
      <c r="H1308" s="5" t="s">
        <v>19</v>
      </c>
      <c r="I1308" s="5" t="s">
        <v>19</v>
      </c>
      <c r="J1308" s="5">
        <v>0.0</v>
      </c>
      <c r="K1308" s="5">
        <f t="shared" si="3"/>
        <v>0</v>
      </c>
      <c r="L1308" s="5">
        <f t="shared" si="4"/>
        <v>0</v>
      </c>
      <c r="M1308" s="5">
        <v>89868.68892454874</v>
      </c>
      <c r="N1308" s="5">
        <f t="shared" si="5"/>
        <v>0</v>
      </c>
      <c r="O1308" s="5">
        <f t="shared" si="6"/>
        <v>89868.68892</v>
      </c>
      <c r="P1308" s="5">
        <f t="shared" si="9"/>
        <v>89868.68892</v>
      </c>
      <c r="Q1308" s="5">
        <f t="shared" si="7"/>
        <v>89868.68892</v>
      </c>
      <c r="R1308" s="5">
        <f t="shared" si="8"/>
        <v>0</v>
      </c>
    </row>
    <row r="1309" ht="15.75" customHeight="1">
      <c r="A1309" s="4">
        <v>2006.0</v>
      </c>
      <c r="B1309" s="4">
        <v>427.0</v>
      </c>
      <c r="C1309" s="4" t="s">
        <v>21</v>
      </c>
      <c r="D1309" s="5" t="s">
        <v>19</v>
      </c>
      <c r="E1309" s="5" t="str">
        <f t="shared" si="1"/>
        <v/>
      </c>
      <c r="F1309" s="5" t="str">
        <f t="shared" si="2"/>
        <v/>
      </c>
      <c r="G1309" s="5" t="s">
        <v>19</v>
      </c>
      <c r="H1309" s="5" t="s">
        <v>19</v>
      </c>
      <c r="I1309" s="5" t="s">
        <v>19</v>
      </c>
      <c r="J1309" s="5">
        <v>0.0</v>
      </c>
      <c r="K1309" s="5">
        <f t="shared" si="3"/>
        <v>0</v>
      </c>
      <c r="L1309" s="5">
        <f t="shared" si="4"/>
        <v>0</v>
      </c>
      <c r="M1309" s="5">
        <v>332918.0898059567</v>
      </c>
      <c r="N1309" s="5">
        <f t="shared" si="5"/>
        <v>0</v>
      </c>
      <c r="O1309" s="5">
        <f t="shared" si="6"/>
        <v>332918.0898</v>
      </c>
      <c r="P1309" s="5">
        <f t="shared" si="9"/>
        <v>332918.0898</v>
      </c>
      <c r="Q1309" s="5">
        <f t="shared" si="7"/>
        <v>332918.0898</v>
      </c>
      <c r="R1309" s="5">
        <f t="shared" si="8"/>
        <v>0</v>
      </c>
    </row>
    <row r="1310" ht="15.75" customHeight="1">
      <c r="A1310" s="4">
        <v>2006.0</v>
      </c>
      <c r="B1310" s="4">
        <v>428.0</v>
      </c>
      <c r="C1310" s="4" t="s">
        <v>21</v>
      </c>
      <c r="D1310" s="5">
        <v>2194.8004623517268</v>
      </c>
      <c r="E1310" s="5">
        <f t="shared" si="1"/>
        <v>0</v>
      </c>
      <c r="F1310" s="5">
        <f t="shared" si="2"/>
        <v>2194.800462</v>
      </c>
      <c r="G1310" s="5" t="s">
        <v>19</v>
      </c>
      <c r="H1310" s="5" t="s">
        <v>19</v>
      </c>
      <c r="I1310" s="5" t="s">
        <v>19</v>
      </c>
      <c r="J1310" s="5">
        <v>0.0</v>
      </c>
      <c r="K1310" s="5">
        <f t="shared" si="3"/>
        <v>0</v>
      </c>
      <c r="L1310" s="5">
        <f t="shared" si="4"/>
        <v>0</v>
      </c>
      <c r="M1310" s="5">
        <v>37915.720775090245</v>
      </c>
      <c r="N1310" s="5">
        <f t="shared" si="5"/>
        <v>0</v>
      </c>
      <c r="O1310" s="5">
        <f t="shared" si="6"/>
        <v>37915.72078</v>
      </c>
      <c r="P1310" s="5">
        <f t="shared" si="9"/>
        <v>40110.52124</v>
      </c>
      <c r="Q1310" s="5">
        <f t="shared" si="7"/>
        <v>40110.52124</v>
      </c>
      <c r="R1310" s="5">
        <f t="shared" si="8"/>
        <v>0</v>
      </c>
    </row>
    <row r="1311" ht="15.75" customHeight="1">
      <c r="A1311" s="4">
        <v>2006.0</v>
      </c>
      <c r="B1311" s="4">
        <v>429.0</v>
      </c>
      <c r="C1311" s="4" t="s">
        <v>21</v>
      </c>
      <c r="D1311" s="5">
        <v>26071.138224481674</v>
      </c>
      <c r="E1311" s="5">
        <f t="shared" si="1"/>
        <v>0</v>
      </c>
      <c r="F1311" s="5">
        <f t="shared" si="2"/>
        <v>26071.13822</v>
      </c>
      <c r="G1311" s="5">
        <v>1693.6082164414647</v>
      </c>
      <c r="H1311" s="5">
        <v>463.47005628468287</v>
      </c>
      <c r="I1311" s="5">
        <v>1230.1381601567819</v>
      </c>
      <c r="J1311" s="5">
        <v>0.0</v>
      </c>
      <c r="K1311" s="5">
        <f t="shared" si="3"/>
        <v>0</v>
      </c>
      <c r="L1311" s="5">
        <f t="shared" si="4"/>
        <v>0</v>
      </c>
      <c r="M1311" s="5">
        <v>31678.63911552346</v>
      </c>
      <c r="N1311" s="5">
        <f t="shared" si="5"/>
        <v>0</v>
      </c>
      <c r="O1311" s="5">
        <f t="shared" si="6"/>
        <v>31678.63912</v>
      </c>
      <c r="P1311" s="5">
        <f t="shared" si="9"/>
        <v>59443.38556</v>
      </c>
      <c r="Q1311" s="5">
        <f t="shared" si="7"/>
        <v>58979.9155</v>
      </c>
      <c r="R1311" s="5">
        <f t="shared" si="8"/>
        <v>463.4700563</v>
      </c>
    </row>
    <row r="1312" ht="15.75" customHeight="1">
      <c r="A1312" s="4">
        <v>2006.0</v>
      </c>
      <c r="B1312" s="4">
        <v>500.0</v>
      </c>
      <c r="C1312" s="4" t="s">
        <v>22</v>
      </c>
      <c r="D1312" s="5">
        <v>7216.032239489425</v>
      </c>
      <c r="E1312" s="5">
        <f t="shared" si="1"/>
        <v>0</v>
      </c>
      <c r="F1312" s="5">
        <f t="shared" si="2"/>
        <v>7216.032239</v>
      </c>
      <c r="G1312" s="5">
        <v>15859.868824033007</v>
      </c>
      <c r="H1312" s="5">
        <v>7833.176908457969</v>
      </c>
      <c r="I1312" s="5">
        <v>8026.6919155750375</v>
      </c>
      <c r="J1312" s="5">
        <v>715581.0217536101</v>
      </c>
      <c r="K1312" s="5">
        <f t="shared" si="3"/>
        <v>715581.0218</v>
      </c>
      <c r="L1312" s="5">
        <f t="shared" si="4"/>
        <v>0</v>
      </c>
      <c r="M1312" s="5">
        <v>51634.84839664257</v>
      </c>
      <c r="N1312" s="5">
        <f t="shared" si="5"/>
        <v>0</v>
      </c>
      <c r="O1312" s="5">
        <f t="shared" si="6"/>
        <v>51634.8484</v>
      </c>
      <c r="P1312" s="5">
        <f t="shared" si="9"/>
        <v>790291.7712</v>
      </c>
      <c r="Q1312" s="5">
        <f t="shared" si="7"/>
        <v>66877.57255</v>
      </c>
      <c r="R1312" s="5">
        <f t="shared" si="8"/>
        <v>723414.1987</v>
      </c>
    </row>
    <row r="1313" ht="15.75" customHeight="1">
      <c r="A1313" s="4">
        <v>2006.0</v>
      </c>
      <c r="B1313" s="4">
        <v>501.0</v>
      </c>
      <c r="C1313" s="4" t="s">
        <v>22</v>
      </c>
      <c r="D1313" s="5" t="s">
        <v>19</v>
      </c>
      <c r="E1313" s="5" t="str">
        <f t="shared" si="1"/>
        <v/>
      </c>
      <c r="F1313" s="5" t="str">
        <f t="shared" si="2"/>
        <v/>
      </c>
      <c r="G1313" s="5" t="s">
        <v>19</v>
      </c>
      <c r="H1313" s="5" t="s">
        <v>19</v>
      </c>
      <c r="I1313" s="5" t="s">
        <v>19</v>
      </c>
      <c r="J1313" s="5">
        <v>30627.882328880867</v>
      </c>
      <c r="K1313" s="5">
        <f t="shared" si="3"/>
        <v>30627.88233</v>
      </c>
      <c r="L1313" s="5">
        <f t="shared" si="4"/>
        <v>0</v>
      </c>
      <c r="M1313" s="5">
        <v>25940.326728679713</v>
      </c>
      <c r="N1313" s="5">
        <f t="shared" si="5"/>
        <v>0</v>
      </c>
      <c r="O1313" s="5">
        <f t="shared" si="6"/>
        <v>25940.32673</v>
      </c>
      <c r="P1313" s="5">
        <f t="shared" si="9"/>
        <v>56568.20906</v>
      </c>
      <c r="Q1313" s="5">
        <f t="shared" si="7"/>
        <v>25940.32673</v>
      </c>
      <c r="R1313" s="5">
        <f t="shared" si="8"/>
        <v>30627.88233</v>
      </c>
    </row>
    <row r="1314" ht="15.75" customHeight="1">
      <c r="A1314" s="4">
        <v>2006.0</v>
      </c>
      <c r="B1314" s="4">
        <v>502.0</v>
      </c>
      <c r="C1314" s="4" t="s">
        <v>22</v>
      </c>
      <c r="D1314" s="5">
        <v>993.2898676121708</v>
      </c>
      <c r="E1314" s="5">
        <f t="shared" si="1"/>
        <v>0</v>
      </c>
      <c r="F1314" s="5">
        <f t="shared" si="2"/>
        <v>993.2898676</v>
      </c>
      <c r="G1314" s="5">
        <v>555.4597426508509</v>
      </c>
      <c r="H1314" s="5">
        <v>354.7775130479628</v>
      </c>
      <c r="I1314" s="5">
        <v>200.68222960288807</v>
      </c>
      <c r="J1314" s="5">
        <v>0.0</v>
      </c>
      <c r="K1314" s="5">
        <f t="shared" si="3"/>
        <v>0</v>
      </c>
      <c r="L1314" s="5">
        <f t="shared" si="4"/>
        <v>0</v>
      </c>
      <c r="M1314" s="5">
        <v>6323.483818024752</v>
      </c>
      <c r="N1314" s="5">
        <f t="shared" si="5"/>
        <v>0</v>
      </c>
      <c r="O1314" s="5">
        <f t="shared" si="6"/>
        <v>6323.483818</v>
      </c>
      <c r="P1314" s="5">
        <f t="shared" si="9"/>
        <v>7872.233428</v>
      </c>
      <c r="Q1314" s="5">
        <f t="shared" si="7"/>
        <v>7517.455915</v>
      </c>
      <c r="R1314" s="5">
        <f t="shared" si="8"/>
        <v>354.777513</v>
      </c>
    </row>
    <row r="1315" ht="15.75" customHeight="1">
      <c r="A1315" s="4">
        <v>2006.0</v>
      </c>
      <c r="B1315" s="4">
        <v>503.0</v>
      </c>
      <c r="C1315" s="4" t="s">
        <v>22</v>
      </c>
      <c r="D1315" s="5">
        <v>1185.700735048994</v>
      </c>
      <c r="E1315" s="5">
        <f t="shared" si="1"/>
        <v>0</v>
      </c>
      <c r="F1315" s="5">
        <f t="shared" si="2"/>
        <v>1185.700735</v>
      </c>
      <c r="G1315" s="5">
        <v>2315.0128629190303</v>
      </c>
      <c r="H1315" s="5">
        <v>1561.7377796596186</v>
      </c>
      <c r="I1315" s="5">
        <v>753.2750832594118</v>
      </c>
      <c r="J1315" s="5">
        <v>205240.16824436822</v>
      </c>
      <c r="K1315" s="5">
        <f t="shared" si="3"/>
        <v>205240.1682</v>
      </c>
      <c r="L1315" s="5">
        <f t="shared" si="4"/>
        <v>0</v>
      </c>
      <c r="M1315" s="5">
        <v>16070.607764466215</v>
      </c>
      <c r="N1315" s="5">
        <f t="shared" si="5"/>
        <v>0</v>
      </c>
      <c r="O1315" s="5">
        <f t="shared" si="6"/>
        <v>16070.60776</v>
      </c>
      <c r="P1315" s="5">
        <f t="shared" si="9"/>
        <v>224811.4896</v>
      </c>
      <c r="Q1315" s="5">
        <f t="shared" si="7"/>
        <v>18009.58358</v>
      </c>
      <c r="R1315" s="5">
        <f t="shared" si="8"/>
        <v>206801.906</v>
      </c>
    </row>
    <row r="1316" ht="15.75" customHeight="1">
      <c r="A1316" s="4">
        <v>2006.0</v>
      </c>
      <c r="B1316" s="4">
        <v>504.0</v>
      </c>
      <c r="C1316" s="4" t="s">
        <v>22</v>
      </c>
      <c r="D1316" s="5">
        <v>2692.5027228984004</v>
      </c>
      <c r="E1316" s="5">
        <f t="shared" si="1"/>
        <v>0</v>
      </c>
      <c r="F1316" s="5">
        <f t="shared" si="2"/>
        <v>2692.502723</v>
      </c>
      <c r="G1316" s="5">
        <v>6956.983959566787</v>
      </c>
      <c r="H1316" s="5">
        <v>3669.8568201547196</v>
      </c>
      <c r="I1316" s="5">
        <v>3287.1271394120677</v>
      </c>
      <c r="J1316" s="5">
        <v>30158.5729233574</v>
      </c>
      <c r="K1316" s="5">
        <f t="shared" si="3"/>
        <v>30158.57292</v>
      </c>
      <c r="L1316" s="5">
        <f t="shared" si="4"/>
        <v>0</v>
      </c>
      <c r="M1316" s="5">
        <v>92759.12159904587</v>
      </c>
      <c r="N1316" s="5">
        <f t="shared" si="5"/>
        <v>0</v>
      </c>
      <c r="O1316" s="5">
        <f t="shared" si="6"/>
        <v>92759.1216</v>
      </c>
      <c r="P1316" s="5">
        <f t="shared" si="9"/>
        <v>132567.1812</v>
      </c>
      <c r="Q1316" s="5">
        <f t="shared" si="7"/>
        <v>98738.75146</v>
      </c>
      <c r="R1316" s="5">
        <f t="shared" si="8"/>
        <v>33828.42974</v>
      </c>
    </row>
    <row r="1317" ht="15.75" customHeight="1">
      <c r="A1317" s="4">
        <v>2006.0</v>
      </c>
      <c r="B1317" s="4">
        <v>505.0</v>
      </c>
      <c r="C1317" s="4" t="s">
        <v>22</v>
      </c>
      <c r="D1317" s="5" t="s">
        <v>19</v>
      </c>
      <c r="E1317" s="5" t="str">
        <f t="shared" si="1"/>
        <v/>
      </c>
      <c r="F1317" s="5" t="str">
        <f t="shared" si="2"/>
        <v/>
      </c>
      <c r="G1317" s="5">
        <v>33763.59059360495</v>
      </c>
      <c r="H1317" s="5">
        <v>9184.198347034555</v>
      </c>
      <c r="I1317" s="5">
        <v>24579.392246570398</v>
      </c>
      <c r="J1317" s="5">
        <v>0.0</v>
      </c>
      <c r="K1317" s="5">
        <f t="shared" si="3"/>
        <v>0</v>
      </c>
      <c r="L1317" s="5">
        <f t="shared" si="4"/>
        <v>0</v>
      </c>
      <c r="M1317" s="5">
        <v>42634.57001833417</v>
      </c>
      <c r="N1317" s="5">
        <f t="shared" si="5"/>
        <v>0</v>
      </c>
      <c r="O1317" s="5">
        <f t="shared" si="6"/>
        <v>42634.57002</v>
      </c>
      <c r="P1317" s="5">
        <f t="shared" si="9"/>
        <v>76398.16061</v>
      </c>
      <c r="Q1317" s="5">
        <f t="shared" si="7"/>
        <v>67213.96226</v>
      </c>
      <c r="R1317" s="5">
        <f t="shared" si="8"/>
        <v>9184.198347</v>
      </c>
    </row>
    <row r="1318" ht="15.75" customHeight="1">
      <c r="A1318" s="4">
        <v>2006.0</v>
      </c>
      <c r="B1318" s="4">
        <v>506.0</v>
      </c>
      <c r="C1318" s="4" t="s">
        <v>22</v>
      </c>
      <c r="D1318" s="5">
        <v>53993.73789793706</v>
      </c>
      <c r="E1318" s="5">
        <f t="shared" si="1"/>
        <v>0</v>
      </c>
      <c r="F1318" s="5">
        <f t="shared" si="2"/>
        <v>53993.7379</v>
      </c>
      <c r="G1318" s="5">
        <v>35908.381922485816</v>
      </c>
      <c r="H1318" s="5">
        <v>8376.81073400722</v>
      </c>
      <c r="I1318" s="5">
        <v>27531.571188478596</v>
      </c>
      <c r="J1318" s="5">
        <v>8000.960941155236</v>
      </c>
      <c r="K1318" s="5">
        <f t="shared" si="3"/>
        <v>8000.960941</v>
      </c>
      <c r="L1318" s="5">
        <f t="shared" si="4"/>
        <v>0</v>
      </c>
      <c r="M1318" s="5">
        <v>9602.593030840635</v>
      </c>
      <c r="N1318" s="5">
        <f t="shared" si="5"/>
        <v>0</v>
      </c>
      <c r="O1318" s="5">
        <f t="shared" si="6"/>
        <v>9602.593031</v>
      </c>
      <c r="P1318" s="5">
        <f t="shared" si="9"/>
        <v>107505.6738</v>
      </c>
      <c r="Q1318" s="5">
        <f t="shared" si="7"/>
        <v>91127.90212</v>
      </c>
      <c r="R1318" s="5">
        <f t="shared" si="8"/>
        <v>16377.77168</v>
      </c>
    </row>
    <row r="1319" ht="15.75" customHeight="1">
      <c r="A1319" s="4">
        <v>2006.0</v>
      </c>
      <c r="B1319" s="4">
        <v>507.0</v>
      </c>
      <c r="C1319" s="4" t="s">
        <v>22</v>
      </c>
      <c r="D1319" s="5" t="s">
        <v>19</v>
      </c>
      <c r="E1319" s="5" t="str">
        <f t="shared" si="1"/>
        <v/>
      </c>
      <c r="F1319" s="5" t="str">
        <f t="shared" si="2"/>
        <v/>
      </c>
      <c r="G1319" s="5" t="s">
        <v>19</v>
      </c>
      <c r="H1319" s="5" t="s">
        <v>19</v>
      </c>
      <c r="I1319" s="5" t="s">
        <v>19</v>
      </c>
      <c r="J1319" s="5">
        <v>0.0</v>
      </c>
      <c r="K1319" s="5">
        <f t="shared" si="3"/>
        <v>0</v>
      </c>
      <c r="L1319" s="5">
        <f t="shared" si="4"/>
        <v>0</v>
      </c>
      <c r="M1319" s="5">
        <v>0.0</v>
      </c>
      <c r="N1319" s="5">
        <f t="shared" si="5"/>
        <v>0</v>
      </c>
      <c r="O1319" s="5">
        <f t="shared" si="6"/>
        <v>0</v>
      </c>
      <c r="P1319" s="5">
        <f t="shared" si="9"/>
        <v>0</v>
      </c>
      <c r="Q1319" s="5">
        <f t="shared" si="7"/>
        <v>0</v>
      </c>
      <c r="R1319" s="5">
        <f t="shared" si="8"/>
        <v>0</v>
      </c>
    </row>
    <row r="1320" ht="15.75" customHeight="1">
      <c r="A1320" s="4">
        <v>2006.0</v>
      </c>
      <c r="B1320" s="4">
        <v>508.0</v>
      </c>
      <c r="C1320" s="4" t="s">
        <v>22</v>
      </c>
      <c r="D1320" s="5" t="s">
        <v>19</v>
      </c>
      <c r="E1320" s="5" t="str">
        <f t="shared" si="1"/>
        <v/>
      </c>
      <c r="F1320" s="5" t="str">
        <f t="shared" si="2"/>
        <v/>
      </c>
      <c r="G1320" s="5" t="s">
        <v>19</v>
      </c>
      <c r="H1320" s="5" t="s">
        <v>19</v>
      </c>
      <c r="I1320" s="5" t="s">
        <v>19</v>
      </c>
      <c r="J1320" s="5">
        <v>0.0</v>
      </c>
      <c r="K1320" s="5">
        <f t="shared" si="3"/>
        <v>0</v>
      </c>
      <c r="L1320" s="5">
        <f t="shared" si="4"/>
        <v>0</v>
      </c>
      <c r="M1320" s="5">
        <v>38184.862893347075</v>
      </c>
      <c r="N1320" s="5">
        <f t="shared" si="5"/>
        <v>0</v>
      </c>
      <c r="O1320" s="5">
        <f t="shared" si="6"/>
        <v>38184.86289</v>
      </c>
      <c r="P1320" s="5">
        <f t="shared" si="9"/>
        <v>38184.86289</v>
      </c>
      <c r="Q1320" s="5">
        <f t="shared" si="7"/>
        <v>38184.86289</v>
      </c>
      <c r="R1320" s="5">
        <f t="shared" si="8"/>
        <v>0</v>
      </c>
    </row>
    <row r="1321" ht="15.75" customHeight="1">
      <c r="A1321" s="4">
        <v>2006.0</v>
      </c>
      <c r="B1321" s="4">
        <v>520.0</v>
      </c>
      <c r="C1321" s="4" t="s">
        <v>22</v>
      </c>
      <c r="D1321" s="5">
        <v>1430.5872936049504</v>
      </c>
      <c r="E1321" s="5">
        <f t="shared" si="1"/>
        <v>0</v>
      </c>
      <c r="F1321" s="5">
        <f t="shared" si="2"/>
        <v>1430.587294</v>
      </c>
      <c r="G1321" s="5">
        <v>1954.2626644662196</v>
      </c>
      <c r="H1321" s="5">
        <v>921.2269968437339</v>
      </c>
      <c r="I1321" s="5">
        <v>1033.0356676224856</v>
      </c>
      <c r="J1321" s="5">
        <v>10785.313880144406</v>
      </c>
      <c r="K1321" s="5">
        <f t="shared" si="3"/>
        <v>10785.31388</v>
      </c>
      <c r="L1321" s="5">
        <f t="shared" si="4"/>
        <v>0</v>
      </c>
      <c r="M1321" s="5">
        <v>170439.87604569353</v>
      </c>
      <c r="N1321" s="5">
        <f t="shared" si="5"/>
        <v>0</v>
      </c>
      <c r="O1321" s="5">
        <f t="shared" si="6"/>
        <v>170439.876</v>
      </c>
      <c r="P1321" s="5">
        <f t="shared" si="9"/>
        <v>184610.0399</v>
      </c>
      <c r="Q1321" s="5">
        <f t="shared" si="7"/>
        <v>172903.499</v>
      </c>
      <c r="R1321" s="5">
        <f t="shared" si="8"/>
        <v>11706.54088</v>
      </c>
    </row>
    <row r="1322" ht="15.75" customHeight="1">
      <c r="A1322" s="4">
        <v>2006.0</v>
      </c>
      <c r="B1322" s="4">
        <v>521.0</v>
      </c>
      <c r="C1322" s="4" t="s">
        <v>22</v>
      </c>
      <c r="D1322" s="5" t="s">
        <v>19</v>
      </c>
      <c r="E1322" s="5" t="str">
        <f t="shared" si="1"/>
        <v/>
      </c>
      <c r="F1322" s="5" t="str">
        <f t="shared" si="2"/>
        <v/>
      </c>
      <c r="G1322" s="5" t="s">
        <v>19</v>
      </c>
      <c r="H1322" s="5" t="s">
        <v>19</v>
      </c>
      <c r="I1322" s="5" t="s">
        <v>19</v>
      </c>
      <c r="J1322" s="5">
        <v>0.0</v>
      </c>
      <c r="K1322" s="5">
        <f t="shared" si="3"/>
        <v>0</v>
      </c>
      <c r="L1322" s="5">
        <f t="shared" si="4"/>
        <v>0</v>
      </c>
      <c r="M1322" s="5">
        <v>28762.267229736965</v>
      </c>
      <c r="N1322" s="5">
        <f t="shared" si="5"/>
        <v>0</v>
      </c>
      <c r="O1322" s="5">
        <f t="shared" si="6"/>
        <v>28762.26723</v>
      </c>
      <c r="P1322" s="5">
        <f t="shared" si="9"/>
        <v>28762.26723</v>
      </c>
      <c r="Q1322" s="5">
        <f t="shared" si="7"/>
        <v>28762.26723</v>
      </c>
      <c r="R1322" s="5">
        <f t="shared" si="8"/>
        <v>0</v>
      </c>
    </row>
    <row r="1323" ht="15.75" customHeight="1">
      <c r="A1323" s="4">
        <v>2006.0</v>
      </c>
      <c r="B1323" s="4">
        <v>522.0</v>
      </c>
      <c r="C1323" s="4" t="s">
        <v>22</v>
      </c>
      <c r="D1323" s="5" t="s">
        <v>19</v>
      </c>
      <c r="E1323" s="5" t="str">
        <f t="shared" si="1"/>
        <v/>
      </c>
      <c r="F1323" s="5" t="str">
        <f t="shared" si="2"/>
        <v/>
      </c>
      <c r="G1323" s="5" t="s">
        <v>19</v>
      </c>
      <c r="H1323" s="5" t="s">
        <v>19</v>
      </c>
      <c r="I1323" s="5" t="s">
        <v>19</v>
      </c>
      <c r="J1323" s="5">
        <v>0.0</v>
      </c>
      <c r="K1323" s="5">
        <f t="shared" si="3"/>
        <v>0</v>
      </c>
      <c r="L1323" s="5">
        <f t="shared" si="4"/>
        <v>0</v>
      </c>
      <c r="M1323" s="5">
        <v>51127.04261232591</v>
      </c>
      <c r="N1323" s="5">
        <f t="shared" si="5"/>
        <v>0</v>
      </c>
      <c r="O1323" s="5">
        <f t="shared" si="6"/>
        <v>51127.04261</v>
      </c>
      <c r="P1323" s="5">
        <f t="shared" si="9"/>
        <v>51127.04261</v>
      </c>
      <c r="Q1323" s="5">
        <f t="shared" si="7"/>
        <v>51127.04261</v>
      </c>
      <c r="R1323" s="5">
        <f t="shared" si="8"/>
        <v>0</v>
      </c>
    </row>
    <row r="1324" ht="15.75" customHeight="1">
      <c r="A1324" s="4">
        <v>2006.0</v>
      </c>
      <c r="B1324" s="4">
        <v>523.0</v>
      </c>
      <c r="C1324" s="4" t="s">
        <v>22</v>
      </c>
      <c r="D1324" s="5" t="s">
        <v>19</v>
      </c>
      <c r="E1324" s="5" t="str">
        <f t="shared" si="1"/>
        <v/>
      </c>
      <c r="F1324" s="5" t="str">
        <f t="shared" si="2"/>
        <v/>
      </c>
      <c r="G1324" s="5" t="s">
        <v>19</v>
      </c>
      <c r="H1324" s="5" t="s">
        <v>19</v>
      </c>
      <c r="I1324" s="5" t="s">
        <v>19</v>
      </c>
      <c r="J1324" s="5">
        <v>0.0</v>
      </c>
      <c r="K1324" s="5">
        <f t="shared" si="3"/>
        <v>0</v>
      </c>
      <c r="L1324" s="5">
        <f t="shared" si="4"/>
        <v>0</v>
      </c>
      <c r="M1324" s="5">
        <v>51925.55029497159</v>
      </c>
      <c r="N1324" s="5">
        <f t="shared" si="5"/>
        <v>0</v>
      </c>
      <c r="O1324" s="5">
        <f t="shared" si="6"/>
        <v>51925.55029</v>
      </c>
      <c r="P1324" s="5">
        <f t="shared" si="9"/>
        <v>51925.55029</v>
      </c>
      <c r="Q1324" s="5">
        <f t="shared" si="7"/>
        <v>51925.55029</v>
      </c>
      <c r="R1324" s="5">
        <f t="shared" si="8"/>
        <v>0</v>
      </c>
    </row>
    <row r="1325" ht="15.75" customHeight="1">
      <c r="A1325" s="4">
        <v>2006.0</v>
      </c>
      <c r="B1325" s="4">
        <v>524.0</v>
      </c>
      <c r="C1325" s="4" t="s">
        <v>22</v>
      </c>
      <c r="D1325" s="5">
        <v>7828.873346487877</v>
      </c>
      <c r="E1325" s="5">
        <f t="shared" si="1"/>
        <v>0</v>
      </c>
      <c r="F1325" s="5">
        <f t="shared" si="2"/>
        <v>7828.873346</v>
      </c>
      <c r="G1325" s="5">
        <v>17872.663805466735</v>
      </c>
      <c r="H1325" s="5">
        <v>7860.531807612171</v>
      </c>
      <c r="I1325" s="5">
        <v>10012.131997854563</v>
      </c>
      <c r="J1325" s="5">
        <v>877.928256137184</v>
      </c>
      <c r="K1325" s="5">
        <f t="shared" si="3"/>
        <v>877.9282561</v>
      </c>
      <c r="L1325" s="5">
        <f t="shared" si="4"/>
        <v>0</v>
      </c>
      <c r="M1325" s="5">
        <v>219348.9328766219</v>
      </c>
      <c r="N1325" s="5">
        <f t="shared" si="5"/>
        <v>0</v>
      </c>
      <c r="O1325" s="5">
        <f t="shared" si="6"/>
        <v>219348.9329</v>
      </c>
      <c r="P1325" s="5">
        <f t="shared" si="9"/>
        <v>245928.3983</v>
      </c>
      <c r="Q1325" s="5">
        <f t="shared" si="7"/>
        <v>237189.9382</v>
      </c>
      <c r="R1325" s="5">
        <f t="shared" si="8"/>
        <v>8738.460064</v>
      </c>
    </row>
    <row r="1326" ht="15.75" customHeight="1">
      <c r="A1326" s="4">
        <v>2006.0</v>
      </c>
      <c r="B1326" s="4">
        <v>525.0</v>
      </c>
      <c r="C1326" s="4" t="s">
        <v>22</v>
      </c>
      <c r="D1326" s="5" t="s">
        <v>19</v>
      </c>
      <c r="E1326" s="5" t="str">
        <f t="shared" si="1"/>
        <v/>
      </c>
      <c r="F1326" s="5" t="str">
        <f t="shared" si="2"/>
        <v/>
      </c>
      <c r="G1326" s="5" t="s">
        <v>19</v>
      </c>
      <c r="H1326" s="5" t="s">
        <v>19</v>
      </c>
      <c r="I1326" s="5" t="s">
        <v>19</v>
      </c>
      <c r="J1326" s="5">
        <v>0.0</v>
      </c>
      <c r="K1326" s="5">
        <f t="shared" si="3"/>
        <v>0</v>
      </c>
      <c r="L1326" s="5">
        <f t="shared" si="4"/>
        <v>0</v>
      </c>
      <c r="M1326" s="5">
        <v>10272.970469159354</v>
      </c>
      <c r="N1326" s="5">
        <f t="shared" si="5"/>
        <v>0</v>
      </c>
      <c r="O1326" s="5">
        <f t="shared" si="6"/>
        <v>10272.97047</v>
      </c>
      <c r="P1326" s="5">
        <f t="shared" si="9"/>
        <v>10272.97047</v>
      </c>
      <c r="Q1326" s="5">
        <f t="shared" si="7"/>
        <v>10272.97047</v>
      </c>
      <c r="R1326" s="5">
        <f t="shared" si="8"/>
        <v>0</v>
      </c>
    </row>
    <row r="1327" ht="15.75" customHeight="1">
      <c r="A1327" s="4">
        <v>2006.0</v>
      </c>
      <c r="B1327" s="4">
        <v>526.0</v>
      </c>
      <c r="C1327" s="4" t="s">
        <v>22</v>
      </c>
      <c r="D1327" s="5" t="s">
        <v>19</v>
      </c>
      <c r="E1327" s="5" t="str">
        <f t="shared" si="1"/>
        <v/>
      </c>
      <c r="F1327" s="5" t="str">
        <f t="shared" si="2"/>
        <v/>
      </c>
      <c r="G1327" s="5" t="s">
        <v>19</v>
      </c>
      <c r="H1327" s="5" t="s">
        <v>19</v>
      </c>
      <c r="I1327" s="5" t="s">
        <v>19</v>
      </c>
      <c r="J1327" s="5">
        <v>0.0</v>
      </c>
      <c r="K1327" s="5">
        <f t="shared" si="3"/>
        <v>0</v>
      </c>
      <c r="L1327" s="5">
        <f t="shared" si="4"/>
        <v>0</v>
      </c>
      <c r="M1327" s="5">
        <v>0.0</v>
      </c>
      <c r="N1327" s="5">
        <f t="shared" si="5"/>
        <v>0</v>
      </c>
      <c r="O1327" s="5">
        <f t="shared" si="6"/>
        <v>0</v>
      </c>
      <c r="P1327" s="5">
        <f t="shared" si="9"/>
        <v>0</v>
      </c>
      <c r="Q1327" s="5">
        <f t="shared" si="7"/>
        <v>0</v>
      </c>
      <c r="R1327" s="5">
        <f t="shared" si="8"/>
        <v>0</v>
      </c>
    </row>
    <row r="1328" ht="15.75" customHeight="1">
      <c r="A1328" s="4">
        <v>2006.0</v>
      </c>
      <c r="B1328" s="4">
        <v>527.0</v>
      </c>
      <c r="C1328" s="4" t="s">
        <v>22</v>
      </c>
      <c r="D1328" s="5" t="s">
        <v>19</v>
      </c>
      <c r="E1328" s="5" t="str">
        <f t="shared" si="1"/>
        <v/>
      </c>
      <c r="F1328" s="5" t="str">
        <f t="shared" si="2"/>
        <v/>
      </c>
      <c r="G1328" s="5" t="s">
        <v>19</v>
      </c>
      <c r="H1328" s="5" t="s">
        <v>19</v>
      </c>
      <c r="I1328" s="5" t="s">
        <v>19</v>
      </c>
      <c r="J1328" s="5">
        <v>0.0</v>
      </c>
      <c r="K1328" s="5">
        <f t="shared" si="3"/>
        <v>0</v>
      </c>
      <c r="L1328" s="5">
        <f t="shared" si="4"/>
        <v>0</v>
      </c>
      <c r="M1328" s="5">
        <v>1961.9303011346046</v>
      </c>
      <c r="N1328" s="5">
        <f t="shared" si="5"/>
        <v>0</v>
      </c>
      <c r="O1328" s="5">
        <f t="shared" si="6"/>
        <v>1961.930301</v>
      </c>
      <c r="P1328" s="5">
        <f t="shared" si="9"/>
        <v>1961.930301</v>
      </c>
      <c r="Q1328" s="5">
        <f t="shared" si="7"/>
        <v>1961.930301</v>
      </c>
      <c r="R1328" s="5">
        <f t="shared" si="8"/>
        <v>0</v>
      </c>
    </row>
    <row r="1329" ht="15.75" customHeight="1">
      <c r="A1329" s="4">
        <v>2006.0</v>
      </c>
      <c r="B1329" s="4">
        <v>528.0</v>
      </c>
      <c r="C1329" s="4" t="s">
        <v>22</v>
      </c>
      <c r="D1329" s="5" t="s">
        <v>19</v>
      </c>
      <c r="E1329" s="5" t="str">
        <f t="shared" si="1"/>
        <v/>
      </c>
      <c r="F1329" s="5" t="str">
        <f t="shared" si="2"/>
        <v/>
      </c>
      <c r="G1329" s="5" t="s">
        <v>19</v>
      </c>
      <c r="H1329" s="5" t="s">
        <v>19</v>
      </c>
      <c r="I1329" s="5" t="s">
        <v>19</v>
      </c>
      <c r="J1329" s="5">
        <v>0.0</v>
      </c>
      <c r="K1329" s="5">
        <f t="shared" si="3"/>
        <v>0</v>
      </c>
      <c r="L1329" s="5">
        <f t="shared" si="4"/>
        <v>0</v>
      </c>
      <c r="M1329" s="5">
        <v>3787.530022305309</v>
      </c>
      <c r="N1329" s="5">
        <f t="shared" si="5"/>
        <v>0</v>
      </c>
      <c r="O1329" s="5">
        <f t="shared" si="6"/>
        <v>3787.530022</v>
      </c>
      <c r="P1329" s="5">
        <f t="shared" si="9"/>
        <v>3787.530022</v>
      </c>
      <c r="Q1329" s="5">
        <f t="shared" si="7"/>
        <v>3787.530022</v>
      </c>
      <c r="R1329" s="5">
        <f t="shared" si="8"/>
        <v>0</v>
      </c>
    </row>
    <row r="1330" ht="15.75" customHeight="1">
      <c r="A1330" s="4">
        <v>2005.0</v>
      </c>
      <c r="B1330" s="4">
        <v>100.0</v>
      </c>
      <c r="C1330" s="4" t="s">
        <v>18</v>
      </c>
      <c r="D1330" s="5">
        <v>1940.7074948220056</v>
      </c>
      <c r="E1330" s="5">
        <f t="shared" si="1"/>
        <v>0</v>
      </c>
      <c r="F1330" s="5">
        <f t="shared" si="2"/>
        <v>1940.707495</v>
      </c>
      <c r="G1330" s="5" t="s">
        <v>19</v>
      </c>
      <c r="H1330" s="5" t="s">
        <v>19</v>
      </c>
      <c r="I1330" s="5" t="s">
        <v>19</v>
      </c>
      <c r="J1330" s="5">
        <v>0.0</v>
      </c>
      <c r="K1330" s="5">
        <f t="shared" si="3"/>
        <v>0</v>
      </c>
      <c r="L1330" s="5">
        <f t="shared" si="4"/>
        <v>0</v>
      </c>
      <c r="M1330" s="5">
        <v>44282.164253888885</v>
      </c>
      <c r="N1330" s="5">
        <f t="shared" si="5"/>
        <v>0</v>
      </c>
      <c r="O1330" s="5">
        <f t="shared" si="6"/>
        <v>44282.16425</v>
      </c>
      <c r="P1330" s="5">
        <f t="shared" si="9"/>
        <v>46222.87175</v>
      </c>
      <c r="Q1330" s="5">
        <f t="shared" si="7"/>
        <v>46222.87175</v>
      </c>
      <c r="R1330" s="5">
        <f t="shared" si="8"/>
        <v>0</v>
      </c>
    </row>
    <row r="1331" ht="15.75" customHeight="1">
      <c r="A1331" s="4">
        <v>2005.0</v>
      </c>
      <c r="B1331" s="4">
        <v>101.0</v>
      </c>
      <c r="C1331" s="4" t="s">
        <v>18</v>
      </c>
      <c r="D1331" s="5">
        <v>15368.555066138073</v>
      </c>
      <c r="E1331" s="5">
        <f t="shared" si="1"/>
        <v>0</v>
      </c>
      <c r="F1331" s="5">
        <f t="shared" si="2"/>
        <v>15368.55507</v>
      </c>
      <c r="G1331" s="5">
        <v>11092.86348781014</v>
      </c>
      <c r="H1331" s="5">
        <v>7394.413958662352</v>
      </c>
      <c r="I1331" s="5">
        <v>3698.449529147788</v>
      </c>
      <c r="J1331" s="5">
        <v>561611.8462122763</v>
      </c>
      <c r="K1331" s="5">
        <f t="shared" si="3"/>
        <v>561611.8462</v>
      </c>
      <c r="L1331" s="5">
        <f t="shared" si="4"/>
        <v>0</v>
      </c>
      <c r="M1331" s="5">
        <v>441242.5524938889</v>
      </c>
      <c r="N1331" s="5">
        <f t="shared" si="5"/>
        <v>0</v>
      </c>
      <c r="O1331" s="5">
        <f t="shared" si="6"/>
        <v>441242.5525</v>
      </c>
      <c r="P1331" s="5">
        <f t="shared" si="9"/>
        <v>1029315.817</v>
      </c>
      <c r="Q1331" s="5">
        <f t="shared" si="7"/>
        <v>460309.5571</v>
      </c>
      <c r="R1331" s="5">
        <f t="shared" si="8"/>
        <v>569006.2602</v>
      </c>
    </row>
    <row r="1332" ht="15.75" customHeight="1">
      <c r="A1332" s="4">
        <v>2005.0</v>
      </c>
      <c r="B1332" s="4">
        <v>102.0</v>
      </c>
      <c r="C1332" s="4" t="s">
        <v>18</v>
      </c>
      <c r="D1332" s="5">
        <v>19885.650776024802</v>
      </c>
      <c r="E1332" s="5">
        <f t="shared" si="1"/>
        <v>0</v>
      </c>
      <c r="F1332" s="5">
        <f t="shared" si="2"/>
        <v>19885.65078</v>
      </c>
      <c r="G1332" s="5">
        <v>9857.147695188782</v>
      </c>
      <c r="H1332" s="5">
        <v>3721.560955736786</v>
      </c>
      <c r="I1332" s="5">
        <v>6135.5867394519955</v>
      </c>
      <c r="J1332" s="5">
        <v>3005.187767335491</v>
      </c>
      <c r="K1332" s="5">
        <f t="shared" si="3"/>
        <v>3005.187767</v>
      </c>
      <c r="L1332" s="5">
        <f t="shared" si="4"/>
        <v>0</v>
      </c>
      <c r="M1332" s="5">
        <v>73543.06273888887</v>
      </c>
      <c r="N1332" s="5">
        <f t="shared" si="5"/>
        <v>0</v>
      </c>
      <c r="O1332" s="5">
        <f t="shared" si="6"/>
        <v>73543.06274</v>
      </c>
      <c r="P1332" s="5">
        <f t="shared" si="9"/>
        <v>106291.049</v>
      </c>
      <c r="Q1332" s="5">
        <f t="shared" si="7"/>
        <v>99564.30025</v>
      </c>
      <c r="R1332" s="5">
        <f t="shared" si="8"/>
        <v>6726.748723</v>
      </c>
    </row>
    <row r="1333" ht="15.75" customHeight="1">
      <c r="A1333" s="4">
        <v>2005.0</v>
      </c>
      <c r="B1333" s="4">
        <v>103.0</v>
      </c>
      <c r="C1333" s="4" t="s">
        <v>18</v>
      </c>
      <c r="D1333" s="5">
        <v>10766.305864131602</v>
      </c>
      <c r="E1333" s="5">
        <f t="shared" si="1"/>
        <v>0</v>
      </c>
      <c r="F1333" s="5">
        <f t="shared" si="2"/>
        <v>10766.30586</v>
      </c>
      <c r="G1333" s="5">
        <v>3982.372162243797</v>
      </c>
      <c r="H1333" s="5">
        <v>1310.8900565264294</v>
      </c>
      <c r="I1333" s="5">
        <v>2671.4821057173676</v>
      </c>
      <c r="J1333" s="5">
        <v>0.0</v>
      </c>
      <c r="K1333" s="5">
        <f t="shared" si="3"/>
        <v>0</v>
      </c>
      <c r="L1333" s="5">
        <f t="shared" si="4"/>
        <v>0</v>
      </c>
      <c r="M1333" s="5">
        <v>9530.88045</v>
      </c>
      <c r="N1333" s="5">
        <f t="shared" si="5"/>
        <v>0</v>
      </c>
      <c r="O1333" s="5">
        <f t="shared" si="6"/>
        <v>9530.88045</v>
      </c>
      <c r="P1333" s="5">
        <f t="shared" si="9"/>
        <v>24279.55848</v>
      </c>
      <c r="Q1333" s="5">
        <f t="shared" si="7"/>
        <v>22968.66842</v>
      </c>
      <c r="R1333" s="5">
        <f t="shared" si="8"/>
        <v>1310.890057</v>
      </c>
    </row>
    <row r="1334" ht="15.75" customHeight="1">
      <c r="A1334" s="4">
        <v>2005.0</v>
      </c>
      <c r="B1334" s="4">
        <v>104.0</v>
      </c>
      <c r="C1334" s="4" t="s">
        <v>18</v>
      </c>
      <c r="D1334" s="5">
        <v>1326.8102260517796</v>
      </c>
      <c r="E1334" s="5">
        <f t="shared" si="1"/>
        <v>0</v>
      </c>
      <c r="F1334" s="5">
        <f t="shared" si="2"/>
        <v>1326.810226</v>
      </c>
      <c r="G1334" s="5" t="s">
        <v>19</v>
      </c>
      <c r="H1334" s="5" t="s">
        <v>19</v>
      </c>
      <c r="I1334" s="5" t="s">
        <v>19</v>
      </c>
      <c r="J1334" s="5">
        <v>9298.02391317152</v>
      </c>
      <c r="K1334" s="5">
        <f t="shared" si="3"/>
        <v>9298.023913</v>
      </c>
      <c r="L1334" s="5">
        <f t="shared" si="4"/>
        <v>0</v>
      </c>
      <c r="M1334" s="5">
        <v>1644.9941444444444</v>
      </c>
      <c r="N1334" s="5">
        <f t="shared" si="5"/>
        <v>0</v>
      </c>
      <c r="O1334" s="5">
        <f t="shared" si="6"/>
        <v>1644.994144</v>
      </c>
      <c r="P1334" s="5">
        <f t="shared" si="9"/>
        <v>12269.82828</v>
      </c>
      <c r="Q1334" s="5">
        <f t="shared" si="7"/>
        <v>2971.80437</v>
      </c>
      <c r="R1334" s="5">
        <f t="shared" si="8"/>
        <v>9298.023913</v>
      </c>
    </row>
    <row r="1335" ht="15.75" customHeight="1">
      <c r="A1335" s="4">
        <v>2005.0</v>
      </c>
      <c r="B1335" s="4">
        <v>105.0</v>
      </c>
      <c r="C1335" s="4" t="s">
        <v>18</v>
      </c>
      <c r="D1335" s="5">
        <v>17642.61537894821</v>
      </c>
      <c r="E1335" s="5">
        <f t="shared" si="1"/>
        <v>0</v>
      </c>
      <c r="F1335" s="5">
        <f t="shared" si="2"/>
        <v>17642.61538</v>
      </c>
      <c r="G1335" s="5">
        <v>2741.064895447681</v>
      </c>
      <c r="H1335" s="5">
        <v>1392.5255794778857</v>
      </c>
      <c r="I1335" s="5">
        <v>1348.5393159697953</v>
      </c>
      <c r="J1335" s="5">
        <v>61646.90767710895</v>
      </c>
      <c r="K1335" s="5">
        <f t="shared" si="3"/>
        <v>61646.90768</v>
      </c>
      <c r="L1335" s="5">
        <f t="shared" si="4"/>
        <v>0</v>
      </c>
      <c r="M1335" s="5">
        <v>27189.353533333328</v>
      </c>
      <c r="N1335" s="5">
        <f t="shared" si="5"/>
        <v>0</v>
      </c>
      <c r="O1335" s="5">
        <f t="shared" si="6"/>
        <v>27189.35353</v>
      </c>
      <c r="P1335" s="5">
        <f t="shared" si="9"/>
        <v>109219.9415</v>
      </c>
      <c r="Q1335" s="5">
        <f t="shared" si="7"/>
        <v>46180.50823</v>
      </c>
      <c r="R1335" s="5">
        <f t="shared" si="8"/>
        <v>63039.43326</v>
      </c>
    </row>
    <row r="1336" ht="15.75" customHeight="1">
      <c r="A1336" s="4">
        <v>2005.0</v>
      </c>
      <c r="B1336" s="4">
        <v>106.0</v>
      </c>
      <c r="C1336" s="4" t="s">
        <v>18</v>
      </c>
      <c r="D1336" s="5">
        <v>14161.88387548004</v>
      </c>
      <c r="E1336" s="5">
        <f t="shared" si="1"/>
        <v>0</v>
      </c>
      <c r="F1336" s="5">
        <f t="shared" si="2"/>
        <v>14161.88388</v>
      </c>
      <c r="G1336" s="5">
        <v>14815.542738381875</v>
      </c>
      <c r="H1336" s="5">
        <v>10589.13379215534</v>
      </c>
      <c r="I1336" s="5">
        <v>4226.408946226535</v>
      </c>
      <c r="J1336" s="5">
        <v>44219.81222620279</v>
      </c>
      <c r="K1336" s="5">
        <f t="shared" si="3"/>
        <v>44219.81223</v>
      </c>
      <c r="L1336" s="5">
        <f t="shared" si="4"/>
        <v>0</v>
      </c>
      <c r="M1336" s="5">
        <v>162498.81638611102</v>
      </c>
      <c r="N1336" s="5">
        <f t="shared" si="5"/>
        <v>0</v>
      </c>
      <c r="O1336" s="5">
        <f t="shared" si="6"/>
        <v>162498.8164</v>
      </c>
      <c r="P1336" s="5">
        <f t="shared" si="9"/>
        <v>235696.0552</v>
      </c>
      <c r="Q1336" s="5">
        <f t="shared" si="7"/>
        <v>180887.1092</v>
      </c>
      <c r="R1336" s="5">
        <f t="shared" si="8"/>
        <v>54808.94602</v>
      </c>
    </row>
    <row r="1337" ht="15.75" customHeight="1">
      <c r="A1337" s="4">
        <v>2005.0</v>
      </c>
      <c r="B1337" s="4">
        <v>107.0</v>
      </c>
      <c r="C1337" s="4" t="s">
        <v>18</v>
      </c>
      <c r="D1337" s="5">
        <v>9741.82354033441</v>
      </c>
      <c r="E1337" s="5">
        <f t="shared" si="1"/>
        <v>0</v>
      </c>
      <c r="F1337" s="5">
        <f t="shared" si="2"/>
        <v>9741.82354</v>
      </c>
      <c r="G1337" s="5">
        <v>540.5091702265372</v>
      </c>
      <c r="H1337" s="5">
        <v>344.80757411003236</v>
      </c>
      <c r="I1337" s="5">
        <v>195.70159611650485</v>
      </c>
      <c r="J1337" s="5">
        <v>14497.713351866238</v>
      </c>
      <c r="K1337" s="5">
        <f t="shared" si="3"/>
        <v>14497.71335</v>
      </c>
      <c r="L1337" s="5">
        <f t="shared" si="4"/>
        <v>0</v>
      </c>
      <c r="M1337" s="5">
        <v>122023.43984999997</v>
      </c>
      <c r="N1337" s="5">
        <f t="shared" si="5"/>
        <v>0</v>
      </c>
      <c r="O1337" s="5">
        <f t="shared" si="6"/>
        <v>122023.4399</v>
      </c>
      <c r="P1337" s="5">
        <f t="shared" si="9"/>
        <v>146803.4859</v>
      </c>
      <c r="Q1337" s="5">
        <f t="shared" si="7"/>
        <v>131960.965</v>
      </c>
      <c r="R1337" s="5">
        <f t="shared" si="8"/>
        <v>14842.52093</v>
      </c>
    </row>
    <row r="1338" ht="15.75" customHeight="1">
      <c r="A1338" s="4">
        <v>2005.0</v>
      </c>
      <c r="B1338" s="4">
        <v>108.0</v>
      </c>
      <c r="C1338" s="4" t="s">
        <v>18</v>
      </c>
      <c r="D1338" s="5">
        <v>12568.391395037752</v>
      </c>
      <c r="E1338" s="5">
        <f t="shared" si="1"/>
        <v>0</v>
      </c>
      <c r="F1338" s="5">
        <f t="shared" si="2"/>
        <v>12568.3914</v>
      </c>
      <c r="G1338" s="5">
        <v>4053.1975017907225</v>
      </c>
      <c r="H1338" s="5">
        <v>2817.6059641510246</v>
      </c>
      <c r="I1338" s="5">
        <v>1235.591537639698</v>
      </c>
      <c r="J1338" s="5">
        <v>16178.957536612728</v>
      </c>
      <c r="K1338" s="5">
        <f t="shared" si="3"/>
        <v>16178.95754</v>
      </c>
      <c r="L1338" s="5">
        <f t="shared" si="4"/>
        <v>0</v>
      </c>
      <c r="M1338" s="5">
        <v>55495.772857777745</v>
      </c>
      <c r="N1338" s="5">
        <f t="shared" si="5"/>
        <v>0</v>
      </c>
      <c r="O1338" s="5">
        <f t="shared" si="6"/>
        <v>55495.77286</v>
      </c>
      <c r="P1338" s="5">
        <f t="shared" si="9"/>
        <v>88296.31929</v>
      </c>
      <c r="Q1338" s="5">
        <f t="shared" si="7"/>
        <v>69299.75579</v>
      </c>
      <c r="R1338" s="5">
        <f t="shared" si="8"/>
        <v>18996.5635</v>
      </c>
    </row>
    <row r="1339" ht="15.75" customHeight="1">
      <c r="A1339" s="4">
        <v>2005.0</v>
      </c>
      <c r="B1339" s="4">
        <v>120.0</v>
      </c>
      <c r="C1339" s="4" t="s">
        <v>18</v>
      </c>
      <c r="D1339" s="5">
        <v>4648.456523311756</v>
      </c>
      <c r="E1339" s="5">
        <f t="shared" si="1"/>
        <v>0</v>
      </c>
      <c r="F1339" s="5">
        <f t="shared" si="2"/>
        <v>4648.456523</v>
      </c>
      <c r="G1339" s="5">
        <v>853.6317240129449</v>
      </c>
      <c r="H1339" s="5">
        <v>432.4073361812297</v>
      </c>
      <c r="I1339" s="5">
        <v>421.2243878317152</v>
      </c>
      <c r="J1339" s="5">
        <v>13548.452562891047</v>
      </c>
      <c r="K1339" s="5">
        <f t="shared" si="3"/>
        <v>13548.45256</v>
      </c>
      <c r="L1339" s="5">
        <f t="shared" si="4"/>
        <v>0</v>
      </c>
      <c r="M1339" s="5">
        <v>107805.89109333331</v>
      </c>
      <c r="N1339" s="5">
        <f t="shared" si="5"/>
        <v>0</v>
      </c>
      <c r="O1339" s="5">
        <f t="shared" si="6"/>
        <v>107805.8911</v>
      </c>
      <c r="P1339" s="5">
        <f t="shared" si="9"/>
        <v>126856.4319</v>
      </c>
      <c r="Q1339" s="5">
        <f t="shared" si="7"/>
        <v>112875.572</v>
      </c>
      <c r="R1339" s="5">
        <f t="shared" si="8"/>
        <v>13980.8599</v>
      </c>
    </row>
    <row r="1340" ht="15.75" customHeight="1">
      <c r="A1340" s="4">
        <v>2005.0</v>
      </c>
      <c r="B1340" s="4">
        <v>121.0</v>
      </c>
      <c r="C1340" s="4" t="s">
        <v>18</v>
      </c>
      <c r="D1340" s="5">
        <v>26144.762499120807</v>
      </c>
      <c r="E1340" s="5">
        <f t="shared" si="1"/>
        <v>0</v>
      </c>
      <c r="F1340" s="5">
        <f t="shared" si="2"/>
        <v>26144.7625</v>
      </c>
      <c r="G1340" s="5">
        <v>9768.926658209279</v>
      </c>
      <c r="H1340" s="5">
        <v>5170.746806852212</v>
      </c>
      <c r="I1340" s="5">
        <v>4598.179851357067</v>
      </c>
      <c r="J1340" s="5">
        <v>80504.17121394823</v>
      </c>
      <c r="K1340" s="5">
        <f t="shared" si="3"/>
        <v>80504.17121</v>
      </c>
      <c r="L1340" s="5">
        <f t="shared" si="4"/>
        <v>0</v>
      </c>
      <c r="M1340" s="5">
        <v>1555427.1693999995</v>
      </c>
      <c r="N1340" s="5">
        <f t="shared" si="5"/>
        <v>0</v>
      </c>
      <c r="O1340" s="5">
        <f t="shared" si="6"/>
        <v>1555427.169</v>
      </c>
      <c r="P1340" s="5">
        <f t="shared" si="9"/>
        <v>1671845.03</v>
      </c>
      <c r="Q1340" s="5">
        <f t="shared" si="7"/>
        <v>1586170.112</v>
      </c>
      <c r="R1340" s="5">
        <f t="shared" si="8"/>
        <v>85674.91802</v>
      </c>
    </row>
    <row r="1341" ht="15.75" customHeight="1">
      <c r="A1341" s="4">
        <v>2005.0</v>
      </c>
      <c r="B1341" s="4">
        <v>122.0</v>
      </c>
      <c r="C1341" s="4" t="s">
        <v>18</v>
      </c>
      <c r="D1341" s="5">
        <v>48978.44037442285</v>
      </c>
      <c r="E1341" s="5">
        <f t="shared" si="1"/>
        <v>0</v>
      </c>
      <c r="F1341" s="5">
        <f t="shared" si="2"/>
        <v>48978.44037</v>
      </c>
      <c r="G1341" s="5">
        <v>11148.778229557713</v>
      </c>
      <c r="H1341" s="5">
        <v>3718.9516011218984</v>
      </c>
      <c r="I1341" s="5">
        <v>7429.826628435814</v>
      </c>
      <c r="J1341" s="5">
        <v>2466.822670841424</v>
      </c>
      <c r="K1341" s="5">
        <f t="shared" si="3"/>
        <v>2466.822671</v>
      </c>
      <c r="L1341" s="5">
        <f t="shared" si="4"/>
        <v>0</v>
      </c>
      <c r="M1341" s="5">
        <v>194518.1231283333</v>
      </c>
      <c r="N1341" s="5">
        <f t="shared" si="5"/>
        <v>0</v>
      </c>
      <c r="O1341" s="5">
        <f t="shared" si="6"/>
        <v>194518.1231</v>
      </c>
      <c r="P1341" s="5">
        <f t="shared" si="9"/>
        <v>257112.1644</v>
      </c>
      <c r="Q1341" s="5">
        <f t="shared" si="7"/>
        <v>250926.3901</v>
      </c>
      <c r="R1341" s="5">
        <f t="shared" si="8"/>
        <v>6185.774272</v>
      </c>
    </row>
    <row r="1342" ht="15.75" customHeight="1">
      <c r="A1342" s="4">
        <v>2005.0</v>
      </c>
      <c r="B1342" s="4">
        <v>123.0</v>
      </c>
      <c r="C1342" s="4" t="s">
        <v>18</v>
      </c>
      <c r="D1342" s="5">
        <v>2647.0194062028036</v>
      </c>
      <c r="E1342" s="5">
        <f t="shared" si="1"/>
        <v>0</v>
      </c>
      <c r="F1342" s="5">
        <f t="shared" si="2"/>
        <v>2647.019406</v>
      </c>
      <c r="G1342" s="5" t="s">
        <v>19</v>
      </c>
      <c r="H1342" s="5" t="s">
        <v>19</v>
      </c>
      <c r="I1342" s="5" t="s">
        <v>19</v>
      </c>
      <c r="J1342" s="5">
        <v>0.0</v>
      </c>
      <c r="K1342" s="5">
        <f t="shared" si="3"/>
        <v>0</v>
      </c>
      <c r="L1342" s="5">
        <f t="shared" si="4"/>
        <v>0</v>
      </c>
      <c r="M1342" s="5">
        <v>3893.3846611111094</v>
      </c>
      <c r="N1342" s="5">
        <f t="shared" si="5"/>
        <v>0</v>
      </c>
      <c r="O1342" s="5">
        <f t="shared" si="6"/>
        <v>3893.384661</v>
      </c>
      <c r="P1342" s="5">
        <f t="shared" si="9"/>
        <v>6540.404067</v>
      </c>
      <c r="Q1342" s="5">
        <f t="shared" si="7"/>
        <v>6540.404067</v>
      </c>
      <c r="R1342" s="5">
        <f t="shared" si="8"/>
        <v>0</v>
      </c>
    </row>
    <row r="1343" ht="15.75" customHeight="1">
      <c r="A1343" s="4">
        <v>2005.0</v>
      </c>
      <c r="B1343" s="4">
        <v>124.0</v>
      </c>
      <c r="C1343" s="4" t="s">
        <v>18</v>
      </c>
      <c r="D1343" s="5" t="s">
        <v>19</v>
      </c>
      <c r="E1343" s="5" t="str">
        <f t="shared" si="1"/>
        <v/>
      </c>
      <c r="F1343" s="5" t="str">
        <f t="shared" si="2"/>
        <v/>
      </c>
      <c r="G1343" s="5" t="s">
        <v>19</v>
      </c>
      <c r="H1343" s="5" t="s">
        <v>19</v>
      </c>
      <c r="I1343" s="5" t="s">
        <v>19</v>
      </c>
      <c r="J1343" s="5">
        <v>0.0</v>
      </c>
      <c r="K1343" s="5">
        <f t="shared" si="3"/>
        <v>0</v>
      </c>
      <c r="L1343" s="5">
        <f t="shared" si="4"/>
        <v>0</v>
      </c>
      <c r="M1343" s="5">
        <v>50783.54280277777</v>
      </c>
      <c r="N1343" s="5">
        <f t="shared" si="5"/>
        <v>0</v>
      </c>
      <c r="O1343" s="5">
        <f t="shared" si="6"/>
        <v>50783.5428</v>
      </c>
      <c r="P1343" s="5">
        <f t="shared" si="9"/>
        <v>50783.5428</v>
      </c>
      <c r="Q1343" s="5">
        <f t="shared" si="7"/>
        <v>50783.5428</v>
      </c>
      <c r="R1343" s="5">
        <f t="shared" si="8"/>
        <v>0</v>
      </c>
    </row>
    <row r="1344" ht="15.75" customHeight="1">
      <c r="A1344" s="4">
        <v>2005.0</v>
      </c>
      <c r="B1344" s="4">
        <v>125.0</v>
      </c>
      <c r="C1344" s="4" t="s">
        <v>18</v>
      </c>
      <c r="D1344" s="5">
        <v>16980.53047510247</v>
      </c>
      <c r="E1344" s="5">
        <f t="shared" si="1"/>
        <v>0</v>
      </c>
      <c r="F1344" s="5">
        <f t="shared" si="2"/>
        <v>16980.53048</v>
      </c>
      <c r="G1344" s="5">
        <v>6438.271874778857</v>
      </c>
      <c r="H1344" s="5">
        <v>4202.303479784251</v>
      </c>
      <c r="I1344" s="5">
        <v>2235.9683949946057</v>
      </c>
      <c r="J1344" s="5">
        <v>12401.710765426105</v>
      </c>
      <c r="K1344" s="5">
        <f t="shared" si="3"/>
        <v>12401.71077</v>
      </c>
      <c r="L1344" s="5">
        <f t="shared" si="4"/>
        <v>0</v>
      </c>
      <c r="M1344" s="5">
        <v>424570.9020077776</v>
      </c>
      <c r="N1344" s="5">
        <f t="shared" si="5"/>
        <v>0</v>
      </c>
      <c r="O1344" s="5">
        <f t="shared" si="6"/>
        <v>424570.902</v>
      </c>
      <c r="P1344" s="5">
        <f t="shared" si="9"/>
        <v>460391.4151</v>
      </c>
      <c r="Q1344" s="5">
        <f t="shared" si="7"/>
        <v>443787.4009</v>
      </c>
      <c r="R1344" s="5">
        <f t="shared" si="8"/>
        <v>16604.01425</v>
      </c>
    </row>
    <row r="1345" ht="15.75" customHeight="1">
      <c r="A1345" s="4">
        <v>2005.0</v>
      </c>
      <c r="B1345" s="4">
        <v>126.0</v>
      </c>
      <c r="C1345" s="4" t="s">
        <v>18</v>
      </c>
      <c r="D1345" s="5">
        <v>5053.760741618122</v>
      </c>
      <c r="E1345" s="5">
        <f t="shared" si="1"/>
        <v>0</v>
      </c>
      <c r="F1345" s="5">
        <f t="shared" si="2"/>
        <v>5053.760742</v>
      </c>
      <c r="G1345" s="5">
        <v>2075.679468651564</v>
      </c>
      <c r="H1345" s="5">
        <v>1086.4855596461705</v>
      </c>
      <c r="I1345" s="5">
        <v>989.1939090053936</v>
      </c>
      <c r="J1345" s="5">
        <v>206.17210421790725</v>
      </c>
      <c r="K1345" s="5">
        <f t="shared" si="3"/>
        <v>206.1721042</v>
      </c>
      <c r="L1345" s="5">
        <f t="shared" si="4"/>
        <v>0</v>
      </c>
      <c r="M1345" s="5">
        <v>456784.96492777765</v>
      </c>
      <c r="N1345" s="5">
        <f t="shared" si="5"/>
        <v>0</v>
      </c>
      <c r="O1345" s="5">
        <f t="shared" si="6"/>
        <v>456784.9649</v>
      </c>
      <c r="P1345" s="5">
        <f t="shared" si="9"/>
        <v>464120.5772</v>
      </c>
      <c r="Q1345" s="5">
        <f t="shared" si="7"/>
        <v>462827.9196</v>
      </c>
      <c r="R1345" s="5">
        <f t="shared" si="8"/>
        <v>1292.657664</v>
      </c>
    </row>
    <row r="1346" ht="15.75" customHeight="1">
      <c r="A1346" s="4">
        <v>2005.0</v>
      </c>
      <c r="B1346" s="4">
        <v>127.0</v>
      </c>
      <c r="C1346" s="4" t="s">
        <v>18</v>
      </c>
      <c r="D1346" s="5">
        <v>3802.8625434250253</v>
      </c>
      <c r="E1346" s="5">
        <f t="shared" si="1"/>
        <v>0</v>
      </c>
      <c r="F1346" s="5">
        <f t="shared" si="2"/>
        <v>3802.862543</v>
      </c>
      <c r="G1346" s="5" t="s">
        <v>19</v>
      </c>
      <c r="H1346" s="5" t="s">
        <v>19</v>
      </c>
      <c r="I1346" s="5" t="s">
        <v>19</v>
      </c>
      <c r="J1346" s="5">
        <v>0.0</v>
      </c>
      <c r="K1346" s="5">
        <f t="shared" si="3"/>
        <v>0</v>
      </c>
      <c r="L1346" s="5">
        <f t="shared" si="4"/>
        <v>0</v>
      </c>
      <c r="M1346" s="5">
        <v>70412.18329166665</v>
      </c>
      <c r="N1346" s="5">
        <f t="shared" si="5"/>
        <v>0</v>
      </c>
      <c r="O1346" s="5">
        <f t="shared" si="6"/>
        <v>70412.18329</v>
      </c>
      <c r="P1346" s="5">
        <f t="shared" si="9"/>
        <v>74215.04584</v>
      </c>
      <c r="Q1346" s="5">
        <f t="shared" si="7"/>
        <v>74215.04584</v>
      </c>
      <c r="R1346" s="5">
        <f t="shared" si="8"/>
        <v>0</v>
      </c>
    </row>
    <row r="1347" ht="15.75" customHeight="1">
      <c r="A1347" s="4">
        <v>2005.0</v>
      </c>
      <c r="B1347" s="4">
        <v>128.0</v>
      </c>
      <c r="C1347" s="4" t="s">
        <v>18</v>
      </c>
      <c r="D1347" s="5">
        <v>4723.04834199029</v>
      </c>
      <c r="E1347" s="5">
        <f t="shared" si="1"/>
        <v>0</v>
      </c>
      <c r="F1347" s="5">
        <f t="shared" si="2"/>
        <v>4723.048342</v>
      </c>
      <c r="G1347" s="5" t="s">
        <v>19</v>
      </c>
      <c r="H1347" s="5" t="s">
        <v>19</v>
      </c>
      <c r="I1347" s="5" t="s">
        <v>19</v>
      </c>
      <c r="J1347" s="5">
        <v>0.0</v>
      </c>
      <c r="K1347" s="5">
        <f t="shared" si="3"/>
        <v>0</v>
      </c>
      <c r="L1347" s="5">
        <f t="shared" si="4"/>
        <v>0</v>
      </c>
      <c r="M1347" s="5">
        <v>5480.125841666664</v>
      </c>
      <c r="N1347" s="5">
        <f t="shared" si="5"/>
        <v>0</v>
      </c>
      <c r="O1347" s="5">
        <f t="shared" si="6"/>
        <v>5480.125842</v>
      </c>
      <c r="P1347" s="5">
        <f t="shared" si="9"/>
        <v>10203.17418</v>
      </c>
      <c r="Q1347" s="5">
        <f t="shared" si="7"/>
        <v>10203.17418</v>
      </c>
      <c r="R1347" s="5">
        <f t="shared" si="8"/>
        <v>0</v>
      </c>
    </row>
    <row r="1348" ht="15.75" customHeight="1">
      <c r="A1348" s="4">
        <v>2005.0</v>
      </c>
      <c r="B1348" s="4">
        <v>300.0</v>
      </c>
      <c r="C1348" s="4" t="s">
        <v>20</v>
      </c>
      <c r="D1348" s="5" t="s">
        <v>19</v>
      </c>
      <c r="E1348" s="5" t="str">
        <f t="shared" si="1"/>
        <v/>
      </c>
      <c r="F1348" s="5" t="str">
        <f t="shared" si="2"/>
        <v/>
      </c>
      <c r="G1348" s="5">
        <v>18660.667169795037</v>
      </c>
      <c r="H1348" s="5">
        <v>10884.510168425028</v>
      </c>
      <c r="I1348" s="5">
        <v>7776.157001370009</v>
      </c>
      <c r="J1348" s="5">
        <v>499042.990206699</v>
      </c>
      <c r="K1348" s="5">
        <f t="shared" si="3"/>
        <v>499042.9902</v>
      </c>
      <c r="L1348" s="5">
        <f t="shared" si="4"/>
        <v>0</v>
      </c>
      <c r="M1348" s="5">
        <v>2582.871083673138</v>
      </c>
      <c r="N1348" s="5">
        <f t="shared" si="5"/>
        <v>0</v>
      </c>
      <c r="O1348" s="5">
        <f t="shared" si="6"/>
        <v>2582.871084</v>
      </c>
      <c r="P1348" s="5">
        <f t="shared" si="9"/>
        <v>520286.5285</v>
      </c>
      <c r="Q1348" s="5">
        <f t="shared" si="7"/>
        <v>10359.02809</v>
      </c>
      <c r="R1348" s="5">
        <f t="shared" si="8"/>
        <v>509927.5004</v>
      </c>
    </row>
    <row r="1349" ht="15.75" customHeight="1">
      <c r="A1349" s="4">
        <v>2005.0</v>
      </c>
      <c r="B1349" s="4">
        <v>301.0</v>
      </c>
      <c r="C1349" s="4" t="s">
        <v>20</v>
      </c>
      <c r="D1349" s="5" t="s">
        <v>19</v>
      </c>
      <c r="E1349" s="5" t="str">
        <f t="shared" si="1"/>
        <v/>
      </c>
      <c r="F1349" s="5" t="str">
        <f t="shared" si="2"/>
        <v/>
      </c>
      <c r="G1349" s="5">
        <v>1771.6126719525355</v>
      </c>
      <c r="H1349" s="5">
        <v>1077.1117368176917</v>
      </c>
      <c r="I1349" s="5">
        <v>694.5009351348438</v>
      </c>
      <c r="J1349" s="5">
        <v>2185.2331951456313</v>
      </c>
      <c r="K1349" s="5">
        <f t="shared" si="3"/>
        <v>2185.233195</v>
      </c>
      <c r="L1349" s="5">
        <f t="shared" si="4"/>
        <v>0</v>
      </c>
      <c r="M1349" s="5">
        <v>0.0</v>
      </c>
      <c r="N1349" s="5">
        <f t="shared" si="5"/>
        <v>0</v>
      </c>
      <c r="O1349" s="5">
        <f t="shared" si="6"/>
        <v>0</v>
      </c>
      <c r="P1349" s="5">
        <f t="shared" si="9"/>
        <v>3956.845867</v>
      </c>
      <c r="Q1349" s="5">
        <f t="shared" si="7"/>
        <v>694.5009351</v>
      </c>
      <c r="R1349" s="5">
        <f t="shared" si="8"/>
        <v>3262.344932</v>
      </c>
    </row>
    <row r="1350" ht="15.75" customHeight="1">
      <c r="A1350" s="4">
        <v>2005.0</v>
      </c>
      <c r="B1350" s="4">
        <v>302.0</v>
      </c>
      <c r="C1350" s="4" t="s">
        <v>20</v>
      </c>
      <c r="D1350" s="5" t="s">
        <v>19</v>
      </c>
      <c r="E1350" s="5" t="str">
        <f t="shared" si="1"/>
        <v/>
      </c>
      <c r="F1350" s="5" t="str">
        <f t="shared" si="2"/>
        <v/>
      </c>
      <c r="G1350" s="5">
        <v>1015.2611185005395</v>
      </c>
      <c r="H1350" s="5">
        <v>682.7541122761597</v>
      </c>
      <c r="I1350" s="5">
        <v>332.5070062243798</v>
      </c>
      <c r="J1350" s="5">
        <v>48379.82511779936</v>
      </c>
      <c r="K1350" s="5">
        <f t="shared" si="3"/>
        <v>48379.82512</v>
      </c>
      <c r="L1350" s="5">
        <f t="shared" si="4"/>
        <v>0</v>
      </c>
      <c r="M1350" s="5">
        <v>3047.0495407766966</v>
      </c>
      <c r="N1350" s="5">
        <f t="shared" si="5"/>
        <v>0</v>
      </c>
      <c r="O1350" s="5">
        <f t="shared" si="6"/>
        <v>3047.049541</v>
      </c>
      <c r="P1350" s="5">
        <f t="shared" si="9"/>
        <v>52442.13578</v>
      </c>
      <c r="Q1350" s="5">
        <f t="shared" si="7"/>
        <v>3379.556547</v>
      </c>
      <c r="R1350" s="5">
        <f t="shared" si="8"/>
        <v>49062.57923</v>
      </c>
    </row>
    <row r="1351" ht="15.75" customHeight="1">
      <c r="A1351" s="4">
        <v>2005.0</v>
      </c>
      <c r="B1351" s="4">
        <v>303.0</v>
      </c>
      <c r="C1351" s="4" t="s">
        <v>20</v>
      </c>
      <c r="D1351" s="5">
        <v>33881.915929277224</v>
      </c>
      <c r="E1351" s="5">
        <f t="shared" si="1"/>
        <v>0</v>
      </c>
      <c r="F1351" s="5">
        <f t="shared" si="2"/>
        <v>33881.91593</v>
      </c>
      <c r="G1351" s="5">
        <v>2595.6882551510253</v>
      </c>
      <c r="H1351" s="5">
        <v>1314.205773700108</v>
      </c>
      <c r="I1351" s="5">
        <v>1281.4824814509172</v>
      </c>
      <c r="J1351" s="5">
        <v>12935.24747540453</v>
      </c>
      <c r="K1351" s="5">
        <f t="shared" si="3"/>
        <v>12935.24748</v>
      </c>
      <c r="L1351" s="5">
        <f t="shared" si="4"/>
        <v>0</v>
      </c>
      <c r="M1351" s="5">
        <v>8694.210543932037</v>
      </c>
      <c r="N1351" s="5">
        <f t="shared" si="5"/>
        <v>0</v>
      </c>
      <c r="O1351" s="5">
        <f t="shared" si="6"/>
        <v>8694.210544</v>
      </c>
      <c r="P1351" s="5">
        <f t="shared" si="9"/>
        <v>58107.0622</v>
      </c>
      <c r="Q1351" s="5">
        <f t="shared" si="7"/>
        <v>43857.60895</v>
      </c>
      <c r="R1351" s="5">
        <f t="shared" si="8"/>
        <v>14249.45325</v>
      </c>
    </row>
    <row r="1352" ht="15.75" customHeight="1">
      <c r="A1352" s="4">
        <v>2005.0</v>
      </c>
      <c r="B1352" s="4">
        <v>304.0</v>
      </c>
      <c r="C1352" s="4" t="s">
        <v>20</v>
      </c>
      <c r="D1352" s="5">
        <v>22430.54811917475</v>
      </c>
      <c r="E1352" s="5">
        <f t="shared" si="1"/>
        <v>0</v>
      </c>
      <c r="F1352" s="5">
        <f t="shared" si="2"/>
        <v>22430.54812</v>
      </c>
      <c r="G1352" s="5">
        <v>20461.047571197414</v>
      </c>
      <c r="H1352" s="5">
        <v>6447.567362944985</v>
      </c>
      <c r="I1352" s="5">
        <v>14013.48020825243</v>
      </c>
      <c r="J1352" s="5">
        <v>2372.334860873787</v>
      </c>
      <c r="K1352" s="5">
        <f t="shared" si="3"/>
        <v>2372.334861</v>
      </c>
      <c r="L1352" s="5">
        <f t="shared" si="4"/>
        <v>0</v>
      </c>
      <c r="M1352" s="5">
        <v>5357.822473576049</v>
      </c>
      <c r="N1352" s="5">
        <f t="shared" si="5"/>
        <v>0</v>
      </c>
      <c r="O1352" s="5">
        <f t="shared" si="6"/>
        <v>5357.822474</v>
      </c>
      <c r="P1352" s="5">
        <f t="shared" si="9"/>
        <v>50621.75302</v>
      </c>
      <c r="Q1352" s="5">
        <f t="shared" si="7"/>
        <v>41801.8508</v>
      </c>
      <c r="R1352" s="5">
        <f t="shared" si="8"/>
        <v>8819.902224</v>
      </c>
    </row>
    <row r="1353" ht="15.75" customHeight="1">
      <c r="A1353" s="4">
        <v>2005.0</v>
      </c>
      <c r="B1353" s="4">
        <v>305.0</v>
      </c>
      <c r="C1353" s="4" t="s">
        <v>20</v>
      </c>
      <c r="D1353" s="5">
        <v>84905.0918924757</v>
      </c>
      <c r="E1353" s="5">
        <f t="shared" si="1"/>
        <v>0</v>
      </c>
      <c r="F1353" s="5">
        <f t="shared" si="2"/>
        <v>84905.09189</v>
      </c>
      <c r="G1353" s="5">
        <v>10336.005460248114</v>
      </c>
      <c r="H1353" s="5">
        <v>4698.369546855449</v>
      </c>
      <c r="I1353" s="5">
        <v>5637.635913392665</v>
      </c>
      <c r="J1353" s="5">
        <v>8168.20172747573</v>
      </c>
      <c r="K1353" s="5">
        <f t="shared" si="3"/>
        <v>8168.201727</v>
      </c>
      <c r="L1353" s="5">
        <f t="shared" si="4"/>
        <v>0</v>
      </c>
      <c r="M1353" s="5">
        <v>17752.71778572815</v>
      </c>
      <c r="N1353" s="5">
        <f t="shared" si="5"/>
        <v>0</v>
      </c>
      <c r="O1353" s="5">
        <f t="shared" si="6"/>
        <v>17752.71779</v>
      </c>
      <c r="P1353" s="5">
        <f t="shared" si="9"/>
        <v>121162.0169</v>
      </c>
      <c r="Q1353" s="5">
        <f t="shared" si="7"/>
        <v>108295.4456</v>
      </c>
      <c r="R1353" s="5">
        <f t="shared" si="8"/>
        <v>12866.57127</v>
      </c>
    </row>
    <row r="1354" ht="15.75" customHeight="1">
      <c r="A1354" s="4">
        <v>2005.0</v>
      </c>
      <c r="B1354" s="4">
        <v>306.0</v>
      </c>
      <c r="C1354" s="4" t="s">
        <v>20</v>
      </c>
      <c r="D1354" s="5">
        <v>1352.8598777777772</v>
      </c>
      <c r="E1354" s="5">
        <f t="shared" si="1"/>
        <v>0</v>
      </c>
      <c r="F1354" s="5">
        <f t="shared" si="2"/>
        <v>1352.859878</v>
      </c>
      <c r="G1354" s="5" t="s">
        <v>19</v>
      </c>
      <c r="H1354" s="5" t="s">
        <v>19</v>
      </c>
      <c r="I1354" s="5" t="s">
        <v>19</v>
      </c>
      <c r="J1354" s="5">
        <v>157.10826893203887</v>
      </c>
      <c r="K1354" s="5">
        <f t="shared" si="3"/>
        <v>157.1082689</v>
      </c>
      <c r="L1354" s="5">
        <f t="shared" si="4"/>
        <v>0</v>
      </c>
      <c r="M1354" s="5">
        <v>20840.80692364077</v>
      </c>
      <c r="N1354" s="5">
        <f t="shared" si="5"/>
        <v>0</v>
      </c>
      <c r="O1354" s="5">
        <f t="shared" si="6"/>
        <v>20840.80692</v>
      </c>
      <c r="P1354" s="5">
        <f t="shared" si="9"/>
        <v>22350.77507</v>
      </c>
      <c r="Q1354" s="5">
        <f t="shared" si="7"/>
        <v>22193.6668</v>
      </c>
      <c r="R1354" s="5">
        <f t="shared" si="8"/>
        <v>157.1082689</v>
      </c>
    </row>
    <row r="1355" ht="15.75" customHeight="1">
      <c r="A1355" s="4">
        <v>2005.0</v>
      </c>
      <c r="B1355" s="4">
        <v>307.0</v>
      </c>
      <c r="C1355" s="4" t="s">
        <v>20</v>
      </c>
      <c r="D1355" s="5" t="s">
        <v>19</v>
      </c>
      <c r="E1355" s="5" t="str">
        <f t="shared" si="1"/>
        <v/>
      </c>
      <c r="F1355" s="5" t="str">
        <f t="shared" si="2"/>
        <v/>
      </c>
      <c r="G1355" s="5" t="s">
        <v>19</v>
      </c>
      <c r="H1355" s="5" t="s">
        <v>19</v>
      </c>
      <c r="I1355" s="5" t="s">
        <v>19</v>
      </c>
      <c r="J1355" s="5">
        <v>0.0</v>
      </c>
      <c r="K1355" s="5">
        <f t="shared" si="3"/>
        <v>0</v>
      </c>
      <c r="L1355" s="5">
        <f t="shared" si="4"/>
        <v>0</v>
      </c>
      <c r="M1355" s="5">
        <v>2387.41765987055</v>
      </c>
      <c r="N1355" s="5">
        <f t="shared" si="5"/>
        <v>0</v>
      </c>
      <c r="O1355" s="5">
        <f t="shared" si="6"/>
        <v>2387.41766</v>
      </c>
      <c r="P1355" s="5">
        <f t="shared" si="9"/>
        <v>2387.41766</v>
      </c>
      <c r="Q1355" s="5">
        <f t="shared" si="7"/>
        <v>2387.41766</v>
      </c>
      <c r="R1355" s="5">
        <f t="shared" si="8"/>
        <v>0</v>
      </c>
    </row>
    <row r="1356" ht="15.75" customHeight="1">
      <c r="A1356" s="4">
        <v>2005.0</v>
      </c>
      <c r="B1356" s="4">
        <v>308.0</v>
      </c>
      <c r="C1356" s="4" t="s">
        <v>20</v>
      </c>
      <c r="D1356" s="5">
        <v>20956.193543635378</v>
      </c>
      <c r="E1356" s="5">
        <f t="shared" si="1"/>
        <v>0</v>
      </c>
      <c r="F1356" s="5">
        <f t="shared" si="2"/>
        <v>20956.19354</v>
      </c>
      <c r="G1356" s="5">
        <v>10889.784252157498</v>
      </c>
      <c r="H1356" s="5">
        <v>3838.933629541533</v>
      </c>
      <c r="I1356" s="5">
        <v>7050.850622615966</v>
      </c>
      <c r="J1356" s="5">
        <v>7203.176087702265</v>
      </c>
      <c r="K1356" s="5">
        <f t="shared" si="3"/>
        <v>7203.176088</v>
      </c>
      <c r="L1356" s="5">
        <f t="shared" si="4"/>
        <v>0</v>
      </c>
      <c r="M1356" s="5">
        <v>31023.31189886731</v>
      </c>
      <c r="N1356" s="5">
        <f t="shared" si="5"/>
        <v>0</v>
      </c>
      <c r="O1356" s="5">
        <f t="shared" si="6"/>
        <v>31023.3119</v>
      </c>
      <c r="P1356" s="5">
        <f t="shared" si="9"/>
        <v>70072.46578</v>
      </c>
      <c r="Q1356" s="5">
        <f t="shared" si="7"/>
        <v>59030.35607</v>
      </c>
      <c r="R1356" s="5">
        <f t="shared" si="8"/>
        <v>11042.10972</v>
      </c>
    </row>
    <row r="1357" ht="15.75" customHeight="1">
      <c r="A1357" s="4">
        <v>2005.0</v>
      </c>
      <c r="B1357" s="4">
        <v>309.0</v>
      </c>
      <c r="C1357" s="4" t="s">
        <v>20</v>
      </c>
      <c r="D1357" s="5" t="s">
        <v>19</v>
      </c>
      <c r="E1357" s="5" t="str">
        <f t="shared" si="1"/>
        <v/>
      </c>
      <c r="F1357" s="5" t="str">
        <f t="shared" si="2"/>
        <v/>
      </c>
      <c r="G1357" s="5">
        <v>2646.0317816882416</v>
      </c>
      <c r="H1357" s="5">
        <v>1962.198879557713</v>
      </c>
      <c r="I1357" s="5">
        <v>683.8329021305285</v>
      </c>
      <c r="J1357" s="5">
        <v>1152.1273055016184</v>
      </c>
      <c r="K1357" s="5">
        <f t="shared" si="3"/>
        <v>1152.127306</v>
      </c>
      <c r="L1357" s="5">
        <f t="shared" si="4"/>
        <v>0</v>
      </c>
      <c r="M1357" s="5">
        <v>3101.3942127831697</v>
      </c>
      <c r="N1357" s="5">
        <f t="shared" si="5"/>
        <v>0</v>
      </c>
      <c r="O1357" s="5">
        <f t="shared" si="6"/>
        <v>3101.394213</v>
      </c>
      <c r="P1357" s="5">
        <f t="shared" si="9"/>
        <v>6899.5533</v>
      </c>
      <c r="Q1357" s="5">
        <f t="shared" si="7"/>
        <v>3785.227115</v>
      </c>
      <c r="R1357" s="5">
        <f t="shared" si="8"/>
        <v>3114.326185</v>
      </c>
    </row>
    <row r="1358" ht="15.75" customHeight="1">
      <c r="A1358" s="4">
        <v>2005.0</v>
      </c>
      <c r="B1358" s="4">
        <v>310.0</v>
      </c>
      <c r="C1358" s="4" t="s">
        <v>20</v>
      </c>
      <c r="D1358" s="5">
        <v>5477.112320711972</v>
      </c>
      <c r="E1358" s="5">
        <f t="shared" si="1"/>
        <v>0</v>
      </c>
      <c r="F1358" s="5">
        <f t="shared" si="2"/>
        <v>5477.112321</v>
      </c>
      <c r="G1358" s="5">
        <v>1947.815014832794</v>
      </c>
      <c r="H1358" s="5">
        <v>1446.7770602481123</v>
      </c>
      <c r="I1358" s="5">
        <v>501.03795458468176</v>
      </c>
      <c r="J1358" s="5">
        <v>4589.465795469256</v>
      </c>
      <c r="K1358" s="5">
        <f t="shared" si="3"/>
        <v>4589.465795</v>
      </c>
      <c r="L1358" s="5">
        <f t="shared" si="4"/>
        <v>0</v>
      </c>
      <c r="M1358" s="5">
        <v>3945.6105830906126</v>
      </c>
      <c r="N1358" s="5">
        <f t="shared" si="5"/>
        <v>0</v>
      </c>
      <c r="O1358" s="5">
        <f t="shared" si="6"/>
        <v>3945.610583</v>
      </c>
      <c r="P1358" s="5">
        <f t="shared" si="9"/>
        <v>15960.00371</v>
      </c>
      <c r="Q1358" s="5">
        <f t="shared" si="7"/>
        <v>9923.760858</v>
      </c>
      <c r="R1358" s="5">
        <f t="shared" si="8"/>
        <v>6036.242856</v>
      </c>
    </row>
    <row r="1359" ht="15.75" customHeight="1">
      <c r="A1359" s="4">
        <v>2005.0</v>
      </c>
      <c r="B1359" s="4">
        <v>311.0</v>
      </c>
      <c r="C1359" s="4" t="s">
        <v>20</v>
      </c>
      <c r="D1359" s="5" t="s">
        <v>19</v>
      </c>
      <c r="E1359" s="5" t="str">
        <f t="shared" si="1"/>
        <v/>
      </c>
      <c r="F1359" s="5" t="str">
        <f t="shared" si="2"/>
        <v/>
      </c>
      <c r="G1359" s="5">
        <v>1950.8116533171524</v>
      </c>
      <c r="H1359" s="5">
        <v>747.960965695793</v>
      </c>
      <c r="I1359" s="5">
        <v>1202.8506876213594</v>
      </c>
      <c r="J1359" s="5">
        <v>538.9289710032363</v>
      </c>
      <c r="K1359" s="5">
        <f t="shared" si="3"/>
        <v>538.928971</v>
      </c>
      <c r="L1359" s="5">
        <f t="shared" si="4"/>
        <v>0</v>
      </c>
      <c r="M1359" s="5">
        <v>2978.2754213754033</v>
      </c>
      <c r="N1359" s="5">
        <f t="shared" si="5"/>
        <v>0</v>
      </c>
      <c r="O1359" s="5">
        <f t="shared" si="6"/>
        <v>2978.275421</v>
      </c>
      <c r="P1359" s="5">
        <f t="shared" si="9"/>
        <v>5468.016046</v>
      </c>
      <c r="Q1359" s="5">
        <f t="shared" si="7"/>
        <v>4181.126109</v>
      </c>
      <c r="R1359" s="5">
        <f t="shared" si="8"/>
        <v>1286.889937</v>
      </c>
    </row>
    <row r="1360" ht="15.75" customHeight="1">
      <c r="A1360" s="4">
        <v>2005.0</v>
      </c>
      <c r="B1360" s="4">
        <v>312.0</v>
      </c>
      <c r="C1360" s="4" t="s">
        <v>20</v>
      </c>
      <c r="D1360" s="5" t="s">
        <v>19</v>
      </c>
      <c r="E1360" s="5" t="str">
        <f t="shared" si="1"/>
        <v/>
      </c>
      <c r="F1360" s="5" t="str">
        <f t="shared" si="2"/>
        <v/>
      </c>
      <c r="G1360" s="5" t="s">
        <v>19</v>
      </c>
      <c r="H1360" s="5" t="s">
        <v>19</v>
      </c>
      <c r="I1360" s="5" t="s">
        <v>19</v>
      </c>
      <c r="J1360" s="5">
        <v>656.9982155339807</v>
      </c>
      <c r="K1360" s="5">
        <f t="shared" si="3"/>
        <v>656.9982155</v>
      </c>
      <c r="L1360" s="5">
        <f t="shared" si="4"/>
        <v>0</v>
      </c>
      <c r="M1360" s="5">
        <v>708.3546902912619</v>
      </c>
      <c r="N1360" s="5">
        <f t="shared" si="5"/>
        <v>0</v>
      </c>
      <c r="O1360" s="5">
        <f t="shared" si="6"/>
        <v>708.3546903</v>
      </c>
      <c r="P1360" s="5">
        <f t="shared" si="9"/>
        <v>1365.352906</v>
      </c>
      <c r="Q1360" s="5">
        <f t="shared" si="7"/>
        <v>708.3546903</v>
      </c>
      <c r="R1360" s="5">
        <f t="shared" si="8"/>
        <v>656.9982155</v>
      </c>
    </row>
    <row r="1361" ht="15.75" customHeight="1">
      <c r="A1361" s="4">
        <v>2005.0</v>
      </c>
      <c r="B1361" s="4">
        <v>313.0</v>
      </c>
      <c r="C1361" s="4" t="s">
        <v>20</v>
      </c>
      <c r="D1361" s="5">
        <v>42706.37135534519</v>
      </c>
      <c r="E1361" s="5">
        <f t="shared" si="1"/>
        <v>0</v>
      </c>
      <c r="F1361" s="5">
        <f t="shared" si="2"/>
        <v>42706.37136</v>
      </c>
      <c r="G1361" s="5">
        <v>731.1797901833872</v>
      </c>
      <c r="H1361" s="5">
        <v>336.8221656418554</v>
      </c>
      <c r="I1361" s="5">
        <v>394.35762454153183</v>
      </c>
      <c r="J1361" s="5">
        <v>0.0</v>
      </c>
      <c r="K1361" s="5">
        <f t="shared" si="3"/>
        <v>0</v>
      </c>
      <c r="L1361" s="5">
        <f t="shared" si="4"/>
        <v>0</v>
      </c>
      <c r="M1361" s="5">
        <v>3973.719896197408</v>
      </c>
      <c r="N1361" s="5">
        <f t="shared" si="5"/>
        <v>0</v>
      </c>
      <c r="O1361" s="5">
        <f t="shared" si="6"/>
        <v>3973.719896</v>
      </c>
      <c r="P1361" s="5">
        <f t="shared" si="9"/>
        <v>47411.27104</v>
      </c>
      <c r="Q1361" s="5">
        <f t="shared" si="7"/>
        <v>47074.44888</v>
      </c>
      <c r="R1361" s="5">
        <f t="shared" si="8"/>
        <v>336.8221656</v>
      </c>
    </row>
    <row r="1362" ht="15.75" customHeight="1">
      <c r="A1362" s="4">
        <v>2005.0</v>
      </c>
      <c r="B1362" s="4">
        <v>314.0</v>
      </c>
      <c r="C1362" s="4" t="s">
        <v>20</v>
      </c>
      <c r="D1362" s="5">
        <v>12060.811483198484</v>
      </c>
      <c r="E1362" s="5">
        <f t="shared" si="1"/>
        <v>0</v>
      </c>
      <c r="F1362" s="5">
        <f t="shared" si="2"/>
        <v>12060.81148</v>
      </c>
      <c r="G1362" s="5">
        <v>1768.0167057713056</v>
      </c>
      <c r="H1362" s="5">
        <v>1151.907833387271</v>
      </c>
      <c r="I1362" s="5">
        <v>616.1088723840346</v>
      </c>
      <c r="J1362" s="5">
        <v>0.0</v>
      </c>
      <c r="K1362" s="5">
        <f t="shared" si="3"/>
        <v>0</v>
      </c>
      <c r="L1362" s="5">
        <f t="shared" si="4"/>
        <v>0</v>
      </c>
      <c r="M1362" s="5">
        <v>2724.7294171521025</v>
      </c>
      <c r="N1362" s="5">
        <f t="shared" si="5"/>
        <v>0</v>
      </c>
      <c r="O1362" s="5">
        <f t="shared" si="6"/>
        <v>2724.729417</v>
      </c>
      <c r="P1362" s="5">
        <f t="shared" si="9"/>
        <v>16553.55761</v>
      </c>
      <c r="Q1362" s="5">
        <f t="shared" si="7"/>
        <v>15401.64977</v>
      </c>
      <c r="R1362" s="5">
        <f t="shared" si="8"/>
        <v>1151.907833</v>
      </c>
    </row>
    <row r="1363" ht="15.75" customHeight="1">
      <c r="A1363" s="4">
        <v>2005.0</v>
      </c>
      <c r="B1363" s="4">
        <v>320.0</v>
      </c>
      <c r="C1363" s="4" t="s">
        <v>20</v>
      </c>
      <c r="D1363" s="5">
        <v>152816.0308445361</v>
      </c>
      <c r="E1363" s="5">
        <f t="shared" si="1"/>
        <v>0</v>
      </c>
      <c r="F1363" s="5">
        <f t="shared" si="2"/>
        <v>152816.0308</v>
      </c>
      <c r="G1363" s="5">
        <v>21200.018621440133</v>
      </c>
      <c r="H1363" s="5">
        <v>13540.610655420716</v>
      </c>
      <c r="I1363" s="5">
        <v>7659.407966019417</v>
      </c>
      <c r="J1363" s="5">
        <v>41047.15372964402</v>
      </c>
      <c r="K1363" s="5">
        <f t="shared" si="3"/>
        <v>41047.15373</v>
      </c>
      <c r="L1363" s="5">
        <f t="shared" si="4"/>
        <v>0</v>
      </c>
      <c r="M1363" s="5">
        <v>30867.77369967637</v>
      </c>
      <c r="N1363" s="5">
        <f t="shared" si="5"/>
        <v>0</v>
      </c>
      <c r="O1363" s="5">
        <f t="shared" si="6"/>
        <v>30867.7737</v>
      </c>
      <c r="P1363" s="5">
        <f t="shared" si="9"/>
        <v>245930.9769</v>
      </c>
      <c r="Q1363" s="5">
        <f t="shared" si="7"/>
        <v>191343.2125</v>
      </c>
      <c r="R1363" s="5">
        <f t="shared" si="8"/>
        <v>54587.76439</v>
      </c>
    </row>
    <row r="1364" ht="15.75" customHeight="1">
      <c r="A1364" s="4">
        <v>2005.0</v>
      </c>
      <c r="B1364" s="4">
        <v>321.0</v>
      </c>
      <c r="C1364" s="4" t="s">
        <v>20</v>
      </c>
      <c r="D1364" s="5">
        <v>56787.93518996223</v>
      </c>
      <c r="E1364" s="5">
        <f t="shared" si="1"/>
        <v>0</v>
      </c>
      <c r="F1364" s="5">
        <f t="shared" si="2"/>
        <v>56787.93519</v>
      </c>
      <c r="G1364" s="5">
        <v>8590.76320695793</v>
      </c>
      <c r="H1364" s="5">
        <v>5344.684535161812</v>
      </c>
      <c r="I1364" s="5">
        <v>3246.078671796118</v>
      </c>
      <c r="J1364" s="5">
        <v>2605.1407502912625</v>
      </c>
      <c r="K1364" s="5">
        <f t="shared" si="3"/>
        <v>2605.14075</v>
      </c>
      <c r="L1364" s="5">
        <f t="shared" si="4"/>
        <v>0</v>
      </c>
      <c r="M1364" s="5">
        <v>5214.277581310678</v>
      </c>
      <c r="N1364" s="5">
        <f t="shared" si="5"/>
        <v>0</v>
      </c>
      <c r="O1364" s="5">
        <f t="shared" si="6"/>
        <v>5214.277581</v>
      </c>
      <c r="P1364" s="5">
        <f t="shared" si="9"/>
        <v>73198.11673</v>
      </c>
      <c r="Q1364" s="5">
        <f t="shared" si="7"/>
        <v>65248.29144</v>
      </c>
      <c r="R1364" s="5">
        <f t="shared" si="8"/>
        <v>7949.825285</v>
      </c>
    </row>
    <row r="1365" ht="15.75" customHeight="1">
      <c r="A1365" s="4">
        <v>2005.0</v>
      </c>
      <c r="B1365" s="4">
        <v>322.0</v>
      </c>
      <c r="C1365" s="4" t="s">
        <v>20</v>
      </c>
      <c r="D1365" s="5">
        <v>3495.106926957928</v>
      </c>
      <c r="E1365" s="5">
        <f t="shared" si="1"/>
        <v>0</v>
      </c>
      <c r="F1365" s="5">
        <f t="shared" si="2"/>
        <v>3495.106927</v>
      </c>
      <c r="G1365" s="5" t="s">
        <v>19</v>
      </c>
      <c r="H1365" s="5" t="s">
        <v>19</v>
      </c>
      <c r="I1365" s="5" t="s">
        <v>19</v>
      </c>
      <c r="J1365" s="5">
        <v>0.0</v>
      </c>
      <c r="K1365" s="5">
        <f t="shared" si="3"/>
        <v>0</v>
      </c>
      <c r="L1365" s="5">
        <f t="shared" si="4"/>
        <v>0</v>
      </c>
      <c r="M1365" s="5">
        <v>7208.727043948218</v>
      </c>
      <c r="N1365" s="5">
        <f t="shared" si="5"/>
        <v>0</v>
      </c>
      <c r="O1365" s="5">
        <f t="shared" si="6"/>
        <v>7208.727044</v>
      </c>
      <c r="P1365" s="5">
        <f t="shared" si="9"/>
        <v>10703.83397</v>
      </c>
      <c r="Q1365" s="5">
        <f t="shared" si="7"/>
        <v>10703.83397</v>
      </c>
      <c r="R1365" s="5">
        <f t="shared" si="8"/>
        <v>0</v>
      </c>
    </row>
    <row r="1366" ht="15.75" customHeight="1">
      <c r="A1366" s="4">
        <v>2005.0</v>
      </c>
      <c r="B1366" s="4">
        <v>323.0</v>
      </c>
      <c r="C1366" s="4" t="s">
        <v>20</v>
      </c>
      <c r="D1366" s="5">
        <v>8297.759493069037</v>
      </c>
      <c r="E1366" s="5">
        <f t="shared" si="1"/>
        <v>0</v>
      </c>
      <c r="F1366" s="5">
        <f t="shared" si="2"/>
        <v>8297.759493</v>
      </c>
      <c r="G1366" s="5" t="s">
        <v>19</v>
      </c>
      <c r="H1366" s="5" t="s">
        <v>19</v>
      </c>
      <c r="I1366" s="5" t="s">
        <v>19</v>
      </c>
      <c r="J1366" s="5">
        <v>0.0</v>
      </c>
      <c r="K1366" s="5">
        <f t="shared" si="3"/>
        <v>0</v>
      </c>
      <c r="L1366" s="5">
        <f t="shared" si="4"/>
        <v>0</v>
      </c>
      <c r="M1366" s="5">
        <v>220060.87868254026</v>
      </c>
      <c r="N1366" s="5">
        <f t="shared" si="5"/>
        <v>0</v>
      </c>
      <c r="O1366" s="5">
        <f t="shared" si="6"/>
        <v>220060.8787</v>
      </c>
      <c r="P1366" s="5">
        <f t="shared" si="9"/>
        <v>228358.6382</v>
      </c>
      <c r="Q1366" s="5">
        <f t="shared" si="7"/>
        <v>228358.6382</v>
      </c>
      <c r="R1366" s="5">
        <f t="shared" si="8"/>
        <v>0</v>
      </c>
    </row>
    <row r="1367" ht="15.75" customHeight="1">
      <c r="A1367" s="4">
        <v>2005.0</v>
      </c>
      <c r="B1367" s="4">
        <v>324.0</v>
      </c>
      <c r="C1367" s="4" t="s">
        <v>20</v>
      </c>
      <c r="D1367" s="5">
        <v>5056.14961117044</v>
      </c>
      <c r="E1367" s="5">
        <f t="shared" si="1"/>
        <v>0</v>
      </c>
      <c r="F1367" s="5">
        <f t="shared" si="2"/>
        <v>5056.149611</v>
      </c>
      <c r="G1367" s="5" t="s">
        <v>19</v>
      </c>
      <c r="H1367" s="5" t="s">
        <v>19</v>
      </c>
      <c r="I1367" s="5" t="s">
        <v>19</v>
      </c>
      <c r="J1367" s="5">
        <v>0.0</v>
      </c>
      <c r="K1367" s="5">
        <f t="shared" si="3"/>
        <v>0</v>
      </c>
      <c r="L1367" s="5">
        <f t="shared" si="4"/>
        <v>0</v>
      </c>
      <c r="M1367" s="5">
        <v>33867.97438527507</v>
      </c>
      <c r="N1367" s="5">
        <f t="shared" si="5"/>
        <v>0</v>
      </c>
      <c r="O1367" s="5">
        <f t="shared" si="6"/>
        <v>33867.97439</v>
      </c>
      <c r="P1367" s="5">
        <f t="shared" si="9"/>
        <v>38924.124</v>
      </c>
      <c r="Q1367" s="5">
        <f t="shared" si="7"/>
        <v>38924.124</v>
      </c>
      <c r="R1367" s="5">
        <f t="shared" si="8"/>
        <v>0</v>
      </c>
    </row>
    <row r="1368" ht="15.75" customHeight="1">
      <c r="A1368" s="4">
        <v>2005.0</v>
      </c>
      <c r="B1368" s="4">
        <v>325.0</v>
      </c>
      <c r="C1368" s="4" t="s">
        <v>20</v>
      </c>
      <c r="D1368" s="5">
        <v>5587.442640841422</v>
      </c>
      <c r="E1368" s="5">
        <f t="shared" si="1"/>
        <v>0</v>
      </c>
      <c r="F1368" s="5">
        <f t="shared" si="2"/>
        <v>5587.442641</v>
      </c>
      <c r="G1368" s="5" t="s">
        <v>19</v>
      </c>
      <c r="H1368" s="5" t="s">
        <v>19</v>
      </c>
      <c r="I1368" s="5" t="s">
        <v>19</v>
      </c>
      <c r="J1368" s="5">
        <v>0.0</v>
      </c>
      <c r="K1368" s="5">
        <f t="shared" si="3"/>
        <v>0</v>
      </c>
      <c r="L1368" s="5">
        <f t="shared" si="4"/>
        <v>0</v>
      </c>
      <c r="M1368" s="5">
        <v>25579.100136343033</v>
      </c>
      <c r="N1368" s="5">
        <f t="shared" si="5"/>
        <v>0</v>
      </c>
      <c r="O1368" s="5">
        <f t="shared" si="6"/>
        <v>25579.10014</v>
      </c>
      <c r="P1368" s="5">
        <f t="shared" si="9"/>
        <v>31166.54278</v>
      </c>
      <c r="Q1368" s="5">
        <f t="shared" si="7"/>
        <v>31166.54278</v>
      </c>
      <c r="R1368" s="5">
        <f t="shared" si="8"/>
        <v>0</v>
      </c>
    </row>
    <row r="1369" ht="15.75" customHeight="1">
      <c r="A1369" s="4">
        <v>2005.0</v>
      </c>
      <c r="B1369" s="4">
        <v>326.0</v>
      </c>
      <c r="C1369" s="4" t="s">
        <v>20</v>
      </c>
      <c r="D1369" s="5" t="s">
        <v>19</v>
      </c>
      <c r="E1369" s="5" t="str">
        <f t="shared" si="1"/>
        <v/>
      </c>
      <c r="F1369" s="5" t="str">
        <f t="shared" si="2"/>
        <v/>
      </c>
      <c r="G1369" s="5" t="s">
        <v>19</v>
      </c>
      <c r="H1369" s="5" t="s">
        <v>19</v>
      </c>
      <c r="I1369" s="5" t="s">
        <v>19</v>
      </c>
      <c r="J1369" s="5">
        <v>0.0</v>
      </c>
      <c r="K1369" s="5">
        <f t="shared" si="3"/>
        <v>0</v>
      </c>
      <c r="L1369" s="5">
        <f t="shared" si="4"/>
        <v>0</v>
      </c>
      <c r="M1369" s="5">
        <v>17157.73732496763</v>
      </c>
      <c r="N1369" s="5">
        <f t="shared" si="5"/>
        <v>0</v>
      </c>
      <c r="O1369" s="5">
        <f t="shared" si="6"/>
        <v>17157.73732</v>
      </c>
      <c r="P1369" s="5">
        <f t="shared" si="9"/>
        <v>17157.73732</v>
      </c>
      <c r="Q1369" s="5">
        <f t="shared" si="7"/>
        <v>17157.73732</v>
      </c>
      <c r="R1369" s="5">
        <f t="shared" si="8"/>
        <v>0</v>
      </c>
    </row>
    <row r="1370" ht="15.75" customHeight="1">
      <c r="A1370" s="4">
        <v>2005.0</v>
      </c>
      <c r="B1370" s="4">
        <v>327.0</v>
      </c>
      <c r="C1370" s="4" t="s">
        <v>20</v>
      </c>
      <c r="D1370" s="5">
        <v>76578.43636318229</v>
      </c>
      <c r="E1370" s="5">
        <f t="shared" si="1"/>
        <v>0</v>
      </c>
      <c r="F1370" s="5">
        <f t="shared" si="2"/>
        <v>76578.43636</v>
      </c>
      <c r="G1370" s="5">
        <v>5866.219496979504</v>
      </c>
      <c r="H1370" s="5">
        <v>2500.155420269687</v>
      </c>
      <c r="I1370" s="5">
        <v>3366.0640767098166</v>
      </c>
      <c r="J1370" s="5">
        <v>0.0</v>
      </c>
      <c r="K1370" s="5">
        <f t="shared" si="3"/>
        <v>0</v>
      </c>
      <c r="L1370" s="5">
        <f t="shared" si="4"/>
        <v>0</v>
      </c>
      <c r="M1370" s="5">
        <v>67244.97276828476</v>
      </c>
      <c r="N1370" s="5">
        <f t="shared" si="5"/>
        <v>0</v>
      </c>
      <c r="O1370" s="5">
        <f t="shared" si="6"/>
        <v>67244.97277</v>
      </c>
      <c r="P1370" s="5">
        <f t="shared" si="9"/>
        <v>149689.6286</v>
      </c>
      <c r="Q1370" s="5">
        <f t="shared" si="7"/>
        <v>147189.4732</v>
      </c>
      <c r="R1370" s="5">
        <f t="shared" si="8"/>
        <v>2500.15542</v>
      </c>
    </row>
    <row r="1371" ht="15.75" customHeight="1">
      <c r="A1371" s="4">
        <v>2005.0</v>
      </c>
      <c r="B1371" s="4">
        <v>328.0</v>
      </c>
      <c r="C1371" s="4" t="s">
        <v>20</v>
      </c>
      <c r="D1371" s="5">
        <v>9408.286703419628</v>
      </c>
      <c r="E1371" s="5">
        <f t="shared" si="1"/>
        <v>0</v>
      </c>
      <c r="F1371" s="5">
        <f t="shared" si="2"/>
        <v>9408.286703</v>
      </c>
      <c r="G1371" s="5">
        <v>991.887338322546</v>
      </c>
      <c r="H1371" s="5">
        <v>590.3377814185545</v>
      </c>
      <c r="I1371" s="5">
        <v>401.5495569039915</v>
      </c>
      <c r="J1371" s="5">
        <v>128.54312912621359</v>
      </c>
      <c r="K1371" s="5">
        <f t="shared" si="3"/>
        <v>128.5431291</v>
      </c>
      <c r="L1371" s="5">
        <f t="shared" si="4"/>
        <v>0</v>
      </c>
      <c r="M1371" s="5">
        <v>137835.51598254038</v>
      </c>
      <c r="N1371" s="5">
        <f t="shared" si="5"/>
        <v>0</v>
      </c>
      <c r="O1371" s="5">
        <f t="shared" si="6"/>
        <v>137835.516</v>
      </c>
      <c r="P1371" s="5">
        <f t="shared" si="9"/>
        <v>148364.2332</v>
      </c>
      <c r="Q1371" s="5">
        <f t="shared" si="7"/>
        <v>147645.3522</v>
      </c>
      <c r="R1371" s="5">
        <f t="shared" si="8"/>
        <v>718.8809105</v>
      </c>
    </row>
    <row r="1372" ht="15.75" customHeight="1">
      <c r="A1372" s="4">
        <v>2005.0</v>
      </c>
      <c r="B1372" s="4">
        <v>331.0</v>
      </c>
      <c r="C1372" s="4" t="s">
        <v>20</v>
      </c>
      <c r="D1372" s="5">
        <v>244140.63987549616</v>
      </c>
      <c r="E1372" s="5">
        <f t="shared" si="1"/>
        <v>0</v>
      </c>
      <c r="F1372" s="5">
        <f t="shared" si="2"/>
        <v>244140.6399</v>
      </c>
      <c r="G1372" s="5">
        <v>194856.4174453884</v>
      </c>
      <c r="H1372" s="5">
        <v>42806.381421359234</v>
      </c>
      <c r="I1372" s="5">
        <v>152050.03602402916</v>
      </c>
      <c r="J1372" s="5">
        <v>1595.3630581553402</v>
      </c>
      <c r="K1372" s="5">
        <f t="shared" si="3"/>
        <v>1595.363058</v>
      </c>
      <c r="L1372" s="5">
        <f t="shared" si="4"/>
        <v>0</v>
      </c>
      <c r="M1372" s="5">
        <v>52823.9581673948</v>
      </c>
      <c r="N1372" s="5">
        <f t="shared" si="5"/>
        <v>0</v>
      </c>
      <c r="O1372" s="5">
        <f t="shared" si="6"/>
        <v>52823.95817</v>
      </c>
      <c r="P1372" s="5">
        <f t="shared" si="9"/>
        <v>493416.3785</v>
      </c>
      <c r="Q1372" s="5">
        <f t="shared" si="7"/>
        <v>449014.6341</v>
      </c>
      <c r="R1372" s="5">
        <f t="shared" si="8"/>
        <v>44401.74448</v>
      </c>
    </row>
    <row r="1373" ht="15.75" customHeight="1">
      <c r="A1373" s="4">
        <v>2005.0</v>
      </c>
      <c r="B1373" s="4">
        <v>332.0</v>
      </c>
      <c r="C1373" s="4" t="s">
        <v>20</v>
      </c>
      <c r="D1373" s="5" t="s">
        <v>19</v>
      </c>
      <c r="E1373" s="5" t="str">
        <f t="shared" si="1"/>
        <v/>
      </c>
      <c r="F1373" s="5" t="str">
        <f t="shared" si="2"/>
        <v/>
      </c>
      <c r="G1373" s="5" t="s">
        <v>19</v>
      </c>
      <c r="H1373" s="5" t="s">
        <v>19</v>
      </c>
      <c r="I1373" s="5" t="s">
        <v>19</v>
      </c>
      <c r="J1373" s="5">
        <v>0.0</v>
      </c>
      <c r="K1373" s="5">
        <f t="shared" si="3"/>
        <v>0</v>
      </c>
      <c r="L1373" s="5">
        <f t="shared" si="4"/>
        <v>0</v>
      </c>
      <c r="M1373" s="5">
        <v>20218.091940614875</v>
      </c>
      <c r="N1373" s="5">
        <f t="shared" si="5"/>
        <v>0</v>
      </c>
      <c r="O1373" s="5">
        <f t="shared" si="6"/>
        <v>20218.09194</v>
      </c>
      <c r="P1373" s="5">
        <f t="shared" si="9"/>
        <v>20218.09194</v>
      </c>
      <c r="Q1373" s="5">
        <f t="shared" si="7"/>
        <v>20218.09194</v>
      </c>
      <c r="R1373" s="5">
        <f t="shared" si="8"/>
        <v>0</v>
      </c>
    </row>
    <row r="1374" ht="15.75" customHeight="1">
      <c r="A1374" s="4">
        <v>2005.0</v>
      </c>
      <c r="B1374" s="4">
        <v>333.0</v>
      </c>
      <c r="C1374" s="4" t="s">
        <v>20</v>
      </c>
      <c r="D1374" s="5" t="s">
        <v>19</v>
      </c>
      <c r="E1374" s="5" t="str">
        <f t="shared" si="1"/>
        <v/>
      </c>
      <c r="F1374" s="5" t="str">
        <f t="shared" si="2"/>
        <v/>
      </c>
      <c r="G1374" s="5" t="s">
        <v>19</v>
      </c>
      <c r="H1374" s="5" t="s">
        <v>19</v>
      </c>
      <c r="I1374" s="5" t="s">
        <v>19</v>
      </c>
      <c r="J1374" s="5">
        <v>0.0</v>
      </c>
      <c r="K1374" s="5">
        <f t="shared" si="3"/>
        <v>0</v>
      </c>
      <c r="L1374" s="5">
        <f t="shared" si="4"/>
        <v>0</v>
      </c>
      <c r="M1374" s="5">
        <v>16672.57058074433</v>
      </c>
      <c r="N1374" s="5">
        <f t="shared" si="5"/>
        <v>0</v>
      </c>
      <c r="O1374" s="5">
        <f t="shared" si="6"/>
        <v>16672.57058</v>
      </c>
      <c r="P1374" s="5">
        <f t="shared" si="9"/>
        <v>16672.57058</v>
      </c>
      <c r="Q1374" s="5">
        <f t="shared" si="7"/>
        <v>16672.57058</v>
      </c>
      <c r="R1374" s="5">
        <f t="shared" si="8"/>
        <v>0</v>
      </c>
    </row>
    <row r="1375" ht="15.75" customHeight="1">
      <c r="A1375" s="4">
        <v>2005.0</v>
      </c>
      <c r="B1375" s="4">
        <v>400.0</v>
      </c>
      <c r="C1375" s="4" t="s">
        <v>21</v>
      </c>
      <c r="D1375" s="5" t="s">
        <v>19</v>
      </c>
      <c r="E1375" s="5" t="str">
        <f t="shared" si="1"/>
        <v/>
      </c>
      <c r="F1375" s="5" t="str">
        <f t="shared" si="2"/>
        <v/>
      </c>
      <c r="G1375" s="5" t="s">
        <v>19</v>
      </c>
      <c r="H1375" s="5" t="s">
        <v>19</v>
      </c>
      <c r="I1375" s="5" t="s">
        <v>19</v>
      </c>
      <c r="J1375" s="5">
        <v>63369.5611850917</v>
      </c>
      <c r="K1375" s="5">
        <f t="shared" si="3"/>
        <v>63369.56119</v>
      </c>
      <c r="L1375" s="5">
        <f t="shared" si="4"/>
        <v>0</v>
      </c>
      <c r="M1375" s="5">
        <v>820.032231553399</v>
      </c>
      <c r="N1375" s="5">
        <f t="shared" si="5"/>
        <v>0</v>
      </c>
      <c r="O1375" s="5">
        <f t="shared" si="6"/>
        <v>820.0322316</v>
      </c>
      <c r="P1375" s="5">
        <f t="shared" si="9"/>
        <v>64189.59342</v>
      </c>
      <c r="Q1375" s="5">
        <f t="shared" si="7"/>
        <v>820.0322316</v>
      </c>
      <c r="R1375" s="5">
        <f t="shared" si="8"/>
        <v>63369.56119</v>
      </c>
    </row>
    <row r="1376" ht="15.75" customHeight="1">
      <c r="A1376" s="4">
        <v>2005.0</v>
      </c>
      <c r="B1376" s="4">
        <v>401.0</v>
      </c>
      <c r="C1376" s="4" t="s">
        <v>21</v>
      </c>
      <c r="D1376" s="5">
        <v>762.9863642934192</v>
      </c>
      <c r="E1376" s="5">
        <f t="shared" si="1"/>
        <v>0</v>
      </c>
      <c r="F1376" s="5">
        <f t="shared" si="2"/>
        <v>762.9863643</v>
      </c>
      <c r="G1376" s="5">
        <v>9654.612075080906</v>
      </c>
      <c r="H1376" s="5">
        <v>7272.644076634304</v>
      </c>
      <c r="I1376" s="5">
        <v>2381.967998446602</v>
      </c>
      <c r="J1376" s="5">
        <v>338268.2589620551</v>
      </c>
      <c r="K1376" s="5">
        <f t="shared" si="3"/>
        <v>338268.259</v>
      </c>
      <c r="L1376" s="5">
        <f t="shared" si="4"/>
        <v>0</v>
      </c>
      <c r="M1376" s="5">
        <v>2522.9551964563125</v>
      </c>
      <c r="N1376" s="5">
        <f t="shared" si="5"/>
        <v>0</v>
      </c>
      <c r="O1376" s="5">
        <f t="shared" si="6"/>
        <v>2522.955196</v>
      </c>
      <c r="P1376" s="5">
        <f t="shared" si="9"/>
        <v>351208.8126</v>
      </c>
      <c r="Q1376" s="5">
        <f t="shared" si="7"/>
        <v>5667.909559</v>
      </c>
      <c r="R1376" s="5">
        <f t="shared" si="8"/>
        <v>345540.903</v>
      </c>
    </row>
    <row r="1377" ht="15.75" customHeight="1">
      <c r="A1377" s="4">
        <v>2005.0</v>
      </c>
      <c r="B1377" s="4">
        <v>402.0</v>
      </c>
      <c r="C1377" s="4" t="s">
        <v>21</v>
      </c>
      <c r="D1377" s="5">
        <v>137.72550474110025</v>
      </c>
      <c r="E1377" s="5">
        <f t="shared" si="1"/>
        <v>0</v>
      </c>
      <c r="F1377" s="5">
        <f t="shared" si="2"/>
        <v>137.7255047</v>
      </c>
      <c r="G1377" s="5">
        <v>5120.547794261058</v>
      </c>
      <c r="H1377" s="5">
        <v>3601.4063884703346</v>
      </c>
      <c r="I1377" s="5">
        <v>1519.1414057907232</v>
      </c>
      <c r="J1377" s="5">
        <v>242206.61108593855</v>
      </c>
      <c r="K1377" s="5">
        <f t="shared" si="3"/>
        <v>242206.6111</v>
      </c>
      <c r="L1377" s="5">
        <f t="shared" si="4"/>
        <v>0</v>
      </c>
      <c r="M1377" s="5">
        <v>8026.105351165053</v>
      </c>
      <c r="N1377" s="5">
        <f t="shared" si="5"/>
        <v>0</v>
      </c>
      <c r="O1377" s="5">
        <f t="shared" si="6"/>
        <v>8026.105351</v>
      </c>
      <c r="P1377" s="5">
        <f t="shared" si="9"/>
        <v>255490.9897</v>
      </c>
      <c r="Q1377" s="5">
        <f t="shared" si="7"/>
        <v>9682.972262</v>
      </c>
      <c r="R1377" s="5">
        <f t="shared" si="8"/>
        <v>245808.0175</v>
      </c>
    </row>
    <row r="1378" ht="15.75" customHeight="1">
      <c r="A1378" s="4">
        <v>2005.0</v>
      </c>
      <c r="B1378" s="4">
        <v>403.0</v>
      </c>
      <c r="C1378" s="4" t="s">
        <v>21</v>
      </c>
      <c r="D1378" s="5">
        <v>9725.489750285864</v>
      </c>
      <c r="E1378" s="5">
        <f t="shared" si="1"/>
        <v>0</v>
      </c>
      <c r="F1378" s="5">
        <f t="shared" si="2"/>
        <v>9725.48975</v>
      </c>
      <c r="G1378" s="5">
        <v>58374.990384466015</v>
      </c>
      <c r="H1378" s="5">
        <v>39450.459657527506</v>
      </c>
      <c r="I1378" s="5">
        <v>18924.53072693851</v>
      </c>
      <c r="J1378" s="5">
        <v>449380.5751173949</v>
      </c>
      <c r="K1378" s="5">
        <f t="shared" si="3"/>
        <v>449380.5751</v>
      </c>
      <c r="L1378" s="5">
        <f t="shared" si="4"/>
        <v>0</v>
      </c>
      <c r="M1378" s="5">
        <v>40537.8838825243</v>
      </c>
      <c r="N1378" s="5">
        <f t="shared" si="5"/>
        <v>0</v>
      </c>
      <c r="O1378" s="5">
        <f t="shared" si="6"/>
        <v>40537.88388</v>
      </c>
      <c r="P1378" s="5">
        <f t="shared" si="9"/>
        <v>558018.9391</v>
      </c>
      <c r="Q1378" s="5">
        <f t="shared" si="7"/>
        <v>69187.90436</v>
      </c>
      <c r="R1378" s="5">
        <f t="shared" si="8"/>
        <v>488831.0348</v>
      </c>
    </row>
    <row r="1379" ht="15.75" customHeight="1">
      <c r="A1379" s="4">
        <v>2005.0</v>
      </c>
      <c r="B1379" s="4">
        <v>404.0</v>
      </c>
      <c r="C1379" s="4" t="s">
        <v>21</v>
      </c>
      <c r="D1379" s="5">
        <v>7265.8286233602985</v>
      </c>
      <c r="E1379" s="5">
        <f t="shared" si="1"/>
        <v>0</v>
      </c>
      <c r="F1379" s="5">
        <f t="shared" si="2"/>
        <v>7265.828623</v>
      </c>
      <c r="G1379" s="5">
        <v>4711.74890459547</v>
      </c>
      <c r="H1379" s="5">
        <v>2185.148107495146</v>
      </c>
      <c r="I1379" s="5">
        <v>2526.6007971003237</v>
      </c>
      <c r="J1379" s="5">
        <v>378148.0405154855</v>
      </c>
      <c r="K1379" s="5">
        <f t="shared" si="3"/>
        <v>378148.0405</v>
      </c>
      <c r="L1379" s="5">
        <f t="shared" si="4"/>
        <v>0</v>
      </c>
      <c r="M1379" s="5">
        <v>13307.0703785437</v>
      </c>
      <c r="N1379" s="5">
        <f t="shared" si="5"/>
        <v>0</v>
      </c>
      <c r="O1379" s="5">
        <f t="shared" si="6"/>
        <v>13307.07038</v>
      </c>
      <c r="P1379" s="5">
        <f t="shared" si="9"/>
        <v>403432.6884</v>
      </c>
      <c r="Q1379" s="5">
        <f t="shared" si="7"/>
        <v>23099.4998</v>
      </c>
      <c r="R1379" s="5">
        <f t="shared" si="8"/>
        <v>380333.1886</v>
      </c>
    </row>
    <row r="1380" ht="15.75" customHeight="1">
      <c r="A1380" s="4">
        <v>2005.0</v>
      </c>
      <c r="B1380" s="4">
        <v>405.0</v>
      </c>
      <c r="C1380" s="4" t="s">
        <v>21</v>
      </c>
      <c r="D1380" s="5">
        <v>6850.712313295575</v>
      </c>
      <c r="E1380" s="5">
        <f t="shared" si="1"/>
        <v>0</v>
      </c>
      <c r="F1380" s="5">
        <f t="shared" si="2"/>
        <v>6850.712313</v>
      </c>
      <c r="G1380" s="5">
        <v>4337.120134886732</v>
      </c>
      <c r="H1380" s="5">
        <v>2155.3269118964404</v>
      </c>
      <c r="I1380" s="5">
        <v>2181.7932229902913</v>
      </c>
      <c r="J1380" s="5">
        <v>81366.38936237326</v>
      </c>
      <c r="K1380" s="5">
        <f t="shared" si="3"/>
        <v>81366.38936</v>
      </c>
      <c r="L1380" s="5">
        <f t="shared" si="4"/>
        <v>0</v>
      </c>
      <c r="M1380" s="5">
        <v>9319.437638543692</v>
      </c>
      <c r="N1380" s="5">
        <f t="shared" si="5"/>
        <v>0</v>
      </c>
      <c r="O1380" s="5">
        <f t="shared" si="6"/>
        <v>9319.437639</v>
      </c>
      <c r="P1380" s="5">
        <f t="shared" si="9"/>
        <v>101873.6594</v>
      </c>
      <c r="Q1380" s="5">
        <f t="shared" si="7"/>
        <v>18351.94317</v>
      </c>
      <c r="R1380" s="5">
        <f t="shared" si="8"/>
        <v>83521.71627</v>
      </c>
    </row>
    <row r="1381" ht="15.75" customHeight="1">
      <c r="A1381" s="4">
        <v>2005.0</v>
      </c>
      <c r="B1381" s="4">
        <v>406.0</v>
      </c>
      <c r="C1381" s="4" t="s">
        <v>21</v>
      </c>
      <c r="D1381" s="5" t="s">
        <v>19</v>
      </c>
      <c r="E1381" s="5" t="str">
        <f t="shared" si="1"/>
        <v/>
      </c>
      <c r="F1381" s="5" t="str">
        <f t="shared" si="2"/>
        <v/>
      </c>
      <c r="G1381" s="5" t="s">
        <v>19</v>
      </c>
      <c r="H1381" s="5" t="s">
        <v>19</v>
      </c>
      <c r="I1381" s="5" t="s">
        <v>19</v>
      </c>
      <c r="J1381" s="5">
        <v>58885.31876247574</v>
      </c>
      <c r="K1381" s="5">
        <f t="shared" si="3"/>
        <v>58885.31876</v>
      </c>
      <c r="L1381" s="5">
        <f t="shared" si="4"/>
        <v>0</v>
      </c>
      <c r="M1381" s="5">
        <v>811.5234665048547</v>
      </c>
      <c r="N1381" s="5">
        <f t="shared" si="5"/>
        <v>0</v>
      </c>
      <c r="O1381" s="5">
        <f t="shared" si="6"/>
        <v>811.5234665</v>
      </c>
      <c r="P1381" s="5">
        <f t="shared" si="9"/>
        <v>59696.84223</v>
      </c>
      <c r="Q1381" s="5">
        <f t="shared" si="7"/>
        <v>811.5234665</v>
      </c>
      <c r="R1381" s="5">
        <f t="shared" si="8"/>
        <v>58885.31876</v>
      </c>
    </row>
    <row r="1382" ht="15.75" customHeight="1">
      <c r="A1382" s="4">
        <v>2005.0</v>
      </c>
      <c r="B1382" s="4">
        <v>407.0</v>
      </c>
      <c r="C1382" s="4" t="s">
        <v>21</v>
      </c>
      <c r="D1382" s="5">
        <v>1209.139407820927</v>
      </c>
      <c r="E1382" s="5">
        <f t="shared" si="1"/>
        <v>0</v>
      </c>
      <c r="F1382" s="5">
        <f t="shared" si="2"/>
        <v>1209.139408</v>
      </c>
      <c r="G1382" s="5">
        <v>15190.79278299892</v>
      </c>
      <c r="H1382" s="5">
        <v>11927.111434683928</v>
      </c>
      <c r="I1382" s="5">
        <v>3263.6813483149926</v>
      </c>
      <c r="J1382" s="5">
        <v>193965.34715516178</v>
      </c>
      <c r="K1382" s="5">
        <f t="shared" si="3"/>
        <v>193965.3472</v>
      </c>
      <c r="L1382" s="5">
        <f t="shared" si="4"/>
        <v>0</v>
      </c>
      <c r="M1382" s="5">
        <v>2277.158246116507</v>
      </c>
      <c r="N1382" s="5">
        <f t="shared" si="5"/>
        <v>0</v>
      </c>
      <c r="O1382" s="5">
        <f t="shared" si="6"/>
        <v>2277.158246</v>
      </c>
      <c r="P1382" s="5">
        <f t="shared" si="9"/>
        <v>212642.4376</v>
      </c>
      <c r="Q1382" s="5">
        <f t="shared" si="7"/>
        <v>6749.979002</v>
      </c>
      <c r="R1382" s="5">
        <f t="shared" si="8"/>
        <v>205892.4586</v>
      </c>
    </row>
    <row r="1383" ht="15.75" customHeight="1">
      <c r="A1383" s="4">
        <v>2005.0</v>
      </c>
      <c r="B1383" s="4">
        <v>408.0</v>
      </c>
      <c r="C1383" s="4" t="s">
        <v>21</v>
      </c>
      <c r="D1383" s="5">
        <v>14732.749415614882</v>
      </c>
      <c r="E1383" s="5">
        <f t="shared" si="1"/>
        <v>0</v>
      </c>
      <c r="F1383" s="5">
        <f t="shared" si="2"/>
        <v>14732.74942</v>
      </c>
      <c r="G1383" s="5">
        <v>2658.435332642934</v>
      </c>
      <c r="H1383" s="5">
        <v>1791.2598156289105</v>
      </c>
      <c r="I1383" s="5">
        <v>867.1755170140236</v>
      </c>
      <c r="J1383" s="5">
        <v>42689.38927843582</v>
      </c>
      <c r="K1383" s="5">
        <f t="shared" si="3"/>
        <v>42689.38928</v>
      </c>
      <c r="L1383" s="5">
        <f t="shared" si="4"/>
        <v>0</v>
      </c>
      <c r="M1383" s="5">
        <v>1770.8867257281563</v>
      </c>
      <c r="N1383" s="5">
        <f t="shared" si="5"/>
        <v>0</v>
      </c>
      <c r="O1383" s="5">
        <f t="shared" si="6"/>
        <v>1770.886726</v>
      </c>
      <c r="P1383" s="5">
        <f t="shared" si="9"/>
        <v>61851.46075</v>
      </c>
      <c r="Q1383" s="5">
        <f t="shared" si="7"/>
        <v>17370.81166</v>
      </c>
      <c r="R1383" s="5">
        <f t="shared" si="8"/>
        <v>44480.64909</v>
      </c>
    </row>
    <row r="1384" ht="15.75" customHeight="1">
      <c r="A1384" s="4">
        <v>2005.0</v>
      </c>
      <c r="B1384" s="4">
        <v>409.0</v>
      </c>
      <c r="C1384" s="4" t="s">
        <v>21</v>
      </c>
      <c r="D1384" s="5">
        <v>6326.967436111108</v>
      </c>
      <c r="E1384" s="5">
        <f t="shared" si="1"/>
        <v>0</v>
      </c>
      <c r="F1384" s="5">
        <f t="shared" si="2"/>
        <v>6326.967436</v>
      </c>
      <c r="G1384" s="5">
        <v>4976.412015533981</v>
      </c>
      <c r="H1384" s="5">
        <v>3606.500842718447</v>
      </c>
      <c r="I1384" s="5">
        <v>1369.9111728155335</v>
      </c>
      <c r="J1384" s="5">
        <v>196398.03347098705</v>
      </c>
      <c r="K1384" s="5">
        <f t="shared" si="3"/>
        <v>196398.0335</v>
      </c>
      <c r="L1384" s="5">
        <f t="shared" si="4"/>
        <v>0</v>
      </c>
      <c r="M1384" s="5">
        <v>1770.3549279126219</v>
      </c>
      <c r="N1384" s="5">
        <f t="shared" si="5"/>
        <v>0</v>
      </c>
      <c r="O1384" s="5">
        <f t="shared" si="6"/>
        <v>1770.354928</v>
      </c>
      <c r="P1384" s="5">
        <f t="shared" si="9"/>
        <v>209471.7679</v>
      </c>
      <c r="Q1384" s="5">
        <f t="shared" si="7"/>
        <v>9467.233537</v>
      </c>
      <c r="R1384" s="5">
        <f t="shared" si="8"/>
        <v>200004.5343</v>
      </c>
    </row>
    <row r="1385" ht="15.75" customHeight="1">
      <c r="A1385" s="4">
        <v>2005.0</v>
      </c>
      <c r="B1385" s="4">
        <v>420.0</v>
      </c>
      <c r="C1385" s="4" t="s">
        <v>21</v>
      </c>
      <c r="D1385" s="5">
        <v>1674.6904097626746</v>
      </c>
      <c r="E1385" s="5">
        <f t="shared" si="1"/>
        <v>0</v>
      </c>
      <c r="F1385" s="5">
        <f t="shared" si="2"/>
        <v>1674.69041</v>
      </c>
      <c r="G1385" s="5" t="s">
        <v>19</v>
      </c>
      <c r="H1385" s="5" t="s">
        <v>19</v>
      </c>
      <c r="I1385" s="5" t="s">
        <v>19</v>
      </c>
      <c r="J1385" s="5">
        <v>0.0</v>
      </c>
      <c r="K1385" s="5">
        <f t="shared" si="3"/>
        <v>0</v>
      </c>
      <c r="L1385" s="5">
        <f t="shared" si="4"/>
        <v>0</v>
      </c>
      <c r="M1385" s="5">
        <v>26680.828203155354</v>
      </c>
      <c r="N1385" s="5">
        <f t="shared" si="5"/>
        <v>0</v>
      </c>
      <c r="O1385" s="5">
        <f t="shared" si="6"/>
        <v>26680.8282</v>
      </c>
      <c r="P1385" s="5">
        <f t="shared" si="9"/>
        <v>28355.51861</v>
      </c>
      <c r="Q1385" s="5">
        <f t="shared" si="7"/>
        <v>28355.51861</v>
      </c>
      <c r="R1385" s="5">
        <f t="shared" si="8"/>
        <v>0</v>
      </c>
    </row>
    <row r="1386" ht="15.75" customHeight="1">
      <c r="A1386" s="4">
        <v>2005.0</v>
      </c>
      <c r="B1386" s="4">
        <v>421.0</v>
      </c>
      <c r="C1386" s="4" t="s">
        <v>21</v>
      </c>
      <c r="D1386" s="5" t="s">
        <v>19</v>
      </c>
      <c r="E1386" s="5" t="str">
        <f t="shared" si="1"/>
        <v/>
      </c>
      <c r="F1386" s="5" t="str">
        <f t="shared" si="2"/>
        <v/>
      </c>
      <c r="G1386" s="5" t="s">
        <v>19</v>
      </c>
      <c r="H1386" s="5" t="s">
        <v>19</v>
      </c>
      <c r="I1386" s="5" t="s">
        <v>19</v>
      </c>
      <c r="J1386" s="5">
        <v>0.0</v>
      </c>
      <c r="K1386" s="5">
        <f t="shared" si="3"/>
        <v>0</v>
      </c>
      <c r="L1386" s="5">
        <f t="shared" si="4"/>
        <v>0</v>
      </c>
      <c r="M1386" s="5">
        <v>261043.2746324758</v>
      </c>
      <c r="N1386" s="5">
        <f t="shared" si="5"/>
        <v>0</v>
      </c>
      <c r="O1386" s="5">
        <f t="shared" si="6"/>
        <v>261043.2746</v>
      </c>
      <c r="P1386" s="5">
        <f t="shared" si="9"/>
        <v>261043.2746</v>
      </c>
      <c r="Q1386" s="5">
        <f t="shared" si="7"/>
        <v>261043.2746</v>
      </c>
      <c r="R1386" s="5">
        <f t="shared" si="8"/>
        <v>0</v>
      </c>
    </row>
    <row r="1387" ht="15.75" customHeight="1">
      <c r="A1387" s="4">
        <v>2005.0</v>
      </c>
      <c r="B1387" s="4">
        <v>422.0</v>
      </c>
      <c r="C1387" s="4" t="s">
        <v>21</v>
      </c>
      <c r="D1387" s="5" t="s">
        <v>19</v>
      </c>
      <c r="E1387" s="5" t="str">
        <f t="shared" si="1"/>
        <v/>
      </c>
      <c r="F1387" s="5" t="str">
        <f t="shared" si="2"/>
        <v/>
      </c>
      <c r="G1387" s="5" t="s">
        <v>19</v>
      </c>
      <c r="H1387" s="5" t="s">
        <v>19</v>
      </c>
      <c r="I1387" s="5" t="s">
        <v>19</v>
      </c>
      <c r="J1387" s="5">
        <v>8022.907811283711</v>
      </c>
      <c r="K1387" s="5">
        <f t="shared" si="3"/>
        <v>8022.907811</v>
      </c>
      <c r="L1387" s="5">
        <f t="shared" si="4"/>
        <v>0</v>
      </c>
      <c r="M1387" s="5">
        <v>69148.39363912627</v>
      </c>
      <c r="N1387" s="5">
        <f t="shared" si="5"/>
        <v>0</v>
      </c>
      <c r="O1387" s="5">
        <f t="shared" si="6"/>
        <v>69148.39364</v>
      </c>
      <c r="P1387" s="5">
        <f t="shared" si="9"/>
        <v>77171.30145</v>
      </c>
      <c r="Q1387" s="5">
        <f t="shared" si="7"/>
        <v>69148.39364</v>
      </c>
      <c r="R1387" s="5">
        <f t="shared" si="8"/>
        <v>8022.907811</v>
      </c>
    </row>
    <row r="1388" ht="15.75" customHeight="1">
      <c r="A1388" s="4">
        <v>2005.0</v>
      </c>
      <c r="B1388" s="4">
        <v>423.0</v>
      </c>
      <c r="C1388" s="4" t="s">
        <v>21</v>
      </c>
      <c r="D1388" s="5">
        <v>9099.582292119736</v>
      </c>
      <c r="E1388" s="5">
        <f t="shared" si="1"/>
        <v>0</v>
      </c>
      <c r="F1388" s="5">
        <f t="shared" si="2"/>
        <v>9099.582292</v>
      </c>
      <c r="G1388" s="5">
        <v>2938.630316289105</v>
      </c>
      <c r="H1388" s="5">
        <v>1663.1529295361383</v>
      </c>
      <c r="I1388" s="5">
        <v>1275.4773867529666</v>
      </c>
      <c r="J1388" s="5">
        <v>68072.66120013484</v>
      </c>
      <c r="K1388" s="5">
        <f t="shared" si="3"/>
        <v>68072.6612</v>
      </c>
      <c r="L1388" s="5">
        <f t="shared" si="4"/>
        <v>0</v>
      </c>
      <c r="M1388" s="5">
        <v>319714.18770995154</v>
      </c>
      <c r="N1388" s="5">
        <f t="shared" si="5"/>
        <v>0</v>
      </c>
      <c r="O1388" s="5">
        <f t="shared" si="6"/>
        <v>319714.1877</v>
      </c>
      <c r="P1388" s="5">
        <f t="shared" si="9"/>
        <v>399825.0615</v>
      </c>
      <c r="Q1388" s="5">
        <f t="shared" si="7"/>
        <v>330089.2474</v>
      </c>
      <c r="R1388" s="5">
        <f t="shared" si="8"/>
        <v>69735.81413</v>
      </c>
    </row>
    <row r="1389" ht="15.75" customHeight="1">
      <c r="A1389" s="4">
        <v>2005.0</v>
      </c>
      <c r="B1389" s="4">
        <v>424.0</v>
      </c>
      <c r="C1389" s="4" t="s">
        <v>21</v>
      </c>
      <c r="D1389" s="5">
        <v>14333.151472281545</v>
      </c>
      <c r="E1389" s="5">
        <f t="shared" si="1"/>
        <v>0</v>
      </c>
      <c r="F1389" s="5">
        <f t="shared" si="2"/>
        <v>14333.15147</v>
      </c>
      <c r="G1389" s="5">
        <v>1799.833409363538</v>
      </c>
      <c r="H1389" s="5">
        <v>576.1703499633226</v>
      </c>
      <c r="I1389" s="5">
        <v>1223.6630594002154</v>
      </c>
      <c r="J1389" s="5">
        <v>0.0</v>
      </c>
      <c r="K1389" s="5">
        <f t="shared" si="3"/>
        <v>0</v>
      </c>
      <c r="L1389" s="5">
        <f t="shared" si="4"/>
        <v>0</v>
      </c>
      <c r="M1389" s="5">
        <v>58534.34739844664</v>
      </c>
      <c r="N1389" s="5">
        <f t="shared" si="5"/>
        <v>0</v>
      </c>
      <c r="O1389" s="5">
        <f t="shared" si="6"/>
        <v>58534.3474</v>
      </c>
      <c r="P1389" s="5">
        <f t="shared" si="9"/>
        <v>74667.33228</v>
      </c>
      <c r="Q1389" s="5">
        <f t="shared" si="7"/>
        <v>74091.16193</v>
      </c>
      <c r="R1389" s="5">
        <f t="shared" si="8"/>
        <v>576.17035</v>
      </c>
    </row>
    <row r="1390" ht="15.75" customHeight="1">
      <c r="A1390" s="4">
        <v>2005.0</v>
      </c>
      <c r="B1390" s="4">
        <v>425.0</v>
      </c>
      <c r="C1390" s="4" t="s">
        <v>21</v>
      </c>
      <c r="D1390" s="5">
        <v>3395.935919719525</v>
      </c>
      <c r="E1390" s="5">
        <f t="shared" si="1"/>
        <v>0</v>
      </c>
      <c r="F1390" s="5">
        <f t="shared" si="2"/>
        <v>3395.93592</v>
      </c>
      <c r="G1390" s="5">
        <v>507.5816000862999</v>
      </c>
      <c r="H1390" s="5">
        <v>161.15871121467097</v>
      </c>
      <c r="I1390" s="5">
        <v>346.4228888716289</v>
      </c>
      <c r="J1390" s="5">
        <v>0.0</v>
      </c>
      <c r="K1390" s="5">
        <f t="shared" si="3"/>
        <v>0</v>
      </c>
      <c r="L1390" s="5">
        <f t="shared" si="4"/>
        <v>0</v>
      </c>
      <c r="M1390" s="5">
        <v>218691.322041602</v>
      </c>
      <c r="N1390" s="5">
        <f t="shared" si="5"/>
        <v>0</v>
      </c>
      <c r="O1390" s="5">
        <f t="shared" si="6"/>
        <v>218691.322</v>
      </c>
      <c r="P1390" s="5">
        <f t="shared" si="9"/>
        <v>222594.8396</v>
      </c>
      <c r="Q1390" s="5">
        <f t="shared" si="7"/>
        <v>222433.6809</v>
      </c>
      <c r="R1390" s="5">
        <f t="shared" si="8"/>
        <v>161.1587112</v>
      </c>
    </row>
    <row r="1391" ht="15.75" customHeight="1">
      <c r="A1391" s="4">
        <v>2005.0</v>
      </c>
      <c r="B1391" s="4">
        <v>426.0</v>
      </c>
      <c r="C1391" s="4" t="s">
        <v>21</v>
      </c>
      <c r="D1391" s="5" t="s">
        <v>19</v>
      </c>
      <c r="E1391" s="5" t="str">
        <f t="shared" si="1"/>
        <v/>
      </c>
      <c r="F1391" s="5" t="str">
        <f t="shared" si="2"/>
        <v/>
      </c>
      <c r="G1391" s="5" t="s">
        <v>19</v>
      </c>
      <c r="H1391" s="5" t="s">
        <v>19</v>
      </c>
      <c r="I1391" s="5" t="s">
        <v>19</v>
      </c>
      <c r="J1391" s="5">
        <v>0.0</v>
      </c>
      <c r="K1391" s="5">
        <f t="shared" si="3"/>
        <v>0</v>
      </c>
      <c r="L1391" s="5">
        <f t="shared" si="4"/>
        <v>0</v>
      </c>
      <c r="M1391" s="5">
        <v>326275.5091580099</v>
      </c>
      <c r="N1391" s="5">
        <f t="shared" si="5"/>
        <v>0</v>
      </c>
      <c r="O1391" s="5">
        <f t="shared" si="6"/>
        <v>326275.5092</v>
      </c>
      <c r="P1391" s="5">
        <f t="shared" si="9"/>
        <v>326275.5092</v>
      </c>
      <c r="Q1391" s="5">
        <f t="shared" si="7"/>
        <v>326275.5092</v>
      </c>
      <c r="R1391" s="5">
        <f t="shared" si="8"/>
        <v>0</v>
      </c>
    </row>
    <row r="1392" ht="15.75" customHeight="1">
      <c r="A1392" s="4">
        <v>2005.0</v>
      </c>
      <c r="B1392" s="4">
        <v>427.0</v>
      </c>
      <c r="C1392" s="4" t="s">
        <v>21</v>
      </c>
      <c r="D1392" s="5" t="s">
        <v>19</v>
      </c>
      <c r="E1392" s="5" t="str">
        <f t="shared" si="1"/>
        <v/>
      </c>
      <c r="F1392" s="5" t="str">
        <f t="shared" si="2"/>
        <v/>
      </c>
      <c r="G1392" s="5" t="s">
        <v>19</v>
      </c>
      <c r="H1392" s="5" t="s">
        <v>19</v>
      </c>
      <c r="I1392" s="5" t="s">
        <v>19</v>
      </c>
      <c r="J1392" s="5">
        <v>0.0</v>
      </c>
      <c r="K1392" s="5">
        <f t="shared" si="3"/>
        <v>0</v>
      </c>
      <c r="L1392" s="5">
        <f t="shared" si="4"/>
        <v>0</v>
      </c>
      <c r="M1392" s="5">
        <v>293171.52057927195</v>
      </c>
      <c r="N1392" s="5">
        <f t="shared" si="5"/>
        <v>0</v>
      </c>
      <c r="O1392" s="5">
        <f t="shared" si="6"/>
        <v>293171.5206</v>
      </c>
      <c r="P1392" s="5">
        <f t="shared" si="9"/>
        <v>293171.5206</v>
      </c>
      <c r="Q1392" s="5">
        <f t="shared" si="7"/>
        <v>293171.5206</v>
      </c>
      <c r="R1392" s="5">
        <f t="shared" si="8"/>
        <v>0</v>
      </c>
    </row>
    <row r="1393" ht="15.75" customHeight="1">
      <c r="A1393" s="4">
        <v>2005.0</v>
      </c>
      <c r="B1393" s="4">
        <v>428.0</v>
      </c>
      <c r="C1393" s="4" t="s">
        <v>21</v>
      </c>
      <c r="D1393" s="5">
        <v>5066.1001391855425</v>
      </c>
      <c r="E1393" s="5">
        <f t="shared" si="1"/>
        <v>0</v>
      </c>
      <c r="F1393" s="5">
        <f t="shared" si="2"/>
        <v>5066.100139</v>
      </c>
      <c r="G1393" s="5">
        <v>1466.2087836030205</v>
      </c>
      <c r="H1393" s="5">
        <v>770.3808862998922</v>
      </c>
      <c r="I1393" s="5">
        <v>695.8278973031283</v>
      </c>
      <c r="J1393" s="5">
        <v>137.95510633764832</v>
      </c>
      <c r="K1393" s="5">
        <f t="shared" si="3"/>
        <v>137.9551063</v>
      </c>
      <c r="L1393" s="5">
        <f t="shared" si="4"/>
        <v>0</v>
      </c>
      <c r="M1393" s="5">
        <v>45755.884048543725</v>
      </c>
      <c r="N1393" s="5">
        <f t="shared" si="5"/>
        <v>0</v>
      </c>
      <c r="O1393" s="5">
        <f t="shared" si="6"/>
        <v>45755.88405</v>
      </c>
      <c r="P1393" s="5">
        <f t="shared" si="9"/>
        <v>52426.14808</v>
      </c>
      <c r="Q1393" s="5">
        <f t="shared" si="7"/>
        <v>51517.81209</v>
      </c>
      <c r="R1393" s="5">
        <f t="shared" si="8"/>
        <v>908.3359926</v>
      </c>
    </row>
    <row r="1394" ht="15.75" customHeight="1">
      <c r="A1394" s="4">
        <v>2005.0</v>
      </c>
      <c r="B1394" s="4">
        <v>429.0</v>
      </c>
      <c r="C1394" s="4" t="s">
        <v>21</v>
      </c>
      <c r="D1394" s="5">
        <v>19080.478494859755</v>
      </c>
      <c r="E1394" s="5">
        <f t="shared" si="1"/>
        <v>0</v>
      </c>
      <c r="F1394" s="5">
        <f t="shared" si="2"/>
        <v>19080.47849</v>
      </c>
      <c r="G1394" s="5">
        <v>2271.3810647680693</v>
      </c>
      <c r="H1394" s="5">
        <v>1499.8818836332257</v>
      </c>
      <c r="I1394" s="5">
        <v>771.4991811348436</v>
      </c>
      <c r="J1394" s="5">
        <v>310.0482559385114</v>
      </c>
      <c r="K1394" s="5">
        <f t="shared" si="3"/>
        <v>310.0482559</v>
      </c>
      <c r="L1394" s="5">
        <f t="shared" si="4"/>
        <v>0</v>
      </c>
      <c r="M1394" s="5">
        <v>16294.391427524271</v>
      </c>
      <c r="N1394" s="5">
        <f t="shared" si="5"/>
        <v>0</v>
      </c>
      <c r="O1394" s="5">
        <f t="shared" si="6"/>
        <v>16294.39143</v>
      </c>
      <c r="P1394" s="5">
        <f t="shared" si="9"/>
        <v>37956.29924</v>
      </c>
      <c r="Q1394" s="5">
        <f t="shared" si="7"/>
        <v>36146.3691</v>
      </c>
      <c r="R1394" s="5">
        <f t="shared" si="8"/>
        <v>1809.93014</v>
      </c>
    </row>
    <row r="1395" ht="15.75" customHeight="1">
      <c r="A1395" s="4">
        <v>2005.0</v>
      </c>
      <c r="B1395" s="4">
        <v>500.0</v>
      </c>
      <c r="C1395" s="4" t="s">
        <v>22</v>
      </c>
      <c r="D1395" s="5">
        <v>5612.29026067961</v>
      </c>
      <c r="E1395" s="5">
        <f t="shared" si="1"/>
        <v>0</v>
      </c>
      <c r="F1395" s="5">
        <f t="shared" si="2"/>
        <v>5612.290261</v>
      </c>
      <c r="G1395" s="5">
        <v>7881.226743743258</v>
      </c>
      <c r="H1395" s="5">
        <v>4288.606668133765</v>
      </c>
      <c r="I1395" s="5">
        <v>3592.620075609493</v>
      </c>
      <c r="J1395" s="5">
        <v>1260629.0025450434</v>
      </c>
      <c r="K1395" s="5">
        <f t="shared" si="3"/>
        <v>1260629.003</v>
      </c>
      <c r="L1395" s="5">
        <f t="shared" si="4"/>
        <v>0</v>
      </c>
      <c r="M1395" s="5">
        <v>50276.384952696855</v>
      </c>
      <c r="N1395" s="5">
        <f t="shared" si="5"/>
        <v>0</v>
      </c>
      <c r="O1395" s="5">
        <f t="shared" si="6"/>
        <v>50276.38495</v>
      </c>
      <c r="P1395" s="5">
        <f t="shared" si="9"/>
        <v>1324398.905</v>
      </c>
      <c r="Q1395" s="5">
        <f t="shared" si="7"/>
        <v>59481.29529</v>
      </c>
      <c r="R1395" s="5">
        <f t="shared" si="8"/>
        <v>1264917.609</v>
      </c>
    </row>
    <row r="1396" ht="15.75" customHeight="1">
      <c r="A1396" s="4">
        <v>2005.0</v>
      </c>
      <c r="B1396" s="4">
        <v>501.0</v>
      </c>
      <c r="C1396" s="4" t="s">
        <v>22</v>
      </c>
      <c r="D1396" s="5">
        <v>2737.5432121359217</v>
      </c>
      <c r="E1396" s="5">
        <f t="shared" si="1"/>
        <v>0</v>
      </c>
      <c r="F1396" s="5">
        <f t="shared" si="2"/>
        <v>2737.543212</v>
      </c>
      <c r="G1396" s="5">
        <v>20091.912357335495</v>
      </c>
      <c r="H1396" s="5">
        <v>6270.875428425029</v>
      </c>
      <c r="I1396" s="5">
        <v>13821.036928910467</v>
      </c>
      <c r="J1396" s="5">
        <v>24932.785148036677</v>
      </c>
      <c r="K1396" s="5">
        <f t="shared" si="3"/>
        <v>24932.78515</v>
      </c>
      <c r="L1396" s="5">
        <f t="shared" si="4"/>
        <v>0</v>
      </c>
      <c r="M1396" s="5">
        <v>27257.609360895352</v>
      </c>
      <c r="N1396" s="5">
        <f t="shared" si="5"/>
        <v>0</v>
      </c>
      <c r="O1396" s="5">
        <f t="shared" si="6"/>
        <v>27257.60936</v>
      </c>
      <c r="P1396" s="5">
        <f t="shared" si="9"/>
        <v>75019.85008</v>
      </c>
      <c r="Q1396" s="5">
        <f t="shared" si="7"/>
        <v>43816.1895</v>
      </c>
      <c r="R1396" s="5">
        <f t="shared" si="8"/>
        <v>31203.66058</v>
      </c>
    </row>
    <row r="1397" ht="15.75" customHeight="1">
      <c r="A1397" s="4">
        <v>2005.0</v>
      </c>
      <c r="B1397" s="4">
        <v>502.0</v>
      </c>
      <c r="C1397" s="4" t="s">
        <v>22</v>
      </c>
      <c r="D1397" s="5">
        <v>4501.5925373786395</v>
      </c>
      <c r="E1397" s="5">
        <f t="shared" si="1"/>
        <v>0</v>
      </c>
      <c r="F1397" s="5">
        <f t="shared" si="2"/>
        <v>4501.592537</v>
      </c>
      <c r="G1397" s="5" t="s">
        <v>19</v>
      </c>
      <c r="H1397" s="5" t="s">
        <v>19</v>
      </c>
      <c r="I1397" s="5" t="s">
        <v>19</v>
      </c>
      <c r="J1397" s="5">
        <v>0.0</v>
      </c>
      <c r="K1397" s="5">
        <f t="shared" si="3"/>
        <v>0</v>
      </c>
      <c r="L1397" s="5">
        <f t="shared" si="4"/>
        <v>0</v>
      </c>
      <c r="M1397" s="5">
        <v>2450.6762762135913</v>
      </c>
      <c r="N1397" s="5">
        <f t="shared" si="5"/>
        <v>0</v>
      </c>
      <c r="O1397" s="5">
        <f t="shared" si="6"/>
        <v>2450.676276</v>
      </c>
      <c r="P1397" s="5">
        <f t="shared" si="9"/>
        <v>6952.268814</v>
      </c>
      <c r="Q1397" s="5">
        <f t="shared" si="7"/>
        <v>6952.268814</v>
      </c>
      <c r="R1397" s="5">
        <f t="shared" si="8"/>
        <v>0</v>
      </c>
    </row>
    <row r="1398" ht="15.75" customHeight="1">
      <c r="A1398" s="4">
        <v>2005.0</v>
      </c>
      <c r="B1398" s="4">
        <v>503.0</v>
      </c>
      <c r="C1398" s="4" t="s">
        <v>22</v>
      </c>
      <c r="D1398" s="5">
        <v>839.5568084951454</v>
      </c>
      <c r="E1398" s="5">
        <f t="shared" si="1"/>
        <v>0</v>
      </c>
      <c r="F1398" s="5">
        <f t="shared" si="2"/>
        <v>839.5568085</v>
      </c>
      <c r="G1398" s="5">
        <v>3868.466134897519</v>
      </c>
      <c r="H1398" s="5">
        <v>2675.0071655231936</v>
      </c>
      <c r="I1398" s="5">
        <v>1193.4589693743255</v>
      </c>
      <c r="J1398" s="5">
        <v>229122.59528194717</v>
      </c>
      <c r="K1398" s="5">
        <f t="shared" si="3"/>
        <v>229122.5953</v>
      </c>
      <c r="L1398" s="5">
        <f t="shared" si="4"/>
        <v>0</v>
      </c>
      <c r="M1398" s="5">
        <v>24414.567591639687</v>
      </c>
      <c r="N1398" s="5">
        <f t="shared" si="5"/>
        <v>0</v>
      </c>
      <c r="O1398" s="5">
        <f t="shared" si="6"/>
        <v>24414.56759</v>
      </c>
      <c r="P1398" s="5">
        <f t="shared" si="9"/>
        <v>258245.1858</v>
      </c>
      <c r="Q1398" s="5">
        <f t="shared" si="7"/>
        <v>26447.58337</v>
      </c>
      <c r="R1398" s="5">
        <f t="shared" si="8"/>
        <v>231797.6024</v>
      </c>
    </row>
    <row r="1399" ht="15.75" customHeight="1">
      <c r="A1399" s="4">
        <v>2005.0</v>
      </c>
      <c r="B1399" s="4">
        <v>504.0</v>
      </c>
      <c r="C1399" s="4" t="s">
        <v>22</v>
      </c>
      <c r="D1399" s="5">
        <v>5275.814185679611</v>
      </c>
      <c r="E1399" s="5">
        <f t="shared" si="1"/>
        <v>0</v>
      </c>
      <c r="F1399" s="5">
        <f t="shared" si="2"/>
        <v>5275.814186</v>
      </c>
      <c r="G1399" s="5">
        <v>10056.262926806907</v>
      </c>
      <c r="H1399" s="5">
        <v>6047.000365814458</v>
      </c>
      <c r="I1399" s="5">
        <v>4009.262560992449</v>
      </c>
      <c r="J1399" s="5">
        <v>71753.58841332255</v>
      </c>
      <c r="K1399" s="5">
        <f t="shared" si="3"/>
        <v>71753.58841</v>
      </c>
      <c r="L1399" s="5">
        <f t="shared" si="4"/>
        <v>0</v>
      </c>
      <c r="M1399" s="5">
        <v>22453.168941175827</v>
      </c>
      <c r="N1399" s="5">
        <f t="shared" si="5"/>
        <v>0</v>
      </c>
      <c r="O1399" s="5">
        <f t="shared" si="6"/>
        <v>22453.16894</v>
      </c>
      <c r="P1399" s="5">
        <f t="shared" si="9"/>
        <v>109538.8345</v>
      </c>
      <c r="Q1399" s="5">
        <f t="shared" si="7"/>
        <v>31738.24569</v>
      </c>
      <c r="R1399" s="5">
        <f t="shared" si="8"/>
        <v>77800.58878</v>
      </c>
    </row>
    <row r="1400" ht="15.75" customHeight="1">
      <c r="A1400" s="4">
        <v>2005.0</v>
      </c>
      <c r="B1400" s="4">
        <v>505.0</v>
      </c>
      <c r="C1400" s="4" t="s">
        <v>22</v>
      </c>
      <c r="D1400" s="5" t="s">
        <v>19</v>
      </c>
      <c r="E1400" s="5" t="str">
        <f t="shared" si="1"/>
        <v/>
      </c>
      <c r="F1400" s="5" t="str">
        <f t="shared" si="2"/>
        <v/>
      </c>
      <c r="G1400" s="5">
        <v>12624.204841963325</v>
      </c>
      <c r="H1400" s="5">
        <v>2867.774588295578</v>
      </c>
      <c r="I1400" s="5">
        <v>9756.430253667746</v>
      </c>
      <c r="J1400" s="5">
        <v>0.0</v>
      </c>
      <c r="K1400" s="5">
        <f t="shared" si="3"/>
        <v>0</v>
      </c>
      <c r="L1400" s="5">
        <f t="shared" si="4"/>
        <v>0</v>
      </c>
      <c r="M1400" s="5">
        <v>12046.478265884569</v>
      </c>
      <c r="N1400" s="5">
        <f t="shared" si="5"/>
        <v>0</v>
      </c>
      <c r="O1400" s="5">
        <f t="shared" si="6"/>
        <v>12046.47827</v>
      </c>
      <c r="P1400" s="5">
        <f t="shared" si="9"/>
        <v>24670.68311</v>
      </c>
      <c r="Q1400" s="5">
        <f t="shared" si="7"/>
        <v>21802.90852</v>
      </c>
      <c r="R1400" s="5">
        <f t="shared" si="8"/>
        <v>2867.774588</v>
      </c>
    </row>
    <row r="1401" ht="15.75" customHeight="1">
      <c r="A1401" s="4">
        <v>2005.0</v>
      </c>
      <c r="B1401" s="4">
        <v>506.0</v>
      </c>
      <c r="C1401" s="4" t="s">
        <v>22</v>
      </c>
      <c r="D1401" s="5">
        <v>135321.53044257278</v>
      </c>
      <c r="E1401" s="5">
        <f t="shared" si="1"/>
        <v>0</v>
      </c>
      <c r="F1401" s="5">
        <f t="shared" si="2"/>
        <v>135321.5304</v>
      </c>
      <c r="G1401" s="5">
        <v>19061.237543419636</v>
      </c>
      <c r="H1401" s="5">
        <v>10768.365525512407</v>
      </c>
      <c r="I1401" s="5">
        <v>8292.87201790723</v>
      </c>
      <c r="J1401" s="5">
        <v>231662.96981129452</v>
      </c>
      <c r="K1401" s="5">
        <f t="shared" si="3"/>
        <v>231662.9698</v>
      </c>
      <c r="L1401" s="5">
        <f t="shared" si="4"/>
        <v>0</v>
      </c>
      <c r="M1401" s="5">
        <v>13149.175386494062</v>
      </c>
      <c r="N1401" s="5">
        <f t="shared" si="5"/>
        <v>0</v>
      </c>
      <c r="O1401" s="5">
        <f t="shared" si="6"/>
        <v>13149.17539</v>
      </c>
      <c r="P1401" s="5">
        <f t="shared" si="9"/>
        <v>399194.9132</v>
      </c>
      <c r="Q1401" s="5">
        <f t="shared" si="7"/>
        <v>156763.5778</v>
      </c>
      <c r="R1401" s="5">
        <f t="shared" si="8"/>
        <v>242431.3353</v>
      </c>
    </row>
    <row r="1402" ht="15.75" customHeight="1">
      <c r="A1402" s="4">
        <v>2005.0</v>
      </c>
      <c r="B1402" s="4">
        <v>507.0</v>
      </c>
      <c r="C1402" s="4" t="s">
        <v>22</v>
      </c>
      <c r="D1402" s="5" t="s">
        <v>19</v>
      </c>
      <c r="E1402" s="5" t="str">
        <f t="shared" si="1"/>
        <v/>
      </c>
      <c r="F1402" s="5" t="str">
        <f t="shared" si="2"/>
        <v/>
      </c>
      <c r="G1402" s="5" t="s">
        <v>19</v>
      </c>
      <c r="H1402" s="5" t="s">
        <v>19</v>
      </c>
      <c r="I1402" s="5" t="s">
        <v>19</v>
      </c>
      <c r="J1402" s="5">
        <v>0.0</v>
      </c>
      <c r="K1402" s="5">
        <f t="shared" si="3"/>
        <v>0</v>
      </c>
      <c r="L1402" s="5">
        <f t="shared" si="4"/>
        <v>0</v>
      </c>
      <c r="M1402" s="5">
        <v>0.0</v>
      </c>
      <c r="N1402" s="5">
        <f t="shared" si="5"/>
        <v>0</v>
      </c>
      <c r="O1402" s="5">
        <f t="shared" si="6"/>
        <v>0</v>
      </c>
      <c r="P1402" s="5">
        <f t="shared" si="9"/>
        <v>0</v>
      </c>
      <c r="Q1402" s="5">
        <f t="shared" si="7"/>
        <v>0</v>
      </c>
      <c r="R1402" s="5">
        <f t="shared" si="8"/>
        <v>0</v>
      </c>
    </row>
    <row r="1403" ht="15.75" customHeight="1">
      <c r="A1403" s="4">
        <v>2005.0</v>
      </c>
      <c r="B1403" s="4">
        <v>508.0</v>
      </c>
      <c r="C1403" s="4" t="s">
        <v>22</v>
      </c>
      <c r="D1403" s="5" t="s">
        <v>19</v>
      </c>
      <c r="E1403" s="5" t="str">
        <f t="shared" si="1"/>
        <v/>
      </c>
      <c r="F1403" s="5" t="str">
        <f t="shared" si="2"/>
        <v/>
      </c>
      <c r="G1403" s="5" t="s">
        <v>19</v>
      </c>
      <c r="H1403" s="5" t="s">
        <v>19</v>
      </c>
      <c r="I1403" s="5" t="s">
        <v>19</v>
      </c>
      <c r="J1403" s="5">
        <v>0.0</v>
      </c>
      <c r="K1403" s="5">
        <f t="shared" si="3"/>
        <v>0</v>
      </c>
      <c r="L1403" s="5">
        <f t="shared" si="4"/>
        <v>0</v>
      </c>
      <c r="M1403" s="5">
        <v>54795.02034387807</v>
      </c>
      <c r="N1403" s="5">
        <f t="shared" si="5"/>
        <v>0</v>
      </c>
      <c r="O1403" s="5">
        <f t="shared" si="6"/>
        <v>54795.02034</v>
      </c>
      <c r="P1403" s="5">
        <f t="shared" si="9"/>
        <v>54795.02034</v>
      </c>
      <c r="Q1403" s="5">
        <f t="shared" si="7"/>
        <v>54795.02034</v>
      </c>
      <c r="R1403" s="5">
        <f t="shared" si="8"/>
        <v>0</v>
      </c>
    </row>
    <row r="1404" ht="15.75" customHeight="1">
      <c r="A1404" s="4">
        <v>2005.0</v>
      </c>
      <c r="B1404" s="4">
        <v>520.0</v>
      </c>
      <c r="C1404" s="4" t="s">
        <v>22</v>
      </c>
      <c r="D1404" s="5">
        <v>1443.2536886893197</v>
      </c>
      <c r="E1404" s="5">
        <f t="shared" si="1"/>
        <v>0</v>
      </c>
      <c r="F1404" s="5">
        <f t="shared" si="2"/>
        <v>1443.253689</v>
      </c>
      <c r="G1404" s="5">
        <v>1501.0373199029132</v>
      </c>
      <c r="H1404" s="5">
        <v>1089.1421851779942</v>
      </c>
      <c r="I1404" s="5">
        <v>411.895134724919</v>
      </c>
      <c r="J1404" s="5">
        <v>259.2218907497303</v>
      </c>
      <c r="K1404" s="5">
        <f t="shared" si="3"/>
        <v>259.2218907</v>
      </c>
      <c r="L1404" s="5">
        <f t="shared" si="4"/>
        <v>0</v>
      </c>
      <c r="M1404" s="5">
        <v>293827.0804083332</v>
      </c>
      <c r="N1404" s="5">
        <f t="shared" si="5"/>
        <v>0</v>
      </c>
      <c r="O1404" s="5">
        <f t="shared" si="6"/>
        <v>293827.0804</v>
      </c>
      <c r="P1404" s="5">
        <f t="shared" si="9"/>
        <v>297030.5933</v>
      </c>
      <c r="Q1404" s="5">
        <f t="shared" si="7"/>
        <v>295682.2292</v>
      </c>
      <c r="R1404" s="5">
        <f t="shared" si="8"/>
        <v>1348.364076</v>
      </c>
    </row>
    <row r="1405" ht="15.75" customHeight="1">
      <c r="A1405" s="4">
        <v>2005.0</v>
      </c>
      <c r="B1405" s="4">
        <v>521.0</v>
      </c>
      <c r="C1405" s="4" t="s">
        <v>22</v>
      </c>
      <c r="D1405" s="5" t="s">
        <v>19</v>
      </c>
      <c r="E1405" s="5" t="str">
        <f t="shared" si="1"/>
        <v/>
      </c>
      <c r="F1405" s="5" t="str">
        <f t="shared" si="2"/>
        <v/>
      </c>
      <c r="G1405" s="5" t="s">
        <v>19</v>
      </c>
      <c r="H1405" s="5" t="s">
        <v>19</v>
      </c>
      <c r="I1405" s="5" t="s">
        <v>19</v>
      </c>
      <c r="J1405" s="5">
        <v>0.0</v>
      </c>
      <c r="K1405" s="5">
        <f t="shared" si="3"/>
        <v>0</v>
      </c>
      <c r="L1405" s="5">
        <f t="shared" si="4"/>
        <v>0</v>
      </c>
      <c r="M1405" s="5">
        <v>6608.678465593312</v>
      </c>
      <c r="N1405" s="5">
        <f t="shared" si="5"/>
        <v>0</v>
      </c>
      <c r="O1405" s="5">
        <f t="shared" si="6"/>
        <v>6608.678466</v>
      </c>
      <c r="P1405" s="5">
        <f t="shared" si="9"/>
        <v>6608.678466</v>
      </c>
      <c r="Q1405" s="5">
        <f t="shared" si="7"/>
        <v>6608.678466</v>
      </c>
      <c r="R1405" s="5">
        <f t="shared" si="8"/>
        <v>0</v>
      </c>
    </row>
    <row r="1406" ht="15.75" customHeight="1">
      <c r="A1406" s="4">
        <v>2005.0</v>
      </c>
      <c r="B1406" s="4">
        <v>522.0</v>
      </c>
      <c r="C1406" s="4" t="s">
        <v>22</v>
      </c>
      <c r="D1406" s="5" t="s">
        <v>19</v>
      </c>
      <c r="E1406" s="5" t="str">
        <f t="shared" si="1"/>
        <v/>
      </c>
      <c r="F1406" s="5" t="str">
        <f t="shared" si="2"/>
        <v/>
      </c>
      <c r="G1406" s="5" t="s">
        <v>19</v>
      </c>
      <c r="H1406" s="5" t="s">
        <v>19</v>
      </c>
      <c r="I1406" s="5" t="s">
        <v>19</v>
      </c>
      <c r="J1406" s="5">
        <v>0.0</v>
      </c>
      <c r="K1406" s="5">
        <f t="shared" si="3"/>
        <v>0</v>
      </c>
      <c r="L1406" s="5">
        <f t="shared" si="4"/>
        <v>0</v>
      </c>
      <c r="M1406" s="5">
        <v>15641.446693117581</v>
      </c>
      <c r="N1406" s="5">
        <f t="shared" si="5"/>
        <v>0</v>
      </c>
      <c r="O1406" s="5">
        <f t="shared" si="6"/>
        <v>15641.44669</v>
      </c>
      <c r="P1406" s="5">
        <f t="shared" si="9"/>
        <v>15641.44669</v>
      </c>
      <c r="Q1406" s="5">
        <f t="shared" si="7"/>
        <v>15641.44669</v>
      </c>
      <c r="R1406" s="5">
        <f t="shared" si="8"/>
        <v>0</v>
      </c>
    </row>
    <row r="1407" ht="15.75" customHeight="1">
      <c r="A1407" s="4">
        <v>2005.0</v>
      </c>
      <c r="B1407" s="4">
        <v>523.0</v>
      </c>
      <c r="C1407" s="4" t="s">
        <v>22</v>
      </c>
      <c r="D1407" s="5" t="s">
        <v>19</v>
      </c>
      <c r="E1407" s="5" t="str">
        <f t="shared" si="1"/>
        <v/>
      </c>
      <c r="F1407" s="5" t="str">
        <f t="shared" si="2"/>
        <v/>
      </c>
      <c r="G1407" s="5" t="s">
        <v>19</v>
      </c>
      <c r="H1407" s="5" t="s">
        <v>19</v>
      </c>
      <c r="I1407" s="5" t="s">
        <v>19</v>
      </c>
      <c r="J1407" s="5">
        <v>0.0</v>
      </c>
      <c r="K1407" s="5">
        <f t="shared" si="3"/>
        <v>0</v>
      </c>
      <c r="L1407" s="5">
        <f t="shared" si="4"/>
        <v>0</v>
      </c>
      <c r="M1407" s="5">
        <v>112052.2949621251</v>
      </c>
      <c r="N1407" s="5">
        <f t="shared" si="5"/>
        <v>0</v>
      </c>
      <c r="O1407" s="5">
        <f t="shared" si="6"/>
        <v>112052.295</v>
      </c>
      <c r="P1407" s="5">
        <f t="shared" si="9"/>
        <v>112052.295</v>
      </c>
      <c r="Q1407" s="5">
        <f t="shared" si="7"/>
        <v>112052.295</v>
      </c>
      <c r="R1407" s="5">
        <f t="shared" si="8"/>
        <v>0</v>
      </c>
    </row>
    <row r="1408" ht="15.75" customHeight="1">
      <c r="A1408" s="4">
        <v>2005.0</v>
      </c>
      <c r="B1408" s="4">
        <v>524.0</v>
      </c>
      <c r="C1408" s="4" t="s">
        <v>22</v>
      </c>
      <c r="D1408" s="5" t="s">
        <v>19</v>
      </c>
      <c r="E1408" s="5" t="str">
        <f t="shared" si="1"/>
        <v/>
      </c>
      <c r="F1408" s="5" t="str">
        <f t="shared" si="2"/>
        <v/>
      </c>
      <c r="G1408" s="5">
        <v>7091.042719741101</v>
      </c>
      <c r="H1408" s="5">
        <v>3952.544213656958</v>
      </c>
      <c r="I1408" s="5">
        <v>3138.4985060841427</v>
      </c>
      <c r="J1408" s="5">
        <v>983.5896041531823</v>
      </c>
      <c r="K1408" s="5">
        <f t="shared" si="3"/>
        <v>983.5896042</v>
      </c>
      <c r="L1408" s="5">
        <f t="shared" si="4"/>
        <v>0</v>
      </c>
      <c r="M1408" s="5">
        <v>218264.77629912086</v>
      </c>
      <c r="N1408" s="5">
        <f t="shared" si="5"/>
        <v>0</v>
      </c>
      <c r="O1408" s="5">
        <f t="shared" si="6"/>
        <v>218264.7763</v>
      </c>
      <c r="P1408" s="5">
        <f t="shared" si="9"/>
        <v>226339.4086</v>
      </c>
      <c r="Q1408" s="5">
        <f t="shared" si="7"/>
        <v>221403.2748</v>
      </c>
      <c r="R1408" s="5">
        <f t="shared" si="8"/>
        <v>4936.133818</v>
      </c>
    </row>
    <row r="1409" ht="15.75" customHeight="1">
      <c r="A1409" s="4">
        <v>2005.0</v>
      </c>
      <c r="B1409" s="4">
        <v>525.0</v>
      </c>
      <c r="C1409" s="4" t="s">
        <v>22</v>
      </c>
      <c r="D1409" s="5" t="s">
        <v>19</v>
      </c>
      <c r="E1409" s="5" t="str">
        <f t="shared" si="1"/>
        <v/>
      </c>
      <c r="F1409" s="5" t="str">
        <f t="shared" si="2"/>
        <v/>
      </c>
      <c r="G1409" s="5" t="s">
        <v>19</v>
      </c>
      <c r="H1409" s="5" t="s">
        <v>19</v>
      </c>
      <c r="I1409" s="5" t="s">
        <v>19</v>
      </c>
      <c r="J1409" s="5">
        <v>0.0</v>
      </c>
      <c r="K1409" s="5">
        <f t="shared" si="3"/>
        <v>0</v>
      </c>
      <c r="L1409" s="5">
        <f t="shared" si="4"/>
        <v>0</v>
      </c>
      <c r="M1409" s="5">
        <v>3394.068718500538</v>
      </c>
      <c r="N1409" s="5">
        <f t="shared" si="5"/>
        <v>0</v>
      </c>
      <c r="O1409" s="5">
        <f t="shared" si="6"/>
        <v>3394.068719</v>
      </c>
      <c r="P1409" s="5">
        <f t="shared" si="9"/>
        <v>3394.068719</v>
      </c>
      <c r="Q1409" s="5">
        <f t="shared" si="7"/>
        <v>3394.068719</v>
      </c>
      <c r="R1409" s="5">
        <f t="shared" si="8"/>
        <v>0</v>
      </c>
    </row>
    <row r="1410" ht="15.75" customHeight="1">
      <c r="A1410" s="4">
        <v>2005.0</v>
      </c>
      <c r="B1410" s="4">
        <v>526.0</v>
      </c>
      <c r="C1410" s="4" t="s">
        <v>22</v>
      </c>
      <c r="D1410" s="5" t="s">
        <v>19</v>
      </c>
      <c r="E1410" s="5" t="str">
        <f t="shared" si="1"/>
        <v/>
      </c>
      <c r="F1410" s="5" t="str">
        <f t="shared" si="2"/>
        <v/>
      </c>
      <c r="G1410" s="5" t="s">
        <v>19</v>
      </c>
      <c r="H1410" s="5" t="s">
        <v>19</v>
      </c>
      <c r="I1410" s="5" t="s">
        <v>19</v>
      </c>
      <c r="J1410" s="5">
        <v>0.0</v>
      </c>
      <c r="K1410" s="5">
        <f t="shared" si="3"/>
        <v>0</v>
      </c>
      <c r="L1410" s="5">
        <f t="shared" si="4"/>
        <v>0</v>
      </c>
      <c r="M1410" s="5">
        <v>0.0</v>
      </c>
      <c r="N1410" s="5">
        <f t="shared" si="5"/>
        <v>0</v>
      </c>
      <c r="O1410" s="5">
        <f t="shared" si="6"/>
        <v>0</v>
      </c>
      <c r="P1410" s="5">
        <f t="shared" si="9"/>
        <v>0</v>
      </c>
      <c r="Q1410" s="5">
        <f t="shared" si="7"/>
        <v>0</v>
      </c>
      <c r="R1410" s="5">
        <f t="shared" si="8"/>
        <v>0</v>
      </c>
    </row>
    <row r="1411" ht="15.75" customHeight="1">
      <c r="A1411" s="4">
        <v>2005.0</v>
      </c>
      <c r="B1411" s="4">
        <v>527.0</v>
      </c>
      <c r="C1411" s="4" t="s">
        <v>22</v>
      </c>
      <c r="D1411" s="5" t="s">
        <v>19</v>
      </c>
      <c r="E1411" s="5" t="str">
        <f t="shared" si="1"/>
        <v/>
      </c>
      <c r="F1411" s="5" t="str">
        <f t="shared" si="2"/>
        <v/>
      </c>
      <c r="G1411" s="5" t="s">
        <v>19</v>
      </c>
      <c r="H1411" s="5" t="s">
        <v>19</v>
      </c>
      <c r="I1411" s="5" t="s">
        <v>19</v>
      </c>
      <c r="J1411" s="5">
        <v>0.0</v>
      </c>
      <c r="K1411" s="5">
        <f t="shared" si="3"/>
        <v>0</v>
      </c>
      <c r="L1411" s="5">
        <f t="shared" si="4"/>
        <v>0</v>
      </c>
      <c r="M1411" s="5">
        <v>5708.596312702262</v>
      </c>
      <c r="N1411" s="5">
        <f t="shared" si="5"/>
        <v>0</v>
      </c>
      <c r="O1411" s="5">
        <f t="shared" si="6"/>
        <v>5708.596313</v>
      </c>
      <c r="P1411" s="5">
        <f t="shared" si="9"/>
        <v>5708.596313</v>
      </c>
      <c r="Q1411" s="5">
        <f t="shared" si="7"/>
        <v>5708.596313</v>
      </c>
      <c r="R1411" s="5">
        <f t="shared" si="8"/>
        <v>0</v>
      </c>
    </row>
    <row r="1412" ht="15.75" customHeight="1">
      <c r="A1412" s="4">
        <v>2005.0</v>
      </c>
      <c r="B1412" s="4">
        <v>528.0</v>
      </c>
      <c r="C1412" s="4" t="s">
        <v>22</v>
      </c>
      <c r="D1412" s="5" t="s">
        <v>19</v>
      </c>
      <c r="E1412" s="5" t="str">
        <f t="shared" si="1"/>
        <v/>
      </c>
      <c r="F1412" s="5" t="str">
        <f t="shared" si="2"/>
        <v/>
      </c>
      <c r="G1412" s="5" t="s">
        <v>19</v>
      </c>
      <c r="H1412" s="5" t="s">
        <v>19</v>
      </c>
      <c r="I1412" s="5" t="s">
        <v>19</v>
      </c>
      <c r="J1412" s="5">
        <v>0.0</v>
      </c>
      <c r="K1412" s="5">
        <f t="shared" si="3"/>
        <v>0</v>
      </c>
      <c r="L1412" s="5">
        <f t="shared" si="4"/>
        <v>0</v>
      </c>
      <c r="M1412" s="5">
        <v>2945.9573084142394</v>
      </c>
      <c r="N1412" s="5">
        <f t="shared" si="5"/>
        <v>0</v>
      </c>
      <c r="O1412" s="5">
        <f t="shared" si="6"/>
        <v>2945.957308</v>
      </c>
      <c r="P1412" s="5">
        <f t="shared" si="9"/>
        <v>2945.957308</v>
      </c>
      <c r="Q1412" s="5">
        <f t="shared" si="7"/>
        <v>2945.957308</v>
      </c>
      <c r="R1412" s="5">
        <f t="shared" si="8"/>
        <v>0</v>
      </c>
    </row>
    <row r="1413" ht="15.75" customHeight="1">
      <c r="A1413" s="4">
        <v>2004.0</v>
      </c>
      <c r="B1413" s="4">
        <v>100.0</v>
      </c>
      <c r="C1413" s="4" t="s">
        <v>18</v>
      </c>
      <c r="D1413" s="5">
        <v>3027.199197994428</v>
      </c>
      <c r="E1413" s="5">
        <f t="shared" si="1"/>
        <v>0</v>
      </c>
      <c r="F1413" s="5">
        <f t="shared" si="2"/>
        <v>3027.199198</v>
      </c>
      <c r="G1413" s="5" t="s">
        <v>19</v>
      </c>
      <c r="H1413" s="5" t="s">
        <v>19</v>
      </c>
      <c r="I1413" s="5" t="s">
        <v>19</v>
      </c>
      <c r="J1413" s="5">
        <v>11172.330931002787</v>
      </c>
      <c r="K1413" s="5">
        <f t="shared" si="3"/>
        <v>11172.33093</v>
      </c>
      <c r="L1413" s="5">
        <f t="shared" si="4"/>
        <v>0</v>
      </c>
      <c r="M1413" s="5">
        <v>131877.6878233705</v>
      </c>
      <c r="N1413" s="5">
        <f t="shared" si="5"/>
        <v>0</v>
      </c>
      <c r="O1413" s="5">
        <f t="shared" si="6"/>
        <v>131877.6878</v>
      </c>
      <c r="P1413" s="5">
        <f t="shared" si="9"/>
        <v>146077.218</v>
      </c>
      <c r="Q1413" s="5">
        <f t="shared" si="7"/>
        <v>134904.887</v>
      </c>
      <c r="R1413" s="5">
        <f t="shared" si="8"/>
        <v>11172.33093</v>
      </c>
    </row>
    <row r="1414" ht="15.75" customHeight="1">
      <c r="A1414" s="4">
        <v>2004.0</v>
      </c>
      <c r="B1414" s="4">
        <v>101.0</v>
      </c>
      <c r="C1414" s="4" t="s">
        <v>18</v>
      </c>
      <c r="D1414" s="5">
        <v>3963.994625481893</v>
      </c>
      <c r="E1414" s="5">
        <f t="shared" si="1"/>
        <v>0</v>
      </c>
      <c r="F1414" s="5">
        <f t="shared" si="2"/>
        <v>3963.994625</v>
      </c>
      <c r="G1414" s="5">
        <v>6254.607436746519</v>
      </c>
      <c r="H1414" s="5">
        <v>3557.17562992312</v>
      </c>
      <c r="I1414" s="5">
        <v>2697.431806823399</v>
      </c>
      <c r="J1414" s="5">
        <v>591853.514175521</v>
      </c>
      <c r="K1414" s="5">
        <f t="shared" si="3"/>
        <v>591853.5142</v>
      </c>
      <c r="L1414" s="5">
        <f t="shared" si="4"/>
        <v>0</v>
      </c>
      <c r="M1414" s="5">
        <v>577916.1847226629</v>
      </c>
      <c r="N1414" s="5">
        <f t="shared" si="5"/>
        <v>0</v>
      </c>
      <c r="O1414" s="5">
        <f t="shared" si="6"/>
        <v>577916.1847</v>
      </c>
      <c r="P1414" s="5">
        <f t="shared" si="9"/>
        <v>1179988.301</v>
      </c>
      <c r="Q1414" s="5">
        <f t="shared" si="7"/>
        <v>584577.6112</v>
      </c>
      <c r="R1414" s="5">
        <f t="shared" si="8"/>
        <v>595410.6898</v>
      </c>
    </row>
    <row r="1415" ht="15.75" customHeight="1">
      <c r="A1415" s="4">
        <v>2004.0</v>
      </c>
      <c r="B1415" s="4">
        <v>102.0</v>
      </c>
      <c r="C1415" s="4" t="s">
        <v>18</v>
      </c>
      <c r="D1415" s="5">
        <v>15659.619635030636</v>
      </c>
      <c r="E1415" s="5">
        <f t="shared" si="1"/>
        <v>0</v>
      </c>
      <c r="F1415" s="5">
        <f t="shared" si="2"/>
        <v>15659.61964</v>
      </c>
      <c r="G1415" s="5">
        <v>10466.055944735377</v>
      </c>
      <c r="H1415" s="5">
        <v>3931.669207442897</v>
      </c>
      <c r="I1415" s="5">
        <v>6534.38673729248</v>
      </c>
      <c r="J1415" s="5">
        <v>11159.115139476322</v>
      </c>
      <c r="K1415" s="5">
        <f t="shared" si="3"/>
        <v>11159.11514</v>
      </c>
      <c r="L1415" s="5">
        <f t="shared" si="4"/>
        <v>0</v>
      </c>
      <c r="M1415" s="5">
        <v>111657.03505372145</v>
      </c>
      <c r="N1415" s="5">
        <f t="shared" si="5"/>
        <v>0</v>
      </c>
      <c r="O1415" s="5">
        <f t="shared" si="6"/>
        <v>111657.0351</v>
      </c>
      <c r="P1415" s="5">
        <f t="shared" si="9"/>
        <v>148941.8258</v>
      </c>
      <c r="Q1415" s="5">
        <f t="shared" si="7"/>
        <v>133851.0414</v>
      </c>
      <c r="R1415" s="5">
        <f t="shared" si="8"/>
        <v>15090.78435</v>
      </c>
    </row>
    <row r="1416" ht="15.75" customHeight="1">
      <c r="A1416" s="4">
        <v>2004.0</v>
      </c>
      <c r="B1416" s="4">
        <v>103.0</v>
      </c>
      <c r="C1416" s="4" t="s">
        <v>18</v>
      </c>
      <c r="D1416" s="5">
        <v>14109.884550111414</v>
      </c>
      <c r="E1416" s="5">
        <f t="shared" si="1"/>
        <v>0</v>
      </c>
      <c r="F1416" s="5">
        <f t="shared" si="2"/>
        <v>14109.88455</v>
      </c>
      <c r="G1416" s="5">
        <v>3802.0466874651815</v>
      </c>
      <c r="H1416" s="5">
        <v>1996.3151467855157</v>
      </c>
      <c r="I1416" s="5">
        <v>1805.7315406796658</v>
      </c>
      <c r="J1416" s="5">
        <v>1695.6109883008355</v>
      </c>
      <c r="K1416" s="5">
        <f t="shared" si="3"/>
        <v>1695.610988</v>
      </c>
      <c r="L1416" s="5">
        <f t="shared" si="4"/>
        <v>0</v>
      </c>
      <c r="M1416" s="5">
        <v>6830.379315264621</v>
      </c>
      <c r="N1416" s="5">
        <f t="shared" si="5"/>
        <v>0</v>
      </c>
      <c r="O1416" s="5">
        <f t="shared" si="6"/>
        <v>6830.379315</v>
      </c>
      <c r="P1416" s="5">
        <f t="shared" si="9"/>
        <v>26437.92154</v>
      </c>
      <c r="Q1416" s="5">
        <f t="shared" si="7"/>
        <v>22745.99541</v>
      </c>
      <c r="R1416" s="5">
        <f t="shared" si="8"/>
        <v>3691.926135</v>
      </c>
    </row>
    <row r="1417" ht="15.75" customHeight="1">
      <c r="A1417" s="4">
        <v>2004.0</v>
      </c>
      <c r="B1417" s="4">
        <v>104.0</v>
      </c>
      <c r="C1417" s="4" t="s">
        <v>18</v>
      </c>
      <c r="D1417" s="5">
        <v>5181.692320891362</v>
      </c>
      <c r="E1417" s="5">
        <f t="shared" si="1"/>
        <v>0</v>
      </c>
      <c r="F1417" s="5">
        <f t="shared" si="2"/>
        <v>5181.692321</v>
      </c>
      <c r="G1417" s="5" t="s">
        <v>19</v>
      </c>
      <c r="H1417" s="5" t="s">
        <v>19</v>
      </c>
      <c r="I1417" s="5" t="s">
        <v>19</v>
      </c>
      <c r="J1417" s="5">
        <v>11200.258641398326</v>
      </c>
      <c r="K1417" s="5">
        <f t="shared" si="3"/>
        <v>11200.25864</v>
      </c>
      <c r="L1417" s="5">
        <f t="shared" si="4"/>
        <v>0</v>
      </c>
      <c r="M1417" s="5">
        <v>3409.801506713091</v>
      </c>
      <c r="N1417" s="5">
        <f t="shared" si="5"/>
        <v>0</v>
      </c>
      <c r="O1417" s="5">
        <f t="shared" si="6"/>
        <v>3409.801507</v>
      </c>
      <c r="P1417" s="5">
        <f t="shared" si="9"/>
        <v>19791.75247</v>
      </c>
      <c r="Q1417" s="5">
        <f t="shared" si="7"/>
        <v>8591.493828</v>
      </c>
      <c r="R1417" s="5">
        <f t="shared" si="8"/>
        <v>11200.25864</v>
      </c>
    </row>
    <row r="1418" ht="15.75" customHeight="1">
      <c r="A1418" s="4">
        <v>2004.0</v>
      </c>
      <c r="B1418" s="4">
        <v>105.0</v>
      </c>
      <c r="C1418" s="4" t="s">
        <v>18</v>
      </c>
      <c r="D1418" s="5">
        <v>18262.056423036203</v>
      </c>
      <c r="E1418" s="5">
        <f t="shared" si="1"/>
        <v>0</v>
      </c>
      <c r="F1418" s="5">
        <f t="shared" si="2"/>
        <v>18262.05642</v>
      </c>
      <c r="G1418" s="5">
        <v>3296.390520423399</v>
      </c>
      <c r="H1418" s="5">
        <v>1413.9121807866295</v>
      </c>
      <c r="I1418" s="5">
        <v>1882.4783396367693</v>
      </c>
      <c r="J1418" s="5">
        <v>122478.47006699722</v>
      </c>
      <c r="K1418" s="5">
        <f t="shared" si="3"/>
        <v>122478.4701</v>
      </c>
      <c r="L1418" s="5">
        <f t="shared" si="4"/>
        <v>0</v>
      </c>
      <c r="M1418" s="5">
        <v>6780.089906685236</v>
      </c>
      <c r="N1418" s="5">
        <f t="shared" si="5"/>
        <v>0</v>
      </c>
      <c r="O1418" s="5">
        <f t="shared" si="6"/>
        <v>6780.089907</v>
      </c>
      <c r="P1418" s="5">
        <f t="shared" si="9"/>
        <v>150817.0069</v>
      </c>
      <c r="Q1418" s="5">
        <f t="shared" si="7"/>
        <v>26924.62467</v>
      </c>
      <c r="R1418" s="5">
        <f t="shared" si="8"/>
        <v>123892.3822</v>
      </c>
    </row>
    <row r="1419" ht="15.75" customHeight="1">
      <c r="A1419" s="4">
        <v>2004.0</v>
      </c>
      <c r="B1419" s="4">
        <v>106.0</v>
      </c>
      <c r="C1419" s="4" t="s">
        <v>18</v>
      </c>
      <c r="D1419" s="5">
        <v>12165.386326534814</v>
      </c>
      <c r="E1419" s="5">
        <f t="shared" si="1"/>
        <v>0</v>
      </c>
      <c r="F1419" s="5">
        <f t="shared" si="2"/>
        <v>12165.38633</v>
      </c>
      <c r="G1419" s="5">
        <v>4992.392106072424</v>
      </c>
      <c r="H1419" s="5">
        <v>2550.0984870863513</v>
      </c>
      <c r="I1419" s="5">
        <v>2442.293618986073</v>
      </c>
      <c r="J1419" s="5">
        <v>53428.452886802224</v>
      </c>
      <c r="K1419" s="5">
        <f t="shared" si="3"/>
        <v>53428.45289</v>
      </c>
      <c r="L1419" s="5">
        <f t="shared" si="4"/>
        <v>0</v>
      </c>
      <c r="M1419" s="5">
        <v>135483.2588134819</v>
      </c>
      <c r="N1419" s="5">
        <f t="shared" si="5"/>
        <v>0</v>
      </c>
      <c r="O1419" s="5">
        <f t="shared" si="6"/>
        <v>135483.2588</v>
      </c>
      <c r="P1419" s="5">
        <f t="shared" si="9"/>
        <v>206069.4901</v>
      </c>
      <c r="Q1419" s="5">
        <f t="shared" si="7"/>
        <v>150090.9388</v>
      </c>
      <c r="R1419" s="5">
        <f t="shared" si="8"/>
        <v>55978.55137</v>
      </c>
    </row>
    <row r="1420" ht="15.75" customHeight="1">
      <c r="A1420" s="4">
        <v>2004.0</v>
      </c>
      <c r="B1420" s="4">
        <v>107.0</v>
      </c>
      <c r="C1420" s="4" t="s">
        <v>18</v>
      </c>
      <c r="D1420" s="5">
        <v>20451.321428612802</v>
      </c>
      <c r="E1420" s="5">
        <f t="shared" si="1"/>
        <v>0</v>
      </c>
      <c r="F1420" s="5">
        <f t="shared" si="2"/>
        <v>20451.32143</v>
      </c>
      <c r="G1420" s="5" t="s">
        <v>19</v>
      </c>
      <c r="H1420" s="5" t="s">
        <v>19</v>
      </c>
      <c r="I1420" s="5" t="s">
        <v>19</v>
      </c>
      <c r="J1420" s="5">
        <v>14647.086684233982</v>
      </c>
      <c r="K1420" s="5">
        <f t="shared" si="3"/>
        <v>14647.08668</v>
      </c>
      <c r="L1420" s="5">
        <f t="shared" si="4"/>
        <v>0</v>
      </c>
      <c r="M1420" s="5">
        <v>149943.2598303621</v>
      </c>
      <c r="N1420" s="5">
        <f t="shared" si="5"/>
        <v>0</v>
      </c>
      <c r="O1420" s="5">
        <f t="shared" si="6"/>
        <v>149943.2598</v>
      </c>
      <c r="P1420" s="5">
        <f t="shared" si="9"/>
        <v>185041.6679</v>
      </c>
      <c r="Q1420" s="5">
        <f t="shared" si="7"/>
        <v>170394.5813</v>
      </c>
      <c r="R1420" s="5">
        <f t="shared" si="8"/>
        <v>14647.08668</v>
      </c>
    </row>
    <row r="1421" ht="15.75" customHeight="1">
      <c r="A1421" s="4">
        <v>2004.0</v>
      </c>
      <c r="B1421" s="4">
        <v>108.0</v>
      </c>
      <c r="C1421" s="4" t="s">
        <v>18</v>
      </c>
      <c r="D1421" s="5">
        <v>11116.77543317548</v>
      </c>
      <c r="E1421" s="5">
        <f t="shared" si="1"/>
        <v>0</v>
      </c>
      <c r="F1421" s="5">
        <f t="shared" si="2"/>
        <v>11116.77543</v>
      </c>
      <c r="G1421" s="5">
        <v>3463.8730833649024</v>
      </c>
      <c r="H1421" s="5">
        <v>1885.5584787253486</v>
      </c>
      <c r="I1421" s="5">
        <v>1578.3146046395539</v>
      </c>
      <c r="J1421" s="5">
        <v>5831.904381526463</v>
      </c>
      <c r="K1421" s="5">
        <f t="shared" si="3"/>
        <v>5831.904382</v>
      </c>
      <c r="L1421" s="5">
        <f t="shared" si="4"/>
        <v>0</v>
      </c>
      <c r="M1421" s="5">
        <v>39457.96799654039</v>
      </c>
      <c r="N1421" s="5">
        <f t="shared" si="5"/>
        <v>0</v>
      </c>
      <c r="O1421" s="5">
        <f t="shared" si="6"/>
        <v>39457.968</v>
      </c>
      <c r="P1421" s="5">
        <f t="shared" si="9"/>
        <v>59870.52089</v>
      </c>
      <c r="Q1421" s="5">
        <f t="shared" si="7"/>
        <v>52153.05803</v>
      </c>
      <c r="R1421" s="5">
        <f t="shared" si="8"/>
        <v>7717.46286</v>
      </c>
    </row>
    <row r="1422" ht="15.75" customHeight="1">
      <c r="A1422" s="4">
        <v>2004.0</v>
      </c>
      <c r="B1422" s="4">
        <v>120.0</v>
      </c>
      <c r="C1422" s="4" t="s">
        <v>18</v>
      </c>
      <c r="D1422" s="5">
        <v>24051.233988389966</v>
      </c>
      <c r="E1422" s="5">
        <f t="shared" si="1"/>
        <v>0</v>
      </c>
      <c r="F1422" s="5">
        <f t="shared" si="2"/>
        <v>24051.23399</v>
      </c>
      <c r="G1422" s="5" t="s">
        <v>19</v>
      </c>
      <c r="H1422" s="5" t="s">
        <v>19</v>
      </c>
      <c r="I1422" s="5" t="s">
        <v>19</v>
      </c>
      <c r="J1422" s="5">
        <v>0.0</v>
      </c>
      <c r="K1422" s="5">
        <f t="shared" si="3"/>
        <v>0</v>
      </c>
      <c r="L1422" s="5">
        <f t="shared" si="4"/>
        <v>0</v>
      </c>
      <c r="M1422" s="5">
        <v>98257.60174277436</v>
      </c>
      <c r="N1422" s="5">
        <f t="shared" si="5"/>
        <v>0</v>
      </c>
      <c r="O1422" s="5">
        <f t="shared" si="6"/>
        <v>98257.60174</v>
      </c>
      <c r="P1422" s="5">
        <f t="shared" si="9"/>
        <v>122308.8357</v>
      </c>
      <c r="Q1422" s="5">
        <f t="shared" si="7"/>
        <v>122308.8357</v>
      </c>
      <c r="R1422" s="5">
        <f t="shared" si="8"/>
        <v>0</v>
      </c>
    </row>
    <row r="1423" ht="15.75" customHeight="1">
      <c r="A1423" s="4">
        <v>2004.0</v>
      </c>
      <c r="B1423" s="4">
        <v>121.0</v>
      </c>
      <c r="C1423" s="4" t="s">
        <v>18</v>
      </c>
      <c r="D1423" s="5">
        <v>17792.9769076713</v>
      </c>
      <c r="E1423" s="5">
        <f t="shared" si="1"/>
        <v>0</v>
      </c>
      <c r="F1423" s="5">
        <f t="shared" si="2"/>
        <v>17792.97691</v>
      </c>
      <c r="G1423" s="5">
        <v>4341.071027966574</v>
      </c>
      <c r="H1423" s="5">
        <v>1565.0956743844013</v>
      </c>
      <c r="I1423" s="5">
        <v>2775.9753535821724</v>
      </c>
      <c r="J1423" s="5">
        <v>45386.51906567131</v>
      </c>
      <c r="K1423" s="5">
        <f t="shared" si="3"/>
        <v>45386.51907</v>
      </c>
      <c r="L1423" s="5">
        <f t="shared" si="4"/>
        <v>0</v>
      </c>
      <c r="M1423" s="5">
        <v>1273155.584005699</v>
      </c>
      <c r="N1423" s="5">
        <f t="shared" si="5"/>
        <v>0</v>
      </c>
      <c r="O1423" s="5">
        <f t="shared" si="6"/>
        <v>1273155.584</v>
      </c>
      <c r="P1423" s="5">
        <f t="shared" si="9"/>
        <v>1340676.151</v>
      </c>
      <c r="Q1423" s="5">
        <f t="shared" si="7"/>
        <v>1293724.536</v>
      </c>
      <c r="R1423" s="5">
        <f t="shared" si="8"/>
        <v>46951.61474</v>
      </c>
    </row>
    <row r="1424" ht="15.75" customHeight="1">
      <c r="A1424" s="4">
        <v>2004.0</v>
      </c>
      <c r="B1424" s="4">
        <v>122.0</v>
      </c>
      <c r="C1424" s="4" t="s">
        <v>18</v>
      </c>
      <c r="D1424" s="5">
        <v>24147.368016974917</v>
      </c>
      <c r="E1424" s="5">
        <f t="shared" si="1"/>
        <v>0</v>
      </c>
      <c r="F1424" s="5">
        <f t="shared" si="2"/>
        <v>24147.36802</v>
      </c>
      <c r="G1424" s="5">
        <v>21227.291885459614</v>
      </c>
      <c r="H1424" s="5">
        <v>4832.609890852369</v>
      </c>
      <c r="I1424" s="5">
        <v>16394.681994607243</v>
      </c>
      <c r="J1424" s="5">
        <v>196.9901001114206</v>
      </c>
      <c r="K1424" s="5">
        <f t="shared" si="3"/>
        <v>196.9901001</v>
      </c>
      <c r="L1424" s="5">
        <f t="shared" si="4"/>
        <v>0</v>
      </c>
      <c r="M1424" s="5">
        <v>205033.15166871308</v>
      </c>
      <c r="N1424" s="5">
        <f t="shared" si="5"/>
        <v>0</v>
      </c>
      <c r="O1424" s="5">
        <f t="shared" si="6"/>
        <v>205033.1517</v>
      </c>
      <c r="P1424" s="5">
        <f t="shared" si="9"/>
        <v>250604.8017</v>
      </c>
      <c r="Q1424" s="5">
        <f t="shared" si="7"/>
        <v>245575.2017</v>
      </c>
      <c r="R1424" s="5">
        <f t="shared" si="8"/>
        <v>5029.599991</v>
      </c>
    </row>
    <row r="1425" ht="15.75" customHeight="1">
      <c r="A1425" s="4">
        <v>2004.0</v>
      </c>
      <c r="B1425" s="4">
        <v>123.0</v>
      </c>
      <c r="C1425" s="4" t="s">
        <v>18</v>
      </c>
      <c r="D1425" s="5">
        <v>4960.106794011141</v>
      </c>
      <c r="E1425" s="5">
        <f t="shared" si="1"/>
        <v>0</v>
      </c>
      <c r="F1425" s="5">
        <f t="shared" si="2"/>
        <v>4960.106794</v>
      </c>
      <c r="G1425" s="5" t="s">
        <v>19</v>
      </c>
      <c r="H1425" s="5" t="s">
        <v>19</v>
      </c>
      <c r="I1425" s="5" t="s">
        <v>19</v>
      </c>
      <c r="J1425" s="5">
        <v>0.0</v>
      </c>
      <c r="K1425" s="5">
        <f t="shared" si="3"/>
        <v>0</v>
      </c>
      <c r="L1425" s="5">
        <f t="shared" si="4"/>
        <v>0</v>
      </c>
      <c r="M1425" s="5">
        <v>101836.95039841221</v>
      </c>
      <c r="N1425" s="5">
        <f t="shared" si="5"/>
        <v>0</v>
      </c>
      <c r="O1425" s="5">
        <f t="shared" si="6"/>
        <v>101836.9504</v>
      </c>
      <c r="P1425" s="5">
        <f t="shared" si="9"/>
        <v>106797.0572</v>
      </c>
      <c r="Q1425" s="5">
        <f t="shared" si="7"/>
        <v>106797.0572</v>
      </c>
      <c r="R1425" s="5">
        <f t="shared" si="8"/>
        <v>0</v>
      </c>
    </row>
    <row r="1426" ht="15.75" customHeight="1">
      <c r="A1426" s="4">
        <v>2004.0</v>
      </c>
      <c r="B1426" s="4">
        <v>124.0</v>
      </c>
      <c r="C1426" s="4" t="s">
        <v>18</v>
      </c>
      <c r="D1426" s="5" t="s">
        <v>19</v>
      </c>
      <c r="E1426" s="5" t="str">
        <f t="shared" si="1"/>
        <v/>
      </c>
      <c r="F1426" s="5" t="str">
        <f t="shared" si="2"/>
        <v/>
      </c>
      <c r="G1426" s="5" t="s">
        <v>19</v>
      </c>
      <c r="H1426" s="5" t="s">
        <v>19</v>
      </c>
      <c r="I1426" s="5" t="s">
        <v>19</v>
      </c>
      <c r="J1426" s="5">
        <v>0.0</v>
      </c>
      <c r="K1426" s="5">
        <f t="shared" si="3"/>
        <v>0</v>
      </c>
      <c r="L1426" s="5">
        <f t="shared" si="4"/>
        <v>0</v>
      </c>
      <c r="M1426" s="5">
        <v>102917.27465771587</v>
      </c>
      <c r="N1426" s="5">
        <f t="shared" si="5"/>
        <v>0</v>
      </c>
      <c r="O1426" s="5">
        <f t="shared" si="6"/>
        <v>102917.2747</v>
      </c>
      <c r="P1426" s="5">
        <f t="shared" si="9"/>
        <v>102917.2747</v>
      </c>
      <c r="Q1426" s="5">
        <f t="shared" si="7"/>
        <v>102917.2747</v>
      </c>
      <c r="R1426" s="5">
        <f t="shared" si="8"/>
        <v>0</v>
      </c>
    </row>
    <row r="1427" ht="15.75" customHeight="1">
      <c r="A1427" s="4">
        <v>2004.0</v>
      </c>
      <c r="B1427" s="4">
        <v>125.0</v>
      </c>
      <c r="C1427" s="4" t="s">
        <v>18</v>
      </c>
      <c r="D1427" s="5">
        <v>18558.640128245115</v>
      </c>
      <c r="E1427" s="5">
        <f t="shared" si="1"/>
        <v>0</v>
      </c>
      <c r="F1427" s="5">
        <f t="shared" si="2"/>
        <v>18558.64013</v>
      </c>
      <c r="G1427" s="5">
        <v>4013.8062498050144</v>
      </c>
      <c r="H1427" s="5">
        <v>2587.3168344066858</v>
      </c>
      <c r="I1427" s="5">
        <v>1426.4894153983287</v>
      </c>
      <c r="J1427" s="5">
        <v>1970.3997102284125</v>
      </c>
      <c r="K1427" s="5">
        <f t="shared" si="3"/>
        <v>1970.39971</v>
      </c>
      <c r="L1427" s="5">
        <f t="shared" si="4"/>
        <v>0</v>
      </c>
      <c r="M1427" s="5">
        <v>415982.313441699</v>
      </c>
      <c r="N1427" s="5">
        <f t="shared" si="5"/>
        <v>0</v>
      </c>
      <c r="O1427" s="5">
        <f t="shared" si="6"/>
        <v>415982.3134</v>
      </c>
      <c r="P1427" s="5">
        <f t="shared" si="9"/>
        <v>440525.1595</v>
      </c>
      <c r="Q1427" s="5">
        <f t="shared" si="7"/>
        <v>435967.443</v>
      </c>
      <c r="R1427" s="5">
        <f t="shared" si="8"/>
        <v>4557.716545</v>
      </c>
    </row>
    <row r="1428" ht="15.75" customHeight="1">
      <c r="A1428" s="4">
        <v>2004.0</v>
      </c>
      <c r="B1428" s="4">
        <v>126.0</v>
      </c>
      <c r="C1428" s="4" t="s">
        <v>18</v>
      </c>
      <c r="D1428" s="5">
        <v>5791.904771838438</v>
      </c>
      <c r="E1428" s="5">
        <f t="shared" si="1"/>
        <v>0</v>
      </c>
      <c r="F1428" s="5">
        <f t="shared" si="2"/>
        <v>5791.904772</v>
      </c>
      <c r="G1428" s="5" t="s">
        <v>19</v>
      </c>
      <c r="H1428" s="5" t="s">
        <v>19</v>
      </c>
      <c r="I1428" s="5" t="s">
        <v>19</v>
      </c>
      <c r="J1428" s="5">
        <v>0.0</v>
      </c>
      <c r="K1428" s="5">
        <f t="shared" si="3"/>
        <v>0</v>
      </c>
      <c r="L1428" s="5">
        <f t="shared" si="4"/>
        <v>0</v>
      </c>
      <c r="M1428" s="5">
        <v>337555.98076214467</v>
      </c>
      <c r="N1428" s="5">
        <f t="shared" si="5"/>
        <v>0</v>
      </c>
      <c r="O1428" s="5">
        <f t="shared" si="6"/>
        <v>337555.9808</v>
      </c>
      <c r="P1428" s="5">
        <f t="shared" si="9"/>
        <v>343347.8855</v>
      </c>
      <c r="Q1428" s="5">
        <f t="shared" si="7"/>
        <v>343347.8855</v>
      </c>
      <c r="R1428" s="5">
        <f t="shared" si="8"/>
        <v>0</v>
      </c>
    </row>
    <row r="1429" ht="15.75" customHeight="1">
      <c r="A1429" s="4">
        <v>2004.0</v>
      </c>
      <c r="B1429" s="4">
        <v>127.0</v>
      </c>
      <c r="C1429" s="4" t="s">
        <v>18</v>
      </c>
      <c r="D1429" s="5">
        <v>6504.387465960999</v>
      </c>
      <c r="E1429" s="5">
        <f t="shared" si="1"/>
        <v>0</v>
      </c>
      <c r="F1429" s="5">
        <f t="shared" si="2"/>
        <v>6504.387466</v>
      </c>
      <c r="G1429" s="5" t="s">
        <v>19</v>
      </c>
      <c r="H1429" s="5" t="s">
        <v>19</v>
      </c>
      <c r="I1429" s="5" t="s">
        <v>19</v>
      </c>
      <c r="J1429" s="5">
        <v>0.0</v>
      </c>
      <c r="K1429" s="5">
        <f t="shared" si="3"/>
        <v>0</v>
      </c>
      <c r="L1429" s="5">
        <f t="shared" si="4"/>
        <v>0</v>
      </c>
      <c r="M1429" s="5">
        <v>139333.99067041784</v>
      </c>
      <c r="N1429" s="5">
        <f t="shared" si="5"/>
        <v>0</v>
      </c>
      <c r="O1429" s="5">
        <f t="shared" si="6"/>
        <v>139333.9907</v>
      </c>
      <c r="P1429" s="5">
        <f t="shared" si="9"/>
        <v>145838.3781</v>
      </c>
      <c r="Q1429" s="5">
        <f t="shared" si="7"/>
        <v>145838.3781</v>
      </c>
      <c r="R1429" s="5">
        <f t="shared" si="8"/>
        <v>0</v>
      </c>
    </row>
    <row r="1430" ht="15.75" customHeight="1">
      <c r="A1430" s="4">
        <v>2004.0</v>
      </c>
      <c r="B1430" s="4">
        <v>128.0</v>
      </c>
      <c r="C1430" s="4" t="s">
        <v>18</v>
      </c>
      <c r="D1430" s="5">
        <v>16847.318059108627</v>
      </c>
      <c r="E1430" s="5">
        <f t="shared" si="1"/>
        <v>0</v>
      </c>
      <c r="F1430" s="5">
        <f t="shared" si="2"/>
        <v>16847.31806</v>
      </c>
      <c r="G1430" s="5" t="s">
        <v>19</v>
      </c>
      <c r="H1430" s="5" t="s">
        <v>19</v>
      </c>
      <c r="I1430" s="5" t="s">
        <v>19</v>
      </c>
      <c r="J1430" s="5">
        <v>0.0</v>
      </c>
      <c r="K1430" s="5">
        <f t="shared" si="3"/>
        <v>0</v>
      </c>
      <c r="L1430" s="5">
        <f t="shared" si="4"/>
        <v>0</v>
      </c>
      <c r="M1430" s="5">
        <v>13273.530184467963</v>
      </c>
      <c r="N1430" s="5">
        <f t="shared" si="5"/>
        <v>0</v>
      </c>
      <c r="O1430" s="5">
        <f t="shared" si="6"/>
        <v>13273.53018</v>
      </c>
      <c r="P1430" s="5">
        <f t="shared" si="9"/>
        <v>30120.84824</v>
      </c>
      <c r="Q1430" s="5">
        <f t="shared" si="7"/>
        <v>30120.84824</v>
      </c>
      <c r="R1430" s="5">
        <f t="shared" si="8"/>
        <v>0</v>
      </c>
    </row>
    <row r="1431" ht="15.75" customHeight="1">
      <c r="A1431" s="4">
        <v>2004.0</v>
      </c>
      <c r="B1431" s="4">
        <v>300.0</v>
      </c>
      <c r="C1431" s="4" t="s">
        <v>20</v>
      </c>
      <c r="D1431" s="5">
        <v>454.47047704735365</v>
      </c>
      <c r="E1431" s="5">
        <f t="shared" si="1"/>
        <v>0</v>
      </c>
      <c r="F1431" s="5">
        <f t="shared" si="2"/>
        <v>454.470477</v>
      </c>
      <c r="G1431" s="5">
        <v>38835.28084278552</v>
      </c>
      <c r="H1431" s="5">
        <v>23377.68024872424</v>
      </c>
      <c r="I1431" s="5">
        <v>15457.600594061281</v>
      </c>
      <c r="J1431" s="5">
        <v>405901.96365961</v>
      </c>
      <c r="K1431" s="5">
        <f t="shared" si="3"/>
        <v>405901.9637</v>
      </c>
      <c r="L1431" s="5">
        <f t="shared" si="4"/>
        <v>0</v>
      </c>
      <c r="M1431" s="5">
        <v>3889.486437576601</v>
      </c>
      <c r="N1431" s="5">
        <f t="shared" si="5"/>
        <v>0</v>
      </c>
      <c r="O1431" s="5">
        <f t="shared" si="6"/>
        <v>3889.486438</v>
      </c>
      <c r="P1431" s="5">
        <f t="shared" si="9"/>
        <v>449081.2014</v>
      </c>
      <c r="Q1431" s="5">
        <f t="shared" si="7"/>
        <v>19801.55751</v>
      </c>
      <c r="R1431" s="5">
        <f t="shared" si="8"/>
        <v>429279.6439</v>
      </c>
    </row>
    <row r="1432" ht="15.75" customHeight="1">
      <c r="A1432" s="4">
        <v>2004.0</v>
      </c>
      <c r="B1432" s="4">
        <v>301.0</v>
      </c>
      <c r="C1432" s="4" t="s">
        <v>20</v>
      </c>
      <c r="D1432" s="5">
        <v>4417.18171124234</v>
      </c>
      <c r="E1432" s="5">
        <f t="shared" si="1"/>
        <v>0</v>
      </c>
      <c r="F1432" s="5">
        <f t="shared" si="2"/>
        <v>4417.181711</v>
      </c>
      <c r="G1432" s="5">
        <v>7313.80456448468</v>
      </c>
      <c r="H1432" s="5">
        <v>3490.6935200278554</v>
      </c>
      <c r="I1432" s="5">
        <v>3823.1110444568244</v>
      </c>
      <c r="J1432" s="5">
        <v>11544.934645103065</v>
      </c>
      <c r="K1432" s="5">
        <f t="shared" si="3"/>
        <v>11544.93465</v>
      </c>
      <c r="L1432" s="5">
        <f t="shared" si="4"/>
        <v>0</v>
      </c>
      <c r="M1432" s="5">
        <v>622.2791190250693</v>
      </c>
      <c r="N1432" s="5">
        <f t="shared" si="5"/>
        <v>0</v>
      </c>
      <c r="O1432" s="5">
        <f t="shared" si="6"/>
        <v>622.279119</v>
      </c>
      <c r="P1432" s="5">
        <f t="shared" si="9"/>
        <v>23898.20004</v>
      </c>
      <c r="Q1432" s="5">
        <f t="shared" si="7"/>
        <v>8862.571875</v>
      </c>
      <c r="R1432" s="5">
        <f t="shared" si="8"/>
        <v>15035.62817</v>
      </c>
    </row>
    <row r="1433" ht="15.75" customHeight="1">
      <c r="A1433" s="4">
        <v>2004.0</v>
      </c>
      <c r="B1433" s="4">
        <v>302.0</v>
      </c>
      <c r="C1433" s="4" t="s">
        <v>20</v>
      </c>
      <c r="D1433" s="5">
        <v>8438.906276038995</v>
      </c>
      <c r="E1433" s="5">
        <f t="shared" si="1"/>
        <v>0</v>
      </c>
      <c r="F1433" s="5">
        <f t="shared" si="2"/>
        <v>8438.906276</v>
      </c>
      <c r="G1433" s="5" t="s">
        <v>19</v>
      </c>
      <c r="H1433" s="5" t="s">
        <v>19</v>
      </c>
      <c r="I1433" s="5" t="s">
        <v>19</v>
      </c>
      <c r="J1433" s="5">
        <v>98997.39660772146</v>
      </c>
      <c r="K1433" s="5">
        <f t="shared" si="3"/>
        <v>98997.39661</v>
      </c>
      <c r="L1433" s="5">
        <f t="shared" si="4"/>
        <v>0</v>
      </c>
      <c r="M1433" s="5">
        <v>3599.734698484679</v>
      </c>
      <c r="N1433" s="5">
        <f t="shared" si="5"/>
        <v>0</v>
      </c>
      <c r="O1433" s="5">
        <f t="shared" si="6"/>
        <v>3599.734698</v>
      </c>
      <c r="P1433" s="5">
        <f t="shared" si="9"/>
        <v>111036.0376</v>
      </c>
      <c r="Q1433" s="5">
        <f t="shared" si="7"/>
        <v>12038.64097</v>
      </c>
      <c r="R1433" s="5">
        <f t="shared" si="8"/>
        <v>98997.39661</v>
      </c>
    </row>
    <row r="1434" ht="15.75" customHeight="1">
      <c r="A1434" s="4">
        <v>2004.0</v>
      </c>
      <c r="B1434" s="4">
        <v>303.0</v>
      </c>
      <c r="C1434" s="4" t="s">
        <v>20</v>
      </c>
      <c r="D1434" s="5">
        <v>14018.040117403894</v>
      </c>
      <c r="E1434" s="5">
        <f t="shared" si="1"/>
        <v>0</v>
      </c>
      <c r="F1434" s="5">
        <f t="shared" si="2"/>
        <v>14018.04012</v>
      </c>
      <c r="G1434" s="5">
        <v>7466.704245181059</v>
      </c>
      <c r="H1434" s="5">
        <v>4374.045116601672</v>
      </c>
      <c r="I1434" s="5">
        <v>3092.6591285793875</v>
      </c>
      <c r="J1434" s="5">
        <v>6057.673136256267</v>
      </c>
      <c r="K1434" s="5">
        <f t="shared" si="3"/>
        <v>6057.673136</v>
      </c>
      <c r="L1434" s="5">
        <f t="shared" si="4"/>
        <v>0</v>
      </c>
      <c r="M1434" s="5">
        <v>13116.443788445678</v>
      </c>
      <c r="N1434" s="5">
        <f t="shared" si="5"/>
        <v>0</v>
      </c>
      <c r="O1434" s="5">
        <f t="shared" si="6"/>
        <v>13116.44379</v>
      </c>
      <c r="P1434" s="5">
        <f t="shared" si="9"/>
        <v>40658.86129</v>
      </c>
      <c r="Q1434" s="5">
        <f t="shared" si="7"/>
        <v>30227.14303</v>
      </c>
      <c r="R1434" s="5">
        <f t="shared" si="8"/>
        <v>10431.71825</v>
      </c>
    </row>
    <row r="1435" ht="15.75" customHeight="1">
      <c r="A1435" s="4">
        <v>2004.0</v>
      </c>
      <c r="B1435" s="4">
        <v>304.0</v>
      </c>
      <c r="C1435" s="4" t="s">
        <v>20</v>
      </c>
      <c r="D1435" s="5">
        <v>32831.0829247298</v>
      </c>
      <c r="E1435" s="5">
        <f t="shared" si="1"/>
        <v>0</v>
      </c>
      <c r="F1435" s="5">
        <f t="shared" si="2"/>
        <v>32831.08292</v>
      </c>
      <c r="G1435" s="5">
        <v>16713.111251504182</v>
      </c>
      <c r="H1435" s="5">
        <v>5499.43628869081</v>
      </c>
      <c r="I1435" s="5">
        <v>11213.674962813373</v>
      </c>
      <c r="J1435" s="5">
        <v>3880.2742688690814</v>
      </c>
      <c r="K1435" s="5">
        <f t="shared" si="3"/>
        <v>3880.274269</v>
      </c>
      <c r="L1435" s="5">
        <f t="shared" si="4"/>
        <v>0</v>
      </c>
      <c r="M1435" s="5">
        <v>4966.813210980501</v>
      </c>
      <c r="N1435" s="5">
        <f t="shared" si="5"/>
        <v>0</v>
      </c>
      <c r="O1435" s="5">
        <f t="shared" si="6"/>
        <v>4966.813211</v>
      </c>
      <c r="P1435" s="5">
        <f t="shared" si="9"/>
        <v>58391.28166</v>
      </c>
      <c r="Q1435" s="5">
        <f t="shared" si="7"/>
        <v>49011.5711</v>
      </c>
      <c r="R1435" s="5">
        <f t="shared" si="8"/>
        <v>9379.710558</v>
      </c>
    </row>
    <row r="1436" ht="15.75" customHeight="1">
      <c r="A1436" s="4">
        <v>2004.0</v>
      </c>
      <c r="B1436" s="4">
        <v>305.0</v>
      </c>
      <c r="C1436" s="4" t="s">
        <v>20</v>
      </c>
      <c r="D1436" s="5">
        <v>62773.22590655708</v>
      </c>
      <c r="E1436" s="5">
        <f t="shared" si="1"/>
        <v>0</v>
      </c>
      <c r="F1436" s="5">
        <f t="shared" si="2"/>
        <v>62773.22591</v>
      </c>
      <c r="G1436" s="5">
        <v>13873.634185292478</v>
      </c>
      <c r="H1436" s="5">
        <v>6365.950349576601</v>
      </c>
      <c r="I1436" s="5">
        <v>7507.683835715877</v>
      </c>
      <c r="J1436" s="5">
        <v>17095.629860791083</v>
      </c>
      <c r="K1436" s="5">
        <f t="shared" si="3"/>
        <v>17095.62986</v>
      </c>
      <c r="L1436" s="5">
        <f t="shared" si="4"/>
        <v>0</v>
      </c>
      <c r="M1436" s="5">
        <v>18743.85999576601</v>
      </c>
      <c r="N1436" s="5">
        <f t="shared" si="5"/>
        <v>0</v>
      </c>
      <c r="O1436" s="5">
        <f t="shared" si="6"/>
        <v>18743.86</v>
      </c>
      <c r="P1436" s="5">
        <f t="shared" si="9"/>
        <v>112486.3499</v>
      </c>
      <c r="Q1436" s="5">
        <f t="shared" si="7"/>
        <v>89024.76974</v>
      </c>
      <c r="R1436" s="5">
        <f t="shared" si="8"/>
        <v>23461.58021</v>
      </c>
    </row>
    <row r="1437" ht="15.75" customHeight="1">
      <c r="A1437" s="4">
        <v>2004.0</v>
      </c>
      <c r="B1437" s="4">
        <v>306.0</v>
      </c>
      <c r="C1437" s="4" t="s">
        <v>20</v>
      </c>
      <c r="D1437" s="5" t="s">
        <v>19</v>
      </c>
      <c r="E1437" s="5" t="str">
        <f t="shared" si="1"/>
        <v/>
      </c>
      <c r="F1437" s="5" t="str">
        <f t="shared" si="2"/>
        <v/>
      </c>
      <c r="G1437" s="5" t="s">
        <v>19</v>
      </c>
      <c r="H1437" s="5" t="s">
        <v>19</v>
      </c>
      <c r="I1437" s="5" t="s">
        <v>19</v>
      </c>
      <c r="J1437" s="5">
        <v>0.0</v>
      </c>
      <c r="K1437" s="5">
        <f t="shared" si="3"/>
        <v>0</v>
      </c>
      <c r="L1437" s="5">
        <f t="shared" si="4"/>
        <v>0</v>
      </c>
      <c r="M1437" s="5">
        <v>46959.524336356524</v>
      </c>
      <c r="N1437" s="5">
        <f t="shared" si="5"/>
        <v>0</v>
      </c>
      <c r="O1437" s="5">
        <f t="shared" si="6"/>
        <v>46959.52434</v>
      </c>
      <c r="P1437" s="5">
        <f t="shared" si="9"/>
        <v>46959.52434</v>
      </c>
      <c r="Q1437" s="5">
        <f t="shared" si="7"/>
        <v>46959.52434</v>
      </c>
      <c r="R1437" s="5">
        <f t="shared" si="8"/>
        <v>0</v>
      </c>
    </row>
    <row r="1438" ht="15.75" customHeight="1">
      <c r="A1438" s="4">
        <v>2004.0</v>
      </c>
      <c r="B1438" s="4">
        <v>307.0</v>
      </c>
      <c r="C1438" s="4" t="s">
        <v>20</v>
      </c>
      <c r="D1438" s="5">
        <v>2181.4582898272974</v>
      </c>
      <c r="E1438" s="5">
        <f t="shared" si="1"/>
        <v>0</v>
      </c>
      <c r="F1438" s="5">
        <f t="shared" si="2"/>
        <v>2181.45829</v>
      </c>
      <c r="G1438" s="5" t="s">
        <v>19</v>
      </c>
      <c r="H1438" s="5" t="s">
        <v>19</v>
      </c>
      <c r="I1438" s="5" t="s">
        <v>19</v>
      </c>
      <c r="J1438" s="5">
        <v>0.0</v>
      </c>
      <c r="K1438" s="5">
        <f t="shared" si="3"/>
        <v>0</v>
      </c>
      <c r="L1438" s="5">
        <f t="shared" si="4"/>
        <v>0</v>
      </c>
      <c r="M1438" s="5">
        <v>4868.1001936545945</v>
      </c>
      <c r="N1438" s="5">
        <f t="shared" si="5"/>
        <v>0</v>
      </c>
      <c r="O1438" s="5">
        <f t="shared" si="6"/>
        <v>4868.100194</v>
      </c>
      <c r="P1438" s="5">
        <f t="shared" si="9"/>
        <v>7049.558483</v>
      </c>
      <c r="Q1438" s="5">
        <f t="shared" si="7"/>
        <v>7049.558483</v>
      </c>
      <c r="R1438" s="5">
        <f t="shared" si="8"/>
        <v>0</v>
      </c>
    </row>
    <row r="1439" ht="15.75" customHeight="1">
      <c r="A1439" s="4">
        <v>2004.0</v>
      </c>
      <c r="B1439" s="4">
        <v>308.0</v>
      </c>
      <c r="C1439" s="4" t="s">
        <v>20</v>
      </c>
      <c r="D1439" s="5">
        <v>56631.09132496933</v>
      </c>
      <c r="E1439" s="5">
        <f t="shared" si="1"/>
        <v>0</v>
      </c>
      <c r="F1439" s="5">
        <f t="shared" si="2"/>
        <v>56631.09132</v>
      </c>
      <c r="G1439" s="5">
        <v>9609.156856072423</v>
      </c>
      <c r="H1439" s="5">
        <v>4348.293591431755</v>
      </c>
      <c r="I1439" s="5">
        <v>5260.863264640668</v>
      </c>
      <c r="J1439" s="5">
        <v>17788.975028590532</v>
      </c>
      <c r="K1439" s="5">
        <f t="shared" si="3"/>
        <v>17788.97503</v>
      </c>
      <c r="L1439" s="5">
        <f t="shared" si="4"/>
        <v>0</v>
      </c>
      <c r="M1439" s="5">
        <v>34799.241931420605</v>
      </c>
      <c r="N1439" s="5">
        <f t="shared" si="5"/>
        <v>0</v>
      </c>
      <c r="O1439" s="5">
        <f t="shared" si="6"/>
        <v>34799.24193</v>
      </c>
      <c r="P1439" s="5">
        <f t="shared" si="9"/>
        <v>118828.4651</v>
      </c>
      <c r="Q1439" s="5">
        <f t="shared" si="7"/>
        <v>96691.19652</v>
      </c>
      <c r="R1439" s="5">
        <f t="shared" si="8"/>
        <v>22137.26862</v>
      </c>
    </row>
    <row r="1440" ht="15.75" customHeight="1">
      <c r="A1440" s="4">
        <v>2004.0</v>
      </c>
      <c r="B1440" s="4">
        <v>309.0</v>
      </c>
      <c r="C1440" s="4" t="s">
        <v>20</v>
      </c>
      <c r="D1440" s="5" t="s">
        <v>19</v>
      </c>
      <c r="E1440" s="5" t="str">
        <f t="shared" si="1"/>
        <v/>
      </c>
      <c r="F1440" s="5" t="str">
        <f t="shared" si="2"/>
        <v/>
      </c>
      <c r="G1440" s="5" t="s">
        <v>19</v>
      </c>
      <c r="H1440" s="5" t="s">
        <v>19</v>
      </c>
      <c r="I1440" s="5" t="s">
        <v>19</v>
      </c>
      <c r="J1440" s="5">
        <v>2797.967379275766</v>
      </c>
      <c r="K1440" s="5">
        <f t="shared" si="3"/>
        <v>2797.967379</v>
      </c>
      <c r="L1440" s="5">
        <f t="shared" si="4"/>
        <v>0</v>
      </c>
      <c r="M1440" s="5">
        <v>5645.997481169914</v>
      </c>
      <c r="N1440" s="5">
        <f t="shared" si="5"/>
        <v>0</v>
      </c>
      <c r="O1440" s="5">
        <f t="shared" si="6"/>
        <v>5645.997481</v>
      </c>
      <c r="P1440" s="5">
        <f t="shared" si="9"/>
        <v>8443.96486</v>
      </c>
      <c r="Q1440" s="5">
        <f t="shared" si="7"/>
        <v>5645.997481</v>
      </c>
      <c r="R1440" s="5">
        <f t="shared" si="8"/>
        <v>2797.967379</v>
      </c>
    </row>
    <row r="1441" ht="15.75" customHeight="1">
      <c r="A1441" s="4">
        <v>2004.0</v>
      </c>
      <c r="B1441" s="4">
        <v>310.0</v>
      </c>
      <c r="C1441" s="4" t="s">
        <v>20</v>
      </c>
      <c r="D1441" s="5" t="s">
        <v>19</v>
      </c>
      <c r="E1441" s="5" t="str">
        <f t="shared" si="1"/>
        <v/>
      </c>
      <c r="F1441" s="5" t="str">
        <f t="shared" si="2"/>
        <v/>
      </c>
      <c r="G1441" s="5" t="s">
        <v>19</v>
      </c>
      <c r="H1441" s="5" t="s">
        <v>19</v>
      </c>
      <c r="I1441" s="5" t="s">
        <v>19</v>
      </c>
      <c r="J1441" s="5">
        <v>5244.344833036212</v>
      </c>
      <c r="K1441" s="5">
        <f t="shared" si="3"/>
        <v>5244.344833</v>
      </c>
      <c r="L1441" s="5">
        <f t="shared" si="4"/>
        <v>0</v>
      </c>
      <c r="M1441" s="5">
        <v>6697.968557966571</v>
      </c>
      <c r="N1441" s="5">
        <f t="shared" si="5"/>
        <v>0</v>
      </c>
      <c r="O1441" s="5">
        <f t="shared" si="6"/>
        <v>6697.968558</v>
      </c>
      <c r="P1441" s="5">
        <f t="shared" si="9"/>
        <v>11942.31339</v>
      </c>
      <c r="Q1441" s="5">
        <f t="shared" si="7"/>
        <v>6697.968558</v>
      </c>
      <c r="R1441" s="5">
        <f t="shared" si="8"/>
        <v>5244.344833</v>
      </c>
    </row>
    <row r="1442" ht="15.75" customHeight="1">
      <c r="A1442" s="4">
        <v>2004.0</v>
      </c>
      <c r="B1442" s="4">
        <v>311.0</v>
      </c>
      <c r="C1442" s="4" t="s">
        <v>20</v>
      </c>
      <c r="D1442" s="5" t="s">
        <v>19</v>
      </c>
      <c r="E1442" s="5" t="str">
        <f t="shared" si="1"/>
        <v/>
      </c>
      <c r="F1442" s="5" t="str">
        <f t="shared" si="2"/>
        <v/>
      </c>
      <c r="G1442" s="5" t="s">
        <v>19</v>
      </c>
      <c r="H1442" s="5" t="s">
        <v>19</v>
      </c>
      <c r="I1442" s="5" t="s">
        <v>19</v>
      </c>
      <c r="J1442" s="5">
        <v>0.0</v>
      </c>
      <c r="K1442" s="5">
        <f t="shared" si="3"/>
        <v>0</v>
      </c>
      <c r="L1442" s="5">
        <f t="shared" si="4"/>
        <v>0</v>
      </c>
      <c r="M1442" s="5">
        <v>1513.599598997214</v>
      </c>
      <c r="N1442" s="5">
        <f t="shared" si="5"/>
        <v>0</v>
      </c>
      <c r="O1442" s="5">
        <f t="shared" si="6"/>
        <v>1513.599599</v>
      </c>
      <c r="P1442" s="5">
        <f t="shared" si="9"/>
        <v>1513.599599</v>
      </c>
      <c r="Q1442" s="5">
        <f t="shared" si="7"/>
        <v>1513.599599</v>
      </c>
      <c r="R1442" s="5">
        <f t="shared" si="8"/>
        <v>0</v>
      </c>
    </row>
    <row r="1443" ht="15.75" customHeight="1">
      <c r="A1443" s="4">
        <v>2004.0</v>
      </c>
      <c r="B1443" s="4">
        <v>312.0</v>
      </c>
      <c r="C1443" s="4" t="s">
        <v>20</v>
      </c>
      <c r="D1443" s="5">
        <v>2190.9546878551523</v>
      </c>
      <c r="E1443" s="5">
        <f t="shared" si="1"/>
        <v>0</v>
      </c>
      <c r="F1443" s="5">
        <f t="shared" si="2"/>
        <v>2190.954688</v>
      </c>
      <c r="G1443" s="5" t="s">
        <v>19</v>
      </c>
      <c r="H1443" s="5" t="s">
        <v>19</v>
      </c>
      <c r="I1443" s="5" t="s">
        <v>19</v>
      </c>
      <c r="J1443" s="5">
        <v>804.4770883119778</v>
      </c>
      <c r="K1443" s="5">
        <f t="shared" si="3"/>
        <v>804.4770883</v>
      </c>
      <c r="L1443" s="5">
        <f t="shared" si="4"/>
        <v>0</v>
      </c>
      <c r="M1443" s="5">
        <v>2731.0601460167118</v>
      </c>
      <c r="N1443" s="5">
        <f t="shared" si="5"/>
        <v>0</v>
      </c>
      <c r="O1443" s="5">
        <f t="shared" si="6"/>
        <v>2731.060146</v>
      </c>
      <c r="P1443" s="5">
        <f t="shared" si="9"/>
        <v>5726.491922</v>
      </c>
      <c r="Q1443" s="5">
        <f t="shared" si="7"/>
        <v>4922.014834</v>
      </c>
      <c r="R1443" s="5">
        <f t="shared" si="8"/>
        <v>804.4770883</v>
      </c>
    </row>
    <row r="1444" ht="15.75" customHeight="1">
      <c r="A1444" s="4">
        <v>2004.0</v>
      </c>
      <c r="B1444" s="4">
        <v>313.0</v>
      </c>
      <c r="C1444" s="4" t="s">
        <v>20</v>
      </c>
      <c r="D1444" s="5">
        <v>94194.77203829524</v>
      </c>
      <c r="E1444" s="5">
        <f t="shared" si="1"/>
        <v>0</v>
      </c>
      <c r="F1444" s="5">
        <f t="shared" si="2"/>
        <v>94194.77204</v>
      </c>
      <c r="G1444" s="5">
        <v>6564.781837186631</v>
      </c>
      <c r="H1444" s="5">
        <v>1643.5168107242341</v>
      </c>
      <c r="I1444" s="5">
        <v>4921.265026462396</v>
      </c>
      <c r="J1444" s="5">
        <v>0.0</v>
      </c>
      <c r="K1444" s="5">
        <f t="shared" si="3"/>
        <v>0</v>
      </c>
      <c r="L1444" s="5">
        <f t="shared" si="4"/>
        <v>0</v>
      </c>
      <c r="M1444" s="5">
        <v>5160.174591977713</v>
      </c>
      <c r="N1444" s="5">
        <f t="shared" si="5"/>
        <v>0</v>
      </c>
      <c r="O1444" s="5">
        <f t="shared" si="6"/>
        <v>5160.174592</v>
      </c>
      <c r="P1444" s="5">
        <f t="shared" si="9"/>
        <v>105919.7285</v>
      </c>
      <c r="Q1444" s="5">
        <f t="shared" si="7"/>
        <v>104276.2117</v>
      </c>
      <c r="R1444" s="5">
        <f t="shared" si="8"/>
        <v>1643.516811</v>
      </c>
    </row>
    <row r="1445" ht="15.75" customHeight="1">
      <c r="A1445" s="4">
        <v>2004.0</v>
      </c>
      <c r="B1445" s="4">
        <v>314.0</v>
      </c>
      <c r="C1445" s="4" t="s">
        <v>20</v>
      </c>
      <c r="D1445" s="5" t="s">
        <v>19</v>
      </c>
      <c r="E1445" s="5" t="str">
        <f t="shared" si="1"/>
        <v/>
      </c>
      <c r="F1445" s="5" t="str">
        <f t="shared" si="2"/>
        <v/>
      </c>
      <c r="G1445" s="5" t="s">
        <v>19</v>
      </c>
      <c r="H1445" s="5" t="s">
        <v>19</v>
      </c>
      <c r="I1445" s="5" t="s">
        <v>19</v>
      </c>
      <c r="J1445" s="5">
        <v>0.0</v>
      </c>
      <c r="K1445" s="5">
        <f t="shared" si="3"/>
        <v>0</v>
      </c>
      <c r="L1445" s="5">
        <f t="shared" si="4"/>
        <v>0</v>
      </c>
      <c r="M1445" s="5">
        <v>3804.3222657660153</v>
      </c>
      <c r="N1445" s="5">
        <f t="shared" si="5"/>
        <v>0</v>
      </c>
      <c r="O1445" s="5">
        <f t="shared" si="6"/>
        <v>3804.322266</v>
      </c>
      <c r="P1445" s="5">
        <f t="shared" si="9"/>
        <v>3804.322266</v>
      </c>
      <c r="Q1445" s="5">
        <f t="shared" si="7"/>
        <v>3804.322266</v>
      </c>
      <c r="R1445" s="5">
        <f t="shared" si="8"/>
        <v>0</v>
      </c>
    </row>
    <row r="1446" ht="15.75" customHeight="1">
      <c r="A1446" s="4">
        <v>2004.0</v>
      </c>
      <c r="B1446" s="4">
        <v>320.0</v>
      </c>
      <c r="C1446" s="4" t="s">
        <v>20</v>
      </c>
      <c r="D1446" s="5">
        <v>164799.13474710862</v>
      </c>
      <c r="E1446" s="5">
        <f t="shared" si="1"/>
        <v>0</v>
      </c>
      <c r="F1446" s="5">
        <f t="shared" si="2"/>
        <v>164799.1347</v>
      </c>
      <c r="G1446" s="5">
        <v>17341.42370456825</v>
      </c>
      <c r="H1446" s="5">
        <v>10400.025811771591</v>
      </c>
      <c r="I1446" s="5">
        <v>6941.397892796658</v>
      </c>
      <c r="J1446" s="5">
        <v>121893.03090411142</v>
      </c>
      <c r="K1446" s="5">
        <f t="shared" si="3"/>
        <v>121893.0309</v>
      </c>
      <c r="L1446" s="5">
        <f t="shared" si="4"/>
        <v>0</v>
      </c>
      <c r="M1446" s="5">
        <v>50040.531806540384</v>
      </c>
      <c r="N1446" s="5">
        <f t="shared" si="5"/>
        <v>0</v>
      </c>
      <c r="O1446" s="5">
        <f t="shared" si="6"/>
        <v>50040.53181</v>
      </c>
      <c r="P1446" s="5">
        <f t="shared" si="9"/>
        <v>354074.1212</v>
      </c>
      <c r="Q1446" s="5">
        <f t="shared" si="7"/>
        <v>221781.0644</v>
      </c>
      <c r="R1446" s="5">
        <f t="shared" si="8"/>
        <v>132293.0567</v>
      </c>
    </row>
    <row r="1447" ht="15.75" customHeight="1">
      <c r="A1447" s="4">
        <v>2004.0</v>
      </c>
      <c r="B1447" s="4">
        <v>321.0</v>
      </c>
      <c r="C1447" s="4" t="s">
        <v>20</v>
      </c>
      <c r="D1447" s="5">
        <v>120623.92606396099</v>
      </c>
      <c r="E1447" s="5">
        <f t="shared" si="1"/>
        <v>0</v>
      </c>
      <c r="F1447" s="5">
        <f t="shared" si="2"/>
        <v>120623.9261</v>
      </c>
      <c r="G1447" s="5">
        <v>10605.790402311977</v>
      </c>
      <c r="H1447" s="5">
        <v>6329.303948373258</v>
      </c>
      <c r="I1447" s="5">
        <v>4276.486453938719</v>
      </c>
      <c r="J1447" s="5">
        <v>5379.079993303621</v>
      </c>
      <c r="K1447" s="5">
        <f t="shared" si="3"/>
        <v>5379.079993</v>
      </c>
      <c r="L1447" s="5">
        <f t="shared" si="4"/>
        <v>0</v>
      </c>
      <c r="M1447" s="5">
        <v>7376.572163348184</v>
      </c>
      <c r="N1447" s="5">
        <f t="shared" si="5"/>
        <v>0</v>
      </c>
      <c r="O1447" s="5">
        <f t="shared" si="6"/>
        <v>7376.572163</v>
      </c>
      <c r="P1447" s="5">
        <f t="shared" si="9"/>
        <v>143985.3686</v>
      </c>
      <c r="Q1447" s="5">
        <f t="shared" si="7"/>
        <v>132276.9847</v>
      </c>
      <c r="R1447" s="5">
        <f t="shared" si="8"/>
        <v>11708.38394</v>
      </c>
    </row>
    <row r="1448" ht="15.75" customHeight="1">
      <c r="A1448" s="4">
        <v>2004.0</v>
      </c>
      <c r="B1448" s="4">
        <v>322.0</v>
      </c>
      <c r="C1448" s="4" t="s">
        <v>20</v>
      </c>
      <c r="D1448" s="5">
        <v>12744.166153381613</v>
      </c>
      <c r="E1448" s="5">
        <f t="shared" si="1"/>
        <v>0</v>
      </c>
      <c r="F1448" s="5">
        <f t="shared" si="2"/>
        <v>12744.16615</v>
      </c>
      <c r="G1448" s="5" t="s">
        <v>19</v>
      </c>
      <c r="H1448" s="5" t="s">
        <v>19</v>
      </c>
      <c r="I1448" s="5" t="s">
        <v>19</v>
      </c>
      <c r="J1448" s="5">
        <v>0.0</v>
      </c>
      <c r="K1448" s="5">
        <f t="shared" si="3"/>
        <v>0</v>
      </c>
      <c r="L1448" s="5">
        <f t="shared" si="4"/>
        <v>0</v>
      </c>
      <c r="M1448" s="5">
        <v>13112.766244662944</v>
      </c>
      <c r="N1448" s="5">
        <f t="shared" si="5"/>
        <v>0</v>
      </c>
      <c r="O1448" s="5">
        <f t="shared" si="6"/>
        <v>13112.76624</v>
      </c>
      <c r="P1448" s="5">
        <f t="shared" si="9"/>
        <v>25856.9324</v>
      </c>
      <c r="Q1448" s="5">
        <f t="shared" si="7"/>
        <v>25856.9324</v>
      </c>
      <c r="R1448" s="5">
        <f t="shared" si="8"/>
        <v>0</v>
      </c>
    </row>
    <row r="1449" ht="15.75" customHeight="1">
      <c r="A1449" s="4">
        <v>2004.0</v>
      </c>
      <c r="B1449" s="4">
        <v>323.0</v>
      </c>
      <c r="C1449" s="4" t="s">
        <v>20</v>
      </c>
      <c r="D1449" s="5">
        <v>3141.9511189303616</v>
      </c>
      <c r="E1449" s="5">
        <f t="shared" si="1"/>
        <v>0</v>
      </c>
      <c r="F1449" s="5">
        <f t="shared" si="2"/>
        <v>3141.951119</v>
      </c>
      <c r="G1449" s="5" t="s">
        <v>19</v>
      </c>
      <c r="H1449" s="5" t="s">
        <v>19</v>
      </c>
      <c r="I1449" s="5" t="s">
        <v>19</v>
      </c>
      <c r="J1449" s="5">
        <v>253.24309320334265</v>
      </c>
      <c r="K1449" s="5">
        <f t="shared" si="3"/>
        <v>253.2430932</v>
      </c>
      <c r="L1449" s="5">
        <f t="shared" si="4"/>
        <v>0</v>
      </c>
      <c r="M1449" s="5">
        <v>334436.99293106375</v>
      </c>
      <c r="N1449" s="5">
        <f t="shared" si="5"/>
        <v>0</v>
      </c>
      <c r="O1449" s="5">
        <f t="shared" si="6"/>
        <v>334436.9929</v>
      </c>
      <c r="P1449" s="5">
        <f t="shared" si="9"/>
        <v>337832.1871</v>
      </c>
      <c r="Q1449" s="5">
        <f t="shared" si="7"/>
        <v>337578.944</v>
      </c>
      <c r="R1449" s="5">
        <f t="shared" si="8"/>
        <v>253.2430932</v>
      </c>
    </row>
    <row r="1450" ht="15.75" customHeight="1">
      <c r="A1450" s="4">
        <v>2004.0</v>
      </c>
      <c r="B1450" s="4">
        <v>324.0</v>
      </c>
      <c r="C1450" s="4" t="s">
        <v>20</v>
      </c>
      <c r="D1450" s="5">
        <v>6298.146834902505</v>
      </c>
      <c r="E1450" s="5">
        <f t="shared" si="1"/>
        <v>0</v>
      </c>
      <c r="F1450" s="5">
        <f t="shared" si="2"/>
        <v>6298.146835</v>
      </c>
      <c r="G1450" s="5" t="s">
        <v>19</v>
      </c>
      <c r="H1450" s="5" t="s">
        <v>19</v>
      </c>
      <c r="I1450" s="5" t="s">
        <v>19</v>
      </c>
      <c r="J1450" s="5">
        <v>0.0</v>
      </c>
      <c r="K1450" s="5">
        <f t="shared" si="3"/>
        <v>0</v>
      </c>
      <c r="L1450" s="5">
        <f t="shared" si="4"/>
        <v>0</v>
      </c>
      <c r="M1450" s="5">
        <v>33344.289478011124</v>
      </c>
      <c r="N1450" s="5">
        <f t="shared" si="5"/>
        <v>0</v>
      </c>
      <c r="O1450" s="5">
        <f t="shared" si="6"/>
        <v>33344.28948</v>
      </c>
      <c r="P1450" s="5">
        <f t="shared" si="9"/>
        <v>39642.43631</v>
      </c>
      <c r="Q1450" s="5">
        <f t="shared" si="7"/>
        <v>39642.43631</v>
      </c>
      <c r="R1450" s="5">
        <f t="shared" si="8"/>
        <v>0</v>
      </c>
    </row>
    <row r="1451" ht="15.75" customHeight="1">
      <c r="A1451" s="4">
        <v>2004.0</v>
      </c>
      <c r="B1451" s="4">
        <v>325.0</v>
      </c>
      <c r="C1451" s="4" t="s">
        <v>20</v>
      </c>
      <c r="D1451" s="5">
        <v>4740.73755833426</v>
      </c>
      <c r="E1451" s="5">
        <f t="shared" si="1"/>
        <v>0</v>
      </c>
      <c r="F1451" s="5">
        <f t="shared" si="2"/>
        <v>4740.737558</v>
      </c>
      <c r="G1451" s="5" t="s">
        <v>19</v>
      </c>
      <c r="H1451" s="5" t="s">
        <v>19</v>
      </c>
      <c r="I1451" s="5" t="s">
        <v>19</v>
      </c>
      <c r="J1451" s="5">
        <v>0.0</v>
      </c>
      <c r="K1451" s="5">
        <f t="shared" si="3"/>
        <v>0</v>
      </c>
      <c r="L1451" s="5">
        <f t="shared" si="4"/>
        <v>0</v>
      </c>
      <c r="M1451" s="5">
        <v>10605.64915952089</v>
      </c>
      <c r="N1451" s="5">
        <f t="shared" si="5"/>
        <v>0</v>
      </c>
      <c r="O1451" s="5">
        <f t="shared" si="6"/>
        <v>10605.64916</v>
      </c>
      <c r="P1451" s="5">
        <f t="shared" si="9"/>
        <v>15346.38672</v>
      </c>
      <c r="Q1451" s="5">
        <f t="shared" si="7"/>
        <v>15346.38672</v>
      </c>
      <c r="R1451" s="5">
        <f t="shared" si="8"/>
        <v>0</v>
      </c>
    </row>
    <row r="1452" ht="15.75" customHeight="1">
      <c r="A1452" s="4">
        <v>2004.0</v>
      </c>
      <c r="B1452" s="4">
        <v>326.0</v>
      </c>
      <c r="C1452" s="4" t="s">
        <v>20</v>
      </c>
      <c r="D1452" s="5" t="s">
        <v>19</v>
      </c>
      <c r="E1452" s="5" t="str">
        <f t="shared" si="1"/>
        <v/>
      </c>
      <c r="F1452" s="5" t="str">
        <f t="shared" si="2"/>
        <v/>
      </c>
      <c r="G1452" s="5" t="s">
        <v>19</v>
      </c>
      <c r="H1452" s="5" t="s">
        <v>19</v>
      </c>
      <c r="I1452" s="5" t="s">
        <v>19</v>
      </c>
      <c r="J1452" s="5">
        <v>0.0</v>
      </c>
      <c r="K1452" s="5">
        <f t="shared" si="3"/>
        <v>0</v>
      </c>
      <c r="L1452" s="5">
        <f t="shared" si="4"/>
        <v>0</v>
      </c>
      <c r="M1452" s="5">
        <v>42499.244392713095</v>
      </c>
      <c r="N1452" s="5">
        <f t="shared" si="5"/>
        <v>0</v>
      </c>
      <c r="O1452" s="5">
        <f t="shared" si="6"/>
        <v>42499.24439</v>
      </c>
      <c r="P1452" s="5">
        <f t="shared" si="9"/>
        <v>42499.24439</v>
      </c>
      <c r="Q1452" s="5">
        <f t="shared" si="7"/>
        <v>42499.24439</v>
      </c>
      <c r="R1452" s="5">
        <f t="shared" si="8"/>
        <v>0</v>
      </c>
    </row>
    <row r="1453" ht="15.75" customHeight="1">
      <c r="A1453" s="4">
        <v>2004.0</v>
      </c>
      <c r="B1453" s="4">
        <v>327.0</v>
      </c>
      <c r="C1453" s="4" t="s">
        <v>20</v>
      </c>
      <c r="D1453" s="5">
        <v>168845.27862111977</v>
      </c>
      <c r="E1453" s="5">
        <f t="shared" si="1"/>
        <v>0</v>
      </c>
      <c r="F1453" s="5">
        <f t="shared" si="2"/>
        <v>168845.2786</v>
      </c>
      <c r="G1453" s="5">
        <v>15164.924606072427</v>
      </c>
      <c r="H1453" s="5">
        <v>6528.011630573818</v>
      </c>
      <c r="I1453" s="5">
        <v>8636.91297549861</v>
      </c>
      <c r="J1453" s="5">
        <v>78.67746584958218</v>
      </c>
      <c r="K1453" s="5">
        <f t="shared" si="3"/>
        <v>78.67746585</v>
      </c>
      <c r="L1453" s="5">
        <f t="shared" si="4"/>
        <v>0</v>
      </c>
      <c r="M1453" s="5">
        <v>68309.02087965456</v>
      </c>
      <c r="N1453" s="5">
        <f t="shared" si="5"/>
        <v>0</v>
      </c>
      <c r="O1453" s="5">
        <f t="shared" si="6"/>
        <v>68309.02088</v>
      </c>
      <c r="P1453" s="5">
        <f t="shared" si="9"/>
        <v>252397.9016</v>
      </c>
      <c r="Q1453" s="5">
        <f t="shared" si="7"/>
        <v>245791.2125</v>
      </c>
      <c r="R1453" s="5">
        <f t="shared" si="8"/>
        <v>6606.689096</v>
      </c>
    </row>
    <row r="1454" ht="15.75" customHeight="1">
      <c r="A1454" s="4">
        <v>2004.0</v>
      </c>
      <c r="B1454" s="4">
        <v>328.0</v>
      </c>
      <c r="C1454" s="4" t="s">
        <v>20</v>
      </c>
      <c r="D1454" s="5">
        <v>11558.473028189412</v>
      </c>
      <c r="E1454" s="5">
        <f t="shared" si="1"/>
        <v>0</v>
      </c>
      <c r="F1454" s="5">
        <f t="shared" si="2"/>
        <v>11558.47303</v>
      </c>
      <c r="G1454" s="5" t="s">
        <v>19</v>
      </c>
      <c r="H1454" s="5" t="s">
        <v>19</v>
      </c>
      <c r="I1454" s="5" t="s">
        <v>19</v>
      </c>
      <c r="J1454" s="5">
        <v>0.0</v>
      </c>
      <c r="K1454" s="5">
        <f t="shared" si="3"/>
        <v>0</v>
      </c>
      <c r="L1454" s="5">
        <f t="shared" si="4"/>
        <v>0</v>
      </c>
      <c r="M1454" s="5">
        <v>160566.59398231748</v>
      </c>
      <c r="N1454" s="5">
        <f t="shared" si="5"/>
        <v>0</v>
      </c>
      <c r="O1454" s="5">
        <f t="shared" si="6"/>
        <v>160566.594</v>
      </c>
      <c r="P1454" s="5">
        <f t="shared" si="9"/>
        <v>172125.067</v>
      </c>
      <c r="Q1454" s="5">
        <f t="shared" si="7"/>
        <v>172125.067</v>
      </c>
      <c r="R1454" s="5">
        <f t="shared" si="8"/>
        <v>0</v>
      </c>
    </row>
    <row r="1455" ht="15.75" customHeight="1">
      <c r="A1455" s="4">
        <v>2004.0</v>
      </c>
      <c r="B1455" s="4">
        <v>331.0</v>
      </c>
      <c r="C1455" s="4" t="s">
        <v>20</v>
      </c>
      <c r="D1455" s="5">
        <v>300881.8401721281</v>
      </c>
      <c r="E1455" s="5">
        <f t="shared" si="1"/>
        <v>0</v>
      </c>
      <c r="F1455" s="5">
        <f t="shared" si="2"/>
        <v>300881.8402</v>
      </c>
      <c r="G1455" s="5">
        <v>195380.41182103066</v>
      </c>
      <c r="H1455" s="5">
        <v>52452.63783047355</v>
      </c>
      <c r="I1455" s="5">
        <v>142927.77399055712</v>
      </c>
      <c r="J1455" s="5">
        <v>1406.3597020612815</v>
      </c>
      <c r="K1455" s="5">
        <f t="shared" si="3"/>
        <v>1406.359702</v>
      </c>
      <c r="L1455" s="5">
        <f t="shared" si="4"/>
        <v>0</v>
      </c>
      <c r="M1455" s="5">
        <v>58928.768019526426</v>
      </c>
      <c r="N1455" s="5">
        <f t="shared" si="5"/>
        <v>0</v>
      </c>
      <c r="O1455" s="5">
        <f t="shared" si="6"/>
        <v>58928.76802</v>
      </c>
      <c r="P1455" s="5">
        <f t="shared" si="9"/>
        <v>556597.3797</v>
      </c>
      <c r="Q1455" s="5">
        <f t="shared" si="7"/>
        <v>502738.3822</v>
      </c>
      <c r="R1455" s="5">
        <f t="shared" si="8"/>
        <v>53858.99753</v>
      </c>
    </row>
    <row r="1456" ht="15.75" customHeight="1">
      <c r="A1456" s="4">
        <v>2004.0</v>
      </c>
      <c r="B1456" s="4">
        <v>332.0</v>
      </c>
      <c r="C1456" s="4" t="s">
        <v>20</v>
      </c>
      <c r="D1456" s="5" t="s">
        <v>19</v>
      </c>
      <c r="E1456" s="5" t="str">
        <f t="shared" si="1"/>
        <v/>
      </c>
      <c r="F1456" s="5" t="str">
        <f t="shared" si="2"/>
        <v/>
      </c>
      <c r="G1456" s="5" t="s">
        <v>19</v>
      </c>
      <c r="H1456" s="5" t="s">
        <v>19</v>
      </c>
      <c r="I1456" s="5" t="s">
        <v>19</v>
      </c>
      <c r="J1456" s="5">
        <v>0.0</v>
      </c>
      <c r="K1456" s="5">
        <f t="shared" si="3"/>
        <v>0</v>
      </c>
      <c r="L1456" s="5">
        <f t="shared" si="4"/>
        <v>0</v>
      </c>
      <c r="M1456" s="5">
        <v>94888.5653468022</v>
      </c>
      <c r="N1456" s="5">
        <f t="shared" si="5"/>
        <v>0</v>
      </c>
      <c r="O1456" s="5">
        <f t="shared" si="6"/>
        <v>94888.56535</v>
      </c>
      <c r="P1456" s="5">
        <f t="shared" si="9"/>
        <v>94888.56535</v>
      </c>
      <c r="Q1456" s="5">
        <f t="shared" si="7"/>
        <v>94888.56535</v>
      </c>
      <c r="R1456" s="5">
        <f t="shared" si="8"/>
        <v>0</v>
      </c>
    </row>
    <row r="1457" ht="15.75" customHeight="1">
      <c r="A1457" s="4">
        <v>2004.0</v>
      </c>
      <c r="B1457" s="4">
        <v>333.0</v>
      </c>
      <c r="C1457" s="4" t="s">
        <v>20</v>
      </c>
      <c r="D1457" s="5" t="s">
        <v>19</v>
      </c>
      <c r="E1457" s="5" t="str">
        <f t="shared" si="1"/>
        <v/>
      </c>
      <c r="F1457" s="5" t="str">
        <f t="shared" si="2"/>
        <v/>
      </c>
      <c r="G1457" s="5" t="s">
        <v>19</v>
      </c>
      <c r="H1457" s="5" t="s">
        <v>19</v>
      </c>
      <c r="I1457" s="5" t="s">
        <v>19</v>
      </c>
      <c r="J1457" s="5">
        <v>0.0</v>
      </c>
      <c r="K1457" s="5">
        <f t="shared" si="3"/>
        <v>0</v>
      </c>
      <c r="L1457" s="5">
        <f t="shared" si="4"/>
        <v>0</v>
      </c>
      <c r="M1457" s="5">
        <v>62630.50616924791</v>
      </c>
      <c r="N1457" s="5">
        <f t="shared" si="5"/>
        <v>0</v>
      </c>
      <c r="O1457" s="5">
        <f t="shared" si="6"/>
        <v>62630.50617</v>
      </c>
      <c r="P1457" s="5">
        <f t="shared" si="9"/>
        <v>62630.50617</v>
      </c>
      <c r="Q1457" s="5">
        <f t="shared" si="7"/>
        <v>62630.50617</v>
      </c>
      <c r="R1457" s="5">
        <f t="shared" si="8"/>
        <v>0</v>
      </c>
    </row>
    <row r="1458" ht="15.75" customHeight="1">
      <c r="A1458" s="4">
        <v>2004.0</v>
      </c>
      <c r="B1458" s="4">
        <v>400.0</v>
      </c>
      <c r="C1458" s="4" t="s">
        <v>21</v>
      </c>
      <c r="D1458" s="5">
        <v>312.55460303064046</v>
      </c>
      <c r="E1458" s="5">
        <f t="shared" si="1"/>
        <v>0</v>
      </c>
      <c r="F1458" s="5">
        <f t="shared" si="2"/>
        <v>312.554603</v>
      </c>
      <c r="G1458" s="5">
        <v>7078.544642941504</v>
      </c>
      <c r="H1458" s="5">
        <v>5581.982063277995</v>
      </c>
      <c r="I1458" s="5">
        <v>1496.5625796635095</v>
      </c>
      <c r="J1458" s="5">
        <v>153422.13603686908</v>
      </c>
      <c r="K1458" s="5">
        <f t="shared" si="3"/>
        <v>153422.136</v>
      </c>
      <c r="L1458" s="5">
        <f t="shared" si="4"/>
        <v>0</v>
      </c>
      <c r="M1458" s="5">
        <v>893.1252489693597</v>
      </c>
      <c r="N1458" s="5">
        <f t="shared" si="5"/>
        <v>0</v>
      </c>
      <c r="O1458" s="5">
        <f t="shared" si="6"/>
        <v>893.125249</v>
      </c>
      <c r="P1458" s="5">
        <f t="shared" si="9"/>
        <v>161706.3605</v>
      </c>
      <c r="Q1458" s="5">
        <f t="shared" si="7"/>
        <v>2702.242432</v>
      </c>
      <c r="R1458" s="5">
        <f t="shared" si="8"/>
        <v>159004.1181</v>
      </c>
    </row>
    <row r="1459" ht="15.75" customHeight="1">
      <c r="A1459" s="4">
        <v>2004.0</v>
      </c>
      <c r="B1459" s="4">
        <v>401.0</v>
      </c>
      <c r="C1459" s="4" t="s">
        <v>21</v>
      </c>
      <c r="D1459" s="5">
        <v>868.2072306406682</v>
      </c>
      <c r="E1459" s="5">
        <f t="shared" si="1"/>
        <v>0</v>
      </c>
      <c r="F1459" s="5">
        <f t="shared" si="2"/>
        <v>868.2072306</v>
      </c>
      <c r="G1459" s="5">
        <v>6130.118481916435</v>
      </c>
      <c r="H1459" s="5">
        <v>4245.715055349305</v>
      </c>
      <c r="I1459" s="5">
        <v>1884.4034265671298</v>
      </c>
      <c r="J1459" s="5">
        <v>332507.8500657382</v>
      </c>
      <c r="K1459" s="5">
        <f t="shared" si="3"/>
        <v>332507.8501</v>
      </c>
      <c r="L1459" s="5">
        <f t="shared" si="4"/>
        <v>0</v>
      </c>
      <c r="M1459" s="5">
        <v>2826.0328449860735</v>
      </c>
      <c r="N1459" s="5">
        <f t="shared" si="5"/>
        <v>0</v>
      </c>
      <c r="O1459" s="5">
        <f t="shared" si="6"/>
        <v>2826.032845</v>
      </c>
      <c r="P1459" s="5">
        <f t="shared" si="9"/>
        <v>342332.2086</v>
      </c>
      <c r="Q1459" s="5">
        <f t="shared" si="7"/>
        <v>5578.643502</v>
      </c>
      <c r="R1459" s="5">
        <f t="shared" si="8"/>
        <v>336753.5651</v>
      </c>
    </row>
    <row r="1460" ht="15.75" customHeight="1">
      <c r="A1460" s="4">
        <v>2004.0</v>
      </c>
      <c r="B1460" s="4">
        <v>402.0</v>
      </c>
      <c r="C1460" s="4" t="s">
        <v>21</v>
      </c>
      <c r="D1460" s="5">
        <v>1446.5668165905286</v>
      </c>
      <c r="E1460" s="5">
        <f t="shared" si="1"/>
        <v>0</v>
      </c>
      <c r="F1460" s="5">
        <f t="shared" si="2"/>
        <v>1446.566817</v>
      </c>
      <c r="G1460" s="5">
        <v>65674.98232494708</v>
      </c>
      <c r="H1460" s="5">
        <v>52154.968473885245</v>
      </c>
      <c r="I1460" s="5">
        <v>13520.013851061834</v>
      </c>
      <c r="J1460" s="5">
        <v>359106.5460091141</v>
      </c>
      <c r="K1460" s="5">
        <f t="shared" si="3"/>
        <v>359106.546</v>
      </c>
      <c r="L1460" s="5">
        <f t="shared" si="4"/>
        <v>0</v>
      </c>
      <c r="M1460" s="5">
        <v>16027.698348601683</v>
      </c>
      <c r="N1460" s="5">
        <f t="shared" si="5"/>
        <v>0</v>
      </c>
      <c r="O1460" s="5">
        <f t="shared" si="6"/>
        <v>16027.69835</v>
      </c>
      <c r="P1460" s="5">
        <f t="shared" si="9"/>
        <v>442255.7935</v>
      </c>
      <c r="Q1460" s="5">
        <f t="shared" si="7"/>
        <v>30994.27902</v>
      </c>
      <c r="R1460" s="5">
        <f t="shared" si="8"/>
        <v>411261.5145</v>
      </c>
    </row>
    <row r="1461" ht="15.75" customHeight="1">
      <c r="A1461" s="4">
        <v>2004.0</v>
      </c>
      <c r="B1461" s="4">
        <v>403.0</v>
      </c>
      <c r="C1461" s="4" t="s">
        <v>21</v>
      </c>
      <c r="D1461" s="5">
        <v>6868.187046083564</v>
      </c>
      <c r="E1461" s="5">
        <f t="shared" si="1"/>
        <v>0</v>
      </c>
      <c r="F1461" s="5">
        <f t="shared" si="2"/>
        <v>6868.187046</v>
      </c>
      <c r="G1461" s="5">
        <v>36471.41359135376</v>
      </c>
      <c r="H1461" s="5">
        <v>25587.99880011588</v>
      </c>
      <c r="I1461" s="5">
        <v>10883.41479123788</v>
      </c>
      <c r="J1461" s="5">
        <v>667952.9172091198</v>
      </c>
      <c r="K1461" s="5">
        <f t="shared" si="3"/>
        <v>667952.9172</v>
      </c>
      <c r="L1461" s="5">
        <f t="shared" si="4"/>
        <v>0</v>
      </c>
      <c r="M1461" s="5">
        <v>57296.236759220075</v>
      </c>
      <c r="N1461" s="5">
        <f t="shared" si="5"/>
        <v>0</v>
      </c>
      <c r="O1461" s="5">
        <f t="shared" si="6"/>
        <v>57296.23676</v>
      </c>
      <c r="P1461" s="5">
        <f t="shared" si="9"/>
        <v>768588.7546</v>
      </c>
      <c r="Q1461" s="5">
        <f t="shared" si="7"/>
        <v>75047.8386</v>
      </c>
      <c r="R1461" s="5">
        <f t="shared" si="8"/>
        <v>693540.916</v>
      </c>
    </row>
    <row r="1462" ht="15.75" customHeight="1">
      <c r="A1462" s="4">
        <v>2004.0</v>
      </c>
      <c r="B1462" s="4">
        <v>404.0</v>
      </c>
      <c r="C1462" s="4" t="s">
        <v>21</v>
      </c>
      <c r="D1462" s="5">
        <v>9395.337938963787</v>
      </c>
      <c r="E1462" s="5">
        <f t="shared" si="1"/>
        <v>0</v>
      </c>
      <c r="F1462" s="5">
        <f t="shared" si="2"/>
        <v>9395.337939</v>
      </c>
      <c r="G1462" s="5">
        <v>9124.912049916435</v>
      </c>
      <c r="H1462" s="5">
        <v>5065.673748554875</v>
      </c>
      <c r="I1462" s="5">
        <v>4059.23830136156</v>
      </c>
      <c r="J1462" s="5">
        <v>340555.37082393863</v>
      </c>
      <c r="K1462" s="5">
        <f t="shared" si="3"/>
        <v>340555.3708</v>
      </c>
      <c r="L1462" s="5">
        <f t="shared" si="4"/>
        <v>0</v>
      </c>
      <c r="M1462" s="5">
        <v>5680.628121058497</v>
      </c>
      <c r="N1462" s="5">
        <f t="shared" si="5"/>
        <v>0</v>
      </c>
      <c r="O1462" s="5">
        <f t="shared" si="6"/>
        <v>5680.628121</v>
      </c>
      <c r="P1462" s="5">
        <f t="shared" si="9"/>
        <v>364756.2489</v>
      </c>
      <c r="Q1462" s="5">
        <f t="shared" si="7"/>
        <v>19135.20436</v>
      </c>
      <c r="R1462" s="5">
        <f t="shared" si="8"/>
        <v>345621.0446</v>
      </c>
    </row>
    <row r="1463" ht="15.75" customHeight="1">
      <c r="A1463" s="4">
        <v>2004.0</v>
      </c>
      <c r="B1463" s="4">
        <v>405.0</v>
      </c>
      <c r="C1463" s="4" t="s">
        <v>21</v>
      </c>
      <c r="D1463" s="5">
        <v>4158.044783052923</v>
      </c>
      <c r="E1463" s="5">
        <f t="shared" si="1"/>
        <v>0</v>
      </c>
      <c r="F1463" s="5">
        <f t="shared" si="2"/>
        <v>4158.044783</v>
      </c>
      <c r="G1463" s="5">
        <v>1522.7437619164348</v>
      </c>
      <c r="H1463" s="5">
        <v>1057.6427595409473</v>
      </c>
      <c r="I1463" s="5">
        <v>465.1010023754875</v>
      </c>
      <c r="J1463" s="5">
        <v>94368.18156724793</v>
      </c>
      <c r="K1463" s="5">
        <f t="shared" si="3"/>
        <v>94368.18157</v>
      </c>
      <c r="L1463" s="5">
        <f t="shared" si="4"/>
        <v>0</v>
      </c>
      <c r="M1463" s="5">
        <v>7733.8274941504205</v>
      </c>
      <c r="N1463" s="5">
        <f t="shared" si="5"/>
        <v>0</v>
      </c>
      <c r="O1463" s="5">
        <f t="shared" si="6"/>
        <v>7733.827494</v>
      </c>
      <c r="P1463" s="5">
        <f t="shared" si="9"/>
        <v>107782.7976</v>
      </c>
      <c r="Q1463" s="5">
        <f t="shared" si="7"/>
        <v>12356.97328</v>
      </c>
      <c r="R1463" s="5">
        <f t="shared" si="8"/>
        <v>95425.82433</v>
      </c>
    </row>
    <row r="1464" ht="15.75" customHeight="1">
      <c r="A1464" s="4">
        <v>2004.0</v>
      </c>
      <c r="B1464" s="4">
        <v>406.0</v>
      </c>
      <c r="C1464" s="4" t="s">
        <v>21</v>
      </c>
      <c r="D1464" s="5" t="s">
        <v>19</v>
      </c>
      <c r="E1464" s="5" t="str">
        <f t="shared" si="1"/>
        <v/>
      </c>
      <c r="F1464" s="5" t="str">
        <f t="shared" si="2"/>
        <v/>
      </c>
      <c r="G1464" s="5" t="s">
        <v>19</v>
      </c>
      <c r="H1464" s="5" t="s">
        <v>19</v>
      </c>
      <c r="I1464" s="5" t="s">
        <v>19</v>
      </c>
      <c r="J1464" s="5">
        <v>21574.369016612807</v>
      </c>
      <c r="K1464" s="5">
        <f t="shared" si="3"/>
        <v>21574.36902</v>
      </c>
      <c r="L1464" s="5">
        <f t="shared" si="4"/>
        <v>0</v>
      </c>
      <c r="M1464" s="5">
        <v>1815.9114840668535</v>
      </c>
      <c r="N1464" s="5">
        <f t="shared" si="5"/>
        <v>0</v>
      </c>
      <c r="O1464" s="5">
        <f t="shared" si="6"/>
        <v>1815.911484</v>
      </c>
      <c r="P1464" s="5">
        <f t="shared" si="9"/>
        <v>23390.2805</v>
      </c>
      <c r="Q1464" s="5">
        <f t="shared" si="7"/>
        <v>1815.911484</v>
      </c>
      <c r="R1464" s="5">
        <f t="shared" si="8"/>
        <v>21574.36902</v>
      </c>
    </row>
    <row r="1465" ht="15.75" customHeight="1">
      <c r="A1465" s="4">
        <v>2004.0</v>
      </c>
      <c r="B1465" s="4">
        <v>407.0</v>
      </c>
      <c r="C1465" s="4" t="s">
        <v>21</v>
      </c>
      <c r="D1465" s="5" t="s">
        <v>19</v>
      </c>
      <c r="E1465" s="5" t="str">
        <f t="shared" si="1"/>
        <v/>
      </c>
      <c r="F1465" s="5" t="str">
        <f t="shared" si="2"/>
        <v/>
      </c>
      <c r="G1465" s="5">
        <v>6243.6986108078</v>
      </c>
      <c r="H1465" s="5">
        <v>4906.404889849583</v>
      </c>
      <c r="I1465" s="5">
        <v>1337.293720958217</v>
      </c>
      <c r="J1465" s="5">
        <v>246105.07662666292</v>
      </c>
      <c r="K1465" s="5">
        <f t="shared" si="3"/>
        <v>246105.0766</v>
      </c>
      <c r="L1465" s="5">
        <f t="shared" si="4"/>
        <v>0</v>
      </c>
      <c r="M1465" s="5">
        <v>7477.86416941505</v>
      </c>
      <c r="N1465" s="5">
        <f t="shared" si="5"/>
        <v>0</v>
      </c>
      <c r="O1465" s="5">
        <f t="shared" si="6"/>
        <v>7477.864169</v>
      </c>
      <c r="P1465" s="5">
        <f t="shared" si="9"/>
        <v>259826.6394</v>
      </c>
      <c r="Q1465" s="5">
        <f t="shared" si="7"/>
        <v>8815.15789</v>
      </c>
      <c r="R1465" s="5">
        <f t="shared" si="8"/>
        <v>251011.4815</v>
      </c>
    </row>
    <row r="1466" ht="15.75" customHeight="1">
      <c r="A1466" s="4">
        <v>2004.0</v>
      </c>
      <c r="B1466" s="4">
        <v>408.0</v>
      </c>
      <c r="C1466" s="4" t="s">
        <v>21</v>
      </c>
      <c r="D1466" s="5">
        <v>14438.954097270189</v>
      </c>
      <c r="E1466" s="5">
        <f t="shared" si="1"/>
        <v>0</v>
      </c>
      <c r="F1466" s="5">
        <f t="shared" si="2"/>
        <v>14438.9541</v>
      </c>
      <c r="G1466" s="5">
        <v>1984.1229295598887</v>
      </c>
      <c r="H1466" s="5">
        <v>1337.0370427008359</v>
      </c>
      <c r="I1466" s="5">
        <v>647.0858868590528</v>
      </c>
      <c r="J1466" s="5">
        <v>19221.84216631476</v>
      </c>
      <c r="K1466" s="5">
        <f t="shared" si="3"/>
        <v>19221.84217</v>
      </c>
      <c r="L1466" s="5">
        <f t="shared" si="4"/>
        <v>0</v>
      </c>
      <c r="M1466" s="5">
        <v>1740.1111861838453</v>
      </c>
      <c r="N1466" s="5">
        <f t="shared" si="5"/>
        <v>0</v>
      </c>
      <c r="O1466" s="5">
        <f t="shared" si="6"/>
        <v>1740.111186</v>
      </c>
      <c r="P1466" s="5">
        <f t="shared" si="9"/>
        <v>37385.03038</v>
      </c>
      <c r="Q1466" s="5">
        <f t="shared" si="7"/>
        <v>16826.15117</v>
      </c>
      <c r="R1466" s="5">
        <f t="shared" si="8"/>
        <v>20558.87921</v>
      </c>
    </row>
    <row r="1467" ht="15.75" customHeight="1">
      <c r="A1467" s="4">
        <v>2004.0</v>
      </c>
      <c r="B1467" s="4">
        <v>409.0</v>
      </c>
      <c r="C1467" s="4" t="s">
        <v>21</v>
      </c>
      <c r="D1467" s="5">
        <v>3679.862954484678</v>
      </c>
      <c r="E1467" s="5">
        <f t="shared" si="1"/>
        <v>0</v>
      </c>
      <c r="F1467" s="5">
        <f t="shared" si="2"/>
        <v>3679.862954</v>
      </c>
      <c r="G1467" s="5">
        <v>6932.879731877438</v>
      </c>
      <c r="H1467" s="5">
        <v>5130.099991157661</v>
      </c>
      <c r="I1467" s="5">
        <v>1802.7797407197768</v>
      </c>
      <c r="J1467" s="5">
        <v>125030.96968153203</v>
      </c>
      <c r="K1467" s="5">
        <f t="shared" si="3"/>
        <v>125030.9697</v>
      </c>
      <c r="L1467" s="5">
        <f t="shared" si="4"/>
        <v>0</v>
      </c>
      <c r="M1467" s="5">
        <v>1200.720660668524</v>
      </c>
      <c r="N1467" s="5">
        <f t="shared" si="5"/>
        <v>0</v>
      </c>
      <c r="O1467" s="5">
        <f t="shared" si="6"/>
        <v>1200.720661</v>
      </c>
      <c r="P1467" s="5">
        <f t="shared" si="9"/>
        <v>136844.433</v>
      </c>
      <c r="Q1467" s="5">
        <f t="shared" si="7"/>
        <v>6683.363356</v>
      </c>
      <c r="R1467" s="5">
        <f t="shared" si="8"/>
        <v>130161.0697</v>
      </c>
    </row>
    <row r="1468" ht="15.75" customHeight="1">
      <c r="A1468" s="4">
        <v>2004.0</v>
      </c>
      <c r="B1468" s="4">
        <v>420.0</v>
      </c>
      <c r="C1468" s="4" t="s">
        <v>21</v>
      </c>
      <c r="D1468" s="5" t="s">
        <v>19</v>
      </c>
      <c r="E1468" s="5" t="str">
        <f t="shared" si="1"/>
        <v/>
      </c>
      <c r="F1468" s="5" t="str">
        <f t="shared" si="2"/>
        <v/>
      </c>
      <c r="G1468" s="5" t="s">
        <v>19</v>
      </c>
      <c r="H1468" s="5" t="s">
        <v>19</v>
      </c>
      <c r="I1468" s="5" t="s">
        <v>19</v>
      </c>
      <c r="J1468" s="5">
        <v>0.0</v>
      </c>
      <c r="K1468" s="5">
        <f t="shared" si="3"/>
        <v>0</v>
      </c>
      <c r="L1468" s="5">
        <f t="shared" si="4"/>
        <v>0</v>
      </c>
      <c r="M1468" s="5">
        <v>44688.66982220058</v>
      </c>
      <c r="N1468" s="5">
        <f t="shared" si="5"/>
        <v>0</v>
      </c>
      <c r="O1468" s="5">
        <f t="shared" si="6"/>
        <v>44688.66982</v>
      </c>
      <c r="P1468" s="5">
        <f t="shared" si="9"/>
        <v>44688.66982</v>
      </c>
      <c r="Q1468" s="5">
        <f t="shared" si="7"/>
        <v>44688.66982</v>
      </c>
      <c r="R1468" s="5">
        <f t="shared" si="8"/>
        <v>0</v>
      </c>
    </row>
    <row r="1469" ht="15.75" customHeight="1">
      <c r="A1469" s="4">
        <v>2004.0</v>
      </c>
      <c r="B1469" s="4">
        <v>421.0</v>
      </c>
      <c r="C1469" s="4" t="s">
        <v>21</v>
      </c>
      <c r="D1469" s="5">
        <v>1071.9020039832867</v>
      </c>
      <c r="E1469" s="5">
        <f t="shared" si="1"/>
        <v>0</v>
      </c>
      <c r="F1469" s="5">
        <f t="shared" si="2"/>
        <v>1071.902004</v>
      </c>
      <c r="G1469" s="5" t="s">
        <v>19</v>
      </c>
      <c r="H1469" s="5" t="s">
        <v>19</v>
      </c>
      <c r="I1469" s="5" t="s">
        <v>19</v>
      </c>
      <c r="J1469" s="5">
        <v>1270.3306880779944</v>
      </c>
      <c r="K1469" s="5">
        <f t="shared" si="3"/>
        <v>1270.330688</v>
      </c>
      <c r="L1469" s="5">
        <f t="shared" si="4"/>
        <v>0</v>
      </c>
      <c r="M1469" s="5">
        <v>234727.04736717</v>
      </c>
      <c r="N1469" s="5">
        <f t="shared" si="5"/>
        <v>0</v>
      </c>
      <c r="O1469" s="5">
        <f t="shared" si="6"/>
        <v>234727.0474</v>
      </c>
      <c r="P1469" s="5">
        <f t="shared" si="9"/>
        <v>237069.2801</v>
      </c>
      <c r="Q1469" s="5">
        <f t="shared" si="7"/>
        <v>235798.9494</v>
      </c>
      <c r="R1469" s="5">
        <f t="shared" si="8"/>
        <v>1270.330688</v>
      </c>
    </row>
    <row r="1470" ht="15.75" customHeight="1">
      <c r="A1470" s="4">
        <v>2004.0</v>
      </c>
      <c r="B1470" s="4">
        <v>422.0</v>
      </c>
      <c r="C1470" s="4" t="s">
        <v>21</v>
      </c>
      <c r="D1470" s="5" t="s">
        <v>19</v>
      </c>
      <c r="E1470" s="5" t="str">
        <f t="shared" si="1"/>
        <v/>
      </c>
      <c r="F1470" s="5" t="str">
        <f t="shared" si="2"/>
        <v/>
      </c>
      <c r="G1470" s="5" t="s">
        <v>19</v>
      </c>
      <c r="H1470" s="5" t="s">
        <v>19</v>
      </c>
      <c r="I1470" s="5" t="s">
        <v>19</v>
      </c>
      <c r="J1470" s="5">
        <v>405.73299543175483</v>
      </c>
      <c r="K1470" s="5">
        <f t="shared" si="3"/>
        <v>405.7329954</v>
      </c>
      <c r="L1470" s="5">
        <f t="shared" si="4"/>
        <v>0</v>
      </c>
      <c r="M1470" s="5">
        <v>117366.54470994999</v>
      </c>
      <c r="N1470" s="5">
        <f t="shared" si="5"/>
        <v>0</v>
      </c>
      <c r="O1470" s="5">
        <f t="shared" si="6"/>
        <v>117366.5447</v>
      </c>
      <c r="P1470" s="5">
        <f t="shared" si="9"/>
        <v>117772.2777</v>
      </c>
      <c r="Q1470" s="5">
        <f t="shared" si="7"/>
        <v>117366.5447</v>
      </c>
      <c r="R1470" s="5">
        <f t="shared" si="8"/>
        <v>405.7329954</v>
      </c>
    </row>
    <row r="1471" ht="15.75" customHeight="1">
      <c r="A1471" s="4">
        <v>2004.0</v>
      </c>
      <c r="B1471" s="4">
        <v>423.0</v>
      </c>
      <c r="C1471" s="4" t="s">
        <v>21</v>
      </c>
      <c r="D1471" s="5">
        <v>12722.575187465176</v>
      </c>
      <c r="E1471" s="5">
        <f t="shared" si="1"/>
        <v>0</v>
      </c>
      <c r="F1471" s="5">
        <f t="shared" si="2"/>
        <v>12722.57519</v>
      </c>
      <c r="G1471" s="5">
        <v>2034.1751897493036</v>
      </c>
      <c r="H1471" s="5">
        <v>830.3541626295264</v>
      </c>
      <c r="I1471" s="5">
        <v>1203.8210271197772</v>
      </c>
      <c r="J1471" s="5">
        <v>104332.79072886349</v>
      </c>
      <c r="K1471" s="5">
        <f t="shared" si="3"/>
        <v>104332.7907</v>
      </c>
      <c r="L1471" s="5">
        <f t="shared" si="4"/>
        <v>0</v>
      </c>
      <c r="M1471" s="5">
        <v>183000.37481428415</v>
      </c>
      <c r="N1471" s="5">
        <f t="shared" si="5"/>
        <v>0</v>
      </c>
      <c r="O1471" s="5">
        <f t="shared" si="6"/>
        <v>183000.3748</v>
      </c>
      <c r="P1471" s="5">
        <f t="shared" si="9"/>
        <v>302089.9159</v>
      </c>
      <c r="Q1471" s="5">
        <f t="shared" si="7"/>
        <v>196926.771</v>
      </c>
      <c r="R1471" s="5">
        <f t="shared" si="8"/>
        <v>105163.1449</v>
      </c>
    </row>
    <row r="1472" ht="15.75" customHeight="1">
      <c r="A1472" s="4">
        <v>2004.0</v>
      </c>
      <c r="B1472" s="4">
        <v>424.0</v>
      </c>
      <c r="C1472" s="4" t="s">
        <v>21</v>
      </c>
      <c r="D1472" s="5">
        <v>19510.620027643447</v>
      </c>
      <c r="E1472" s="5">
        <f t="shared" si="1"/>
        <v>0</v>
      </c>
      <c r="F1472" s="5">
        <f t="shared" si="2"/>
        <v>19510.62003</v>
      </c>
      <c r="G1472" s="5">
        <v>4100.435161671309</v>
      </c>
      <c r="H1472" s="5">
        <v>1351.4110251142063</v>
      </c>
      <c r="I1472" s="5">
        <v>2749.024136557103</v>
      </c>
      <c r="J1472" s="5">
        <v>3463.703940763231</v>
      </c>
      <c r="K1472" s="5">
        <f t="shared" si="3"/>
        <v>3463.703941</v>
      </c>
      <c r="L1472" s="5">
        <f t="shared" si="4"/>
        <v>0</v>
      </c>
      <c r="M1472" s="5">
        <v>97310.44502313092</v>
      </c>
      <c r="N1472" s="5">
        <f t="shared" si="5"/>
        <v>0</v>
      </c>
      <c r="O1472" s="5">
        <f t="shared" si="6"/>
        <v>97310.44502</v>
      </c>
      <c r="P1472" s="5">
        <f t="shared" si="9"/>
        <v>124385.2042</v>
      </c>
      <c r="Q1472" s="5">
        <f t="shared" si="7"/>
        <v>119570.0892</v>
      </c>
      <c r="R1472" s="5">
        <f t="shared" si="8"/>
        <v>4815.114966</v>
      </c>
    </row>
    <row r="1473" ht="15.75" customHeight="1">
      <c r="A1473" s="4">
        <v>2004.0</v>
      </c>
      <c r="B1473" s="4">
        <v>425.0</v>
      </c>
      <c r="C1473" s="4" t="s">
        <v>21</v>
      </c>
      <c r="D1473" s="5" t="s">
        <v>19</v>
      </c>
      <c r="E1473" s="5" t="str">
        <f t="shared" si="1"/>
        <v/>
      </c>
      <c r="F1473" s="5" t="str">
        <f t="shared" si="2"/>
        <v/>
      </c>
      <c r="G1473" s="5" t="s">
        <v>19</v>
      </c>
      <c r="H1473" s="5" t="s">
        <v>19</v>
      </c>
      <c r="I1473" s="5" t="s">
        <v>19</v>
      </c>
      <c r="J1473" s="5">
        <v>183.54587888579385</v>
      </c>
      <c r="K1473" s="5">
        <f t="shared" si="3"/>
        <v>183.5458789</v>
      </c>
      <c r="L1473" s="5">
        <f t="shared" si="4"/>
        <v>0</v>
      </c>
      <c r="M1473" s="5">
        <v>321146.8571280837</v>
      </c>
      <c r="N1473" s="5">
        <f t="shared" si="5"/>
        <v>0</v>
      </c>
      <c r="O1473" s="5">
        <f t="shared" si="6"/>
        <v>321146.8571</v>
      </c>
      <c r="P1473" s="5">
        <f t="shared" si="9"/>
        <v>321330.403</v>
      </c>
      <c r="Q1473" s="5">
        <f t="shared" si="7"/>
        <v>321146.8571</v>
      </c>
      <c r="R1473" s="5">
        <f t="shared" si="8"/>
        <v>183.5458789</v>
      </c>
    </row>
    <row r="1474" ht="15.75" customHeight="1">
      <c r="A1474" s="4">
        <v>2004.0</v>
      </c>
      <c r="B1474" s="4">
        <v>426.0</v>
      </c>
      <c r="C1474" s="4" t="s">
        <v>21</v>
      </c>
      <c r="D1474" s="5" t="s">
        <v>19</v>
      </c>
      <c r="E1474" s="5" t="str">
        <f t="shared" si="1"/>
        <v/>
      </c>
      <c r="F1474" s="5" t="str">
        <f t="shared" si="2"/>
        <v/>
      </c>
      <c r="G1474" s="5" t="s">
        <v>19</v>
      </c>
      <c r="H1474" s="5" t="s">
        <v>19</v>
      </c>
      <c r="I1474" s="5" t="s">
        <v>19</v>
      </c>
      <c r="J1474" s="5">
        <v>0.0</v>
      </c>
      <c r="K1474" s="5">
        <f t="shared" si="3"/>
        <v>0</v>
      </c>
      <c r="L1474" s="5">
        <f t="shared" si="4"/>
        <v>0</v>
      </c>
      <c r="M1474" s="5">
        <v>219954.33829830098</v>
      </c>
      <c r="N1474" s="5">
        <f t="shared" si="5"/>
        <v>0</v>
      </c>
      <c r="O1474" s="5">
        <f t="shared" si="6"/>
        <v>219954.3383</v>
      </c>
      <c r="P1474" s="5">
        <f t="shared" si="9"/>
        <v>219954.3383</v>
      </c>
      <c r="Q1474" s="5">
        <f t="shared" si="7"/>
        <v>219954.3383</v>
      </c>
      <c r="R1474" s="5">
        <f t="shared" si="8"/>
        <v>0</v>
      </c>
    </row>
    <row r="1475" ht="15.75" customHeight="1">
      <c r="A1475" s="4">
        <v>2004.0</v>
      </c>
      <c r="B1475" s="4">
        <v>427.0</v>
      </c>
      <c r="C1475" s="4" t="s">
        <v>21</v>
      </c>
      <c r="D1475" s="5" t="s">
        <v>19</v>
      </c>
      <c r="E1475" s="5" t="str">
        <f t="shared" si="1"/>
        <v/>
      </c>
      <c r="F1475" s="5" t="str">
        <f t="shared" si="2"/>
        <v/>
      </c>
      <c r="G1475" s="5" t="s">
        <v>19</v>
      </c>
      <c r="H1475" s="5" t="s">
        <v>19</v>
      </c>
      <c r="I1475" s="5" t="s">
        <v>19</v>
      </c>
      <c r="J1475" s="5">
        <v>1642.2526005571028</v>
      </c>
      <c r="K1475" s="5">
        <f t="shared" si="3"/>
        <v>1642.252601</v>
      </c>
      <c r="L1475" s="5">
        <f t="shared" si="4"/>
        <v>0</v>
      </c>
      <c r="M1475" s="5">
        <v>323706.81994195003</v>
      </c>
      <c r="N1475" s="5">
        <f t="shared" si="5"/>
        <v>0</v>
      </c>
      <c r="O1475" s="5">
        <f t="shared" si="6"/>
        <v>323706.8199</v>
      </c>
      <c r="P1475" s="5">
        <f t="shared" si="9"/>
        <v>325349.0725</v>
      </c>
      <c r="Q1475" s="5">
        <f t="shared" si="7"/>
        <v>323706.8199</v>
      </c>
      <c r="R1475" s="5">
        <f t="shared" si="8"/>
        <v>1642.252601</v>
      </c>
    </row>
    <row r="1476" ht="15.75" customHeight="1">
      <c r="A1476" s="4">
        <v>2004.0</v>
      </c>
      <c r="B1476" s="4">
        <v>428.0</v>
      </c>
      <c r="C1476" s="4" t="s">
        <v>21</v>
      </c>
      <c r="D1476" s="5">
        <v>10805.840762896933</v>
      </c>
      <c r="E1476" s="5">
        <f t="shared" si="1"/>
        <v>0</v>
      </c>
      <c r="F1476" s="5">
        <f t="shared" si="2"/>
        <v>10805.84076</v>
      </c>
      <c r="G1476" s="5" t="s">
        <v>19</v>
      </c>
      <c r="H1476" s="5" t="s">
        <v>19</v>
      </c>
      <c r="I1476" s="5" t="s">
        <v>19</v>
      </c>
      <c r="J1476" s="5">
        <v>0.0</v>
      </c>
      <c r="K1476" s="5">
        <f t="shared" si="3"/>
        <v>0</v>
      </c>
      <c r="L1476" s="5">
        <f t="shared" si="4"/>
        <v>0</v>
      </c>
      <c r="M1476" s="5">
        <v>61294.42783378833</v>
      </c>
      <c r="N1476" s="5">
        <f t="shared" si="5"/>
        <v>0</v>
      </c>
      <c r="O1476" s="5">
        <f t="shared" si="6"/>
        <v>61294.42783</v>
      </c>
      <c r="P1476" s="5">
        <f t="shared" si="9"/>
        <v>72100.2686</v>
      </c>
      <c r="Q1476" s="5">
        <f t="shared" si="7"/>
        <v>72100.2686</v>
      </c>
      <c r="R1476" s="5">
        <f t="shared" si="8"/>
        <v>0</v>
      </c>
    </row>
    <row r="1477" ht="15.75" customHeight="1">
      <c r="A1477" s="4">
        <v>2004.0</v>
      </c>
      <c r="B1477" s="4">
        <v>429.0</v>
      </c>
      <c r="C1477" s="4" t="s">
        <v>21</v>
      </c>
      <c r="D1477" s="5">
        <v>14190.513258963785</v>
      </c>
      <c r="E1477" s="5">
        <f t="shared" si="1"/>
        <v>0</v>
      </c>
      <c r="F1477" s="5">
        <f t="shared" si="2"/>
        <v>14190.51326</v>
      </c>
      <c r="G1477" s="5">
        <v>943.2925958774372</v>
      </c>
      <c r="H1477" s="5">
        <v>544.0295665203341</v>
      </c>
      <c r="I1477" s="5">
        <v>399.26302935710305</v>
      </c>
      <c r="J1477" s="5">
        <v>0.0</v>
      </c>
      <c r="K1477" s="5">
        <f t="shared" si="3"/>
        <v>0</v>
      </c>
      <c r="L1477" s="5">
        <f t="shared" si="4"/>
        <v>0</v>
      </c>
      <c r="M1477" s="5">
        <v>25557.883047075215</v>
      </c>
      <c r="N1477" s="5">
        <f t="shared" si="5"/>
        <v>0</v>
      </c>
      <c r="O1477" s="5">
        <f t="shared" si="6"/>
        <v>25557.88305</v>
      </c>
      <c r="P1477" s="5">
        <f t="shared" si="9"/>
        <v>40691.6889</v>
      </c>
      <c r="Q1477" s="5">
        <f t="shared" si="7"/>
        <v>40147.65934</v>
      </c>
      <c r="R1477" s="5">
        <f t="shared" si="8"/>
        <v>544.0295665</v>
      </c>
    </row>
    <row r="1478" ht="15.75" customHeight="1">
      <c r="A1478" s="4">
        <v>2004.0</v>
      </c>
      <c r="B1478" s="4">
        <v>500.0</v>
      </c>
      <c r="C1478" s="4" t="s">
        <v>22</v>
      </c>
      <c r="D1478" s="5">
        <v>6246.195643855152</v>
      </c>
      <c r="E1478" s="5">
        <f t="shared" si="1"/>
        <v>0</v>
      </c>
      <c r="F1478" s="5">
        <f t="shared" si="2"/>
        <v>6246.195644</v>
      </c>
      <c r="G1478" s="5">
        <v>25807.96997420613</v>
      </c>
      <c r="H1478" s="5">
        <v>14556.750585036216</v>
      </c>
      <c r="I1478" s="5">
        <v>11251.219389169915</v>
      </c>
      <c r="J1478" s="5">
        <v>1348967.1603871365</v>
      </c>
      <c r="K1478" s="5">
        <f t="shared" si="3"/>
        <v>1348967.16</v>
      </c>
      <c r="L1478" s="5">
        <f t="shared" si="4"/>
        <v>0</v>
      </c>
      <c r="M1478" s="5">
        <v>54842.1607014763</v>
      </c>
      <c r="N1478" s="5">
        <f t="shared" si="5"/>
        <v>0</v>
      </c>
      <c r="O1478" s="5">
        <f t="shared" si="6"/>
        <v>54842.1607</v>
      </c>
      <c r="P1478" s="5">
        <f t="shared" si="9"/>
        <v>1435863.487</v>
      </c>
      <c r="Q1478" s="5">
        <f t="shared" si="7"/>
        <v>72339.57573</v>
      </c>
      <c r="R1478" s="5">
        <f t="shared" si="8"/>
        <v>1363523.911</v>
      </c>
    </row>
    <row r="1479" ht="15.75" customHeight="1">
      <c r="A1479" s="4">
        <v>2004.0</v>
      </c>
      <c r="B1479" s="4">
        <v>501.0</v>
      </c>
      <c r="C1479" s="4" t="s">
        <v>22</v>
      </c>
      <c r="D1479" s="5">
        <v>2611.579207186629</v>
      </c>
      <c r="E1479" s="5">
        <f t="shared" si="1"/>
        <v>0</v>
      </c>
      <c r="F1479" s="5">
        <f t="shared" si="2"/>
        <v>2611.579207</v>
      </c>
      <c r="G1479" s="5">
        <v>23197.559071587744</v>
      </c>
      <c r="H1479" s="5">
        <v>12898.50093058496</v>
      </c>
      <c r="I1479" s="5">
        <v>10299.058141002784</v>
      </c>
      <c r="J1479" s="5">
        <v>36791.792347515315</v>
      </c>
      <c r="K1479" s="5">
        <f t="shared" si="3"/>
        <v>36791.79235</v>
      </c>
      <c r="L1479" s="5">
        <f t="shared" si="4"/>
        <v>0</v>
      </c>
      <c r="M1479" s="5">
        <v>13441.417294662951</v>
      </c>
      <c r="N1479" s="5">
        <f t="shared" si="5"/>
        <v>0</v>
      </c>
      <c r="O1479" s="5">
        <f t="shared" si="6"/>
        <v>13441.41729</v>
      </c>
      <c r="P1479" s="5">
        <f t="shared" si="9"/>
        <v>76042.34792</v>
      </c>
      <c r="Q1479" s="5">
        <f t="shared" si="7"/>
        <v>26352.05464</v>
      </c>
      <c r="R1479" s="5">
        <f t="shared" si="8"/>
        <v>49690.29328</v>
      </c>
    </row>
    <row r="1480" ht="15.75" customHeight="1">
      <c r="A1480" s="4">
        <v>2004.0</v>
      </c>
      <c r="B1480" s="4">
        <v>502.0</v>
      </c>
      <c r="C1480" s="4" t="s">
        <v>22</v>
      </c>
      <c r="D1480" s="5" t="s">
        <v>19</v>
      </c>
      <c r="E1480" s="5" t="str">
        <f t="shared" si="1"/>
        <v/>
      </c>
      <c r="F1480" s="5" t="str">
        <f t="shared" si="2"/>
        <v/>
      </c>
      <c r="G1480" s="5" t="s">
        <v>19</v>
      </c>
      <c r="H1480" s="5" t="s">
        <v>19</v>
      </c>
      <c r="I1480" s="5" t="s">
        <v>19</v>
      </c>
      <c r="J1480" s="5">
        <v>0.0</v>
      </c>
      <c r="K1480" s="5">
        <f t="shared" si="3"/>
        <v>0</v>
      </c>
      <c r="L1480" s="5">
        <f t="shared" si="4"/>
        <v>0</v>
      </c>
      <c r="M1480" s="5">
        <v>2965.279055877436</v>
      </c>
      <c r="N1480" s="5">
        <f t="shared" si="5"/>
        <v>0</v>
      </c>
      <c r="O1480" s="5">
        <f t="shared" si="6"/>
        <v>2965.279056</v>
      </c>
      <c r="P1480" s="5">
        <f t="shared" si="9"/>
        <v>2965.279056</v>
      </c>
      <c r="Q1480" s="5">
        <f t="shared" si="7"/>
        <v>2965.279056</v>
      </c>
      <c r="R1480" s="5">
        <f t="shared" si="8"/>
        <v>0</v>
      </c>
    </row>
    <row r="1481" ht="15.75" customHeight="1">
      <c r="A1481" s="4">
        <v>2004.0</v>
      </c>
      <c r="B1481" s="4">
        <v>503.0</v>
      </c>
      <c r="C1481" s="4" t="s">
        <v>22</v>
      </c>
      <c r="D1481" s="5">
        <v>2186.4384060167126</v>
      </c>
      <c r="E1481" s="5">
        <f t="shared" si="1"/>
        <v>0</v>
      </c>
      <c r="F1481" s="5">
        <f t="shared" si="2"/>
        <v>2186.438406</v>
      </c>
      <c r="G1481" s="5">
        <v>6647.321683064067</v>
      </c>
      <c r="H1481" s="5">
        <v>4868.809895086351</v>
      </c>
      <c r="I1481" s="5">
        <v>1778.5117879777154</v>
      </c>
      <c r="J1481" s="5">
        <v>149592.3639126351</v>
      </c>
      <c r="K1481" s="5">
        <f t="shared" si="3"/>
        <v>149592.3639</v>
      </c>
      <c r="L1481" s="5">
        <f t="shared" si="4"/>
        <v>0</v>
      </c>
      <c r="M1481" s="5">
        <v>27959.76902164345</v>
      </c>
      <c r="N1481" s="5">
        <f t="shared" si="5"/>
        <v>0</v>
      </c>
      <c r="O1481" s="5">
        <f t="shared" si="6"/>
        <v>27959.76902</v>
      </c>
      <c r="P1481" s="5">
        <f t="shared" si="9"/>
        <v>186385.893</v>
      </c>
      <c r="Q1481" s="5">
        <f t="shared" si="7"/>
        <v>31924.71922</v>
      </c>
      <c r="R1481" s="5">
        <f t="shared" si="8"/>
        <v>154461.1738</v>
      </c>
    </row>
    <row r="1482" ht="15.75" customHeight="1">
      <c r="A1482" s="4">
        <v>2004.0</v>
      </c>
      <c r="B1482" s="4">
        <v>504.0</v>
      </c>
      <c r="C1482" s="4" t="s">
        <v>22</v>
      </c>
      <c r="D1482" s="5">
        <v>2426.0018733426177</v>
      </c>
      <c r="E1482" s="5">
        <f t="shared" si="1"/>
        <v>0</v>
      </c>
      <c r="F1482" s="5">
        <f t="shared" si="2"/>
        <v>2426.001873</v>
      </c>
      <c r="G1482" s="5">
        <v>8600.290986629527</v>
      </c>
      <c r="H1482" s="5">
        <v>4352.405326016714</v>
      </c>
      <c r="I1482" s="5">
        <v>4247.885660612813</v>
      </c>
      <c r="J1482" s="5">
        <v>143640.47813942618</v>
      </c>
      <c r="K1482" s="5">
        <f t="shared" si="3"/>
        <v>143640.4781</v>
      </c>
      <c r="L1482" s="5">
        <f t="shared" si="4"/>
        <v>0</v>
      </c>
      <c r="M1482" s="5">
        <v>66435.09522695263</v>
      </c>
      <c r="N1482" s="5">
        <f t="shared" si="5"/>
        <v>0</v>
      </c>
      <c r="O1482" s="5">
        <f t="shared" si="6"/>
        <v>66435.09523</v>
      </c>
      <c r="P1482" s="5">
        <f t="shared" si="9"/>
        <v>221101.8662</v>
      </c>
      <c r="Q1482" s="5">
        <f t="shared" si="7"/>
        <v>73108.98276</v>
      </c>
      <c r="R1482" s="5">
        <f t="shared" si="8"/>
        <v>147992.8835</v>
      </c>
    </row>
    <row r="1483" ht="15.75" customHeight="1">
      <c r="A1483" s="4">
        <v>2004.0</v>
      </c>
      <c r="B1483" s="4">
        <v>505.0</v>
      </c>
      <c r="C1483" s="4" t="s">
        <v>22</v>
      </c>
      <c r="D1483" s="5">
        <v>9069.670424958216</v>
      </c>
      <c r="E1483" s="5">
        <f t="shared" si="1"/>
        <v>0</v>
      </c>
      <c r="F1483" s="5">
        <f t="shared" si="2"/>
        <v>9069.670425</v>
      </c>
      <c r="G1483" s="5">
        <v>20343.268949693596</v>
      </c>
      <c r="H1483" s="5">
        <v>7290.569253481895</v>
      </c>
      <c r="I1483" s="5">
        <v>13052.699696211701</v>
      </c>
      <c r="J1483" s="5">
        <v>6304.705034128132</v>
      </c>
      <c r="K1483" s="5">
        <f t="shared" si="3"/>
        <v>6304.705034</v>
      </c>
      <c r="L1483" s="5">
        <f t="shared" si="4"/>
        <v>0</v>
      </c>
      <c r="M1483" s="5">
        <v>12055.996400445678</v>
      </c>
      <c r="N1483" s="5">
        <f t="shared" si="5"/>
        <v>0</v>
      </c>
      <c r="O1483" s="5">
        <f t="shared" si="6"/>
        <v>12055.9964</v>
      </c>
      <c r="P1483" s="5">
        <f t="shared" si="9"/>
        <v>47773.64081</v>
      </c>
      <c r="Q1483" s="5">
        <f t="shared" si="7"/>
        <v>34178.36652</v>
      </c>
      <c r="R1483" s="5">
        <f t="shared" si="8"/>
        <v>13595.27429</v>
      </c>
    </row>
    <row r="1484" ht="15.75" customHeight="1">
      <c r="A1484" s="4">
        <v>2004.0</v>
      </c>
      <c r="B1484" s="4">
        <v>506.0</v>
      </c>
      <c r="C1484" s="4" t="s">
        <v>22</v>
      </c>
      <c r="D1484" s="5">
        <v>23546.726944796654</v>
      </c>
      <c r="E1484" s="5">
        <f t="shared" si="1"/>
        <v>0</v>
      </c>
      <c r="F1484" s="5">
        <f t="shared" si="2"/>
        <v>23546.72694</v>
      </c>
      <c r="G1484" s="5">
        <v>33356.61247559889</v>
      </c>
      <c r="H1484" s="5">
        <v>12578.619139799444</v>
      </c>
      <c r="I1484" s="5">
        <v>20777.99333579945</v>
      </c>
      <c r="J1484" s="5">
        <v>500405.309346713</v>
      </c>
      <c r="K1484" s="5">
        <f t="shared" si="3"/>
        <v>500405.3093</v>
      </c>
      <c r="L1484" s="5">
        <f t="shared" si="4"/>
        <v>0</v>
      </c>
      <c r="M1484" s="5">
        <v>48480.43019825067</v>
      </c>
      <c r="N1484" s="5">
        <f t="shared" si="5"/>
        <v>0</v>
      </c>
      <c r="O1484" s="5">
        <f t="shared" si="6"/>
        <v>48480.4302</v>
      </c>
      <c r="P1484" s="5">
        <f t="shared" si="9"/>
        <v>605789.079</v>
      </c>
      <c r="Q1484" s="5">
        <f t="shared" si="7"/>
        <v>92805.15048</v>
      </c>
      <c r="R1484" s="5">
        <f t="shared" si="8"/>
        <v>512983.9285</v>
      </c>
    </row>
    <row r="1485" ht="15.75" customHeight="1">
      <c r="A1485" s="4">
        <v>2004.0</v>
      </c>
      <c r="B1485" s="4">
        <v>507.0</v>
      </c>
      <c r="C1485" s="4" t="s">
        <v>22</v>
      </c>
      <c r="D1485" s="5" t="s">
        <v>19</v>
      </c>
      <c r="E1485" s="5" t="str">
        <f t="shared" si="1"/>
        <v/>
      </c>
      <c r="F1485" s="5" t="str">
        <f t="shared" si="2"/>
        <v/>
      </c>
      <c r="G1485" s="5" t="s">
        <v>19</v>
      </c>
      <c r="H1485" s="5" t="s">
        <v>19</v>
      </c>
      <c r="I1485" s="5" t="s">
        <v>19</v>
      </c>
      <c r="J1485" s="5">
        <v>0.0</v>
      </c>
      <c r="K1485" s="5">
        <f t="shared" si="3"/>
        <v>0</v>
      </c>
      <c r="L1485" s="5">
        <f t="shared" si="4"/>
        <v>0</v>
      </c>
      <c r="M1485" s="5">
        <v>0.0</v>
      </c>
      <c r="N1485" s="5">
        <f t="shared" si="5"/>
        <v>0</v>
      </c>
      <c r="O1485" s="5">
        <f t="shared" si="6"/>
        <v>0</v>
      </c>
      <c r="P1485" s="5">
        <f t="shared" si="9"/>
        <v>0</v>
      </c>
      <c r="Q1485" s="5">
        <f t="shared" si="7"/>
        <v>0</v>
      </c>
      <c r="R1485" s="5">
        <f t="shared" si="8"/>
        <v>0</v>
      </c>
    </row>
    <row r="1486" ht="15.75" customHeight="1">
      <c r="A1486" s="4">
        <v>2004.0</v>
      </c>
      <c r="B1486" s="4">
        <v>508.0</v>
      </c>
      <c r="C1486" s="4" t="s">
        <v>22</v>
      </c>
      <c r="D1486" s="5" t="s">
        <v>19</v>
      </c>
      <c r="E1486" s="5" t="str">
        <f t="shared" si="1"/>
        <v/>
      </c>
      <c r="F1486" s="5" t="str">
        <f t="shared" si="2"/>
        <v/>
      </c>
      <c r="G1486" s="5" t="s">
        <v>19</v>
      </c>
      <c r="H1486" s="5" t="s">
        <v>19</v>
      </c>
      <c r="I1486" s="5" t="s">
        <v>19</v>
      </c>
      <c r="J1486" s="5">
        <v>0.0</v>
      </c>
      <c r="K1486" s="5">
        <f t="shared" si="3"/>
        <v>0</v>
      </c>
      <c r="L1486" s="5">
        <f t="shared" si="4"/>
        <v>0</v>
      </c>
      <c r="M1486" s="5">
        <v>17378.661233008348</v>
      </c>
      <c r="N1486" s="5">
        <f t="shared" si="5"/>
        <v>0</v>
      </c>
      <c r="O1486" s="5">
        <f t="shared" si="6"/>
        <v>17378.66123</v>
      </c>
      <c r="P1486" s="5">
        <f t="shared" si="9"/>
        <v>17378.66123</v>
      </c>
      <c r="Q1486" s="5">
        <f t="shared" si="7"/>
        <v>17378.66123</v>
      </c>
      <c r="R1486" s="5">
        <f t="shared" si="8"/>
        <v>0</v>
      </c>
    </row>
    <row r="1487" ht="15.75" customHeight="1">
      <c r="A1487" s="4">
        <v>2004.0</v>
      </c>
      <c r="B1487" s="4">
        <v>520.0</v>
      </c>
      <c r="C1487" s="4" t="s">
        <v>22</v>
      </c>
      <c r="D1487" s="5">
        <v>3664.3088100835644</v>
      </c>
      <c r="E1487" s="5">
        <f t="shared" si="1"/>
        <v>0</v>
      </c>
      <c r="F1487" s="5">
        <f t="shared" si="2"/>
        <v>3664.30881</v>
      </c>
      <c r="G1487" s="5">
        <v>10461.644287186631</v>
      </c>
      <c r="H1487" s="5">
        <v>7844.781553370474</v>
      </c>
      <c r="I1487" s="5">
        <v>2616.862733816157</v>
      </c>
      <c r="J1487" s="5">
        <v>4929.961048674094</v>
      </c>
      <c r="K1487" s="5">
        <f t="shared" si="3"/>
        <v>4929.961049</v>
      </c>
      <c r="L1487" s="5">
        <f t="shared" si="4"/>
        <v>0</v>
      </c>
      <c r="M1487" s="5">
        <v>409148.93838427274</v>
      </c>
      <c r="N1487" s="5">
        <f t="shared" si="5"/>
        <v>0</v>
      </c>
      <c r="O1487" s="5">
        <f t="shared" si="6"/>
        <v>409148.9384</v>
      </c>
      <c r="P1487" s="5">
        <f t="shared" si="9"/>
        <v>428204.8525</v>
      </c>
      <c r="Q1487" s="5">
        <f t="shared" si="7"/>
        <v>415430.1099</v>
      </c>
      <c r="R1487" s="5">
        <f t="shared" si="8"/>
        <v>12774.7426</v>
      </c>
    </row>
    <row r="1488" ht="15.75" customHeight="1">
      <c r="A1488" s="4">
        <v>2004.0</v>
      </c>
      <c r="B1488" s="4">
        <v>521.0</v>
      </c>
      <c r="C1488" s="4" t="s">
        <v>22</v>
      </c>
      <c r="D1488" s="5" t="s">
        <v>19</v>
      </c>
      <c r="E1488" s="5" t="str">
        <f t="shared" si="1"/>
        <v/>
      </c>
      <c r="F1488" s="5" t="str">
        <f t="shared" si="2"/>
        <v/>
      </c>
      <c r="G1488" s="5" t="s">
        <v>19</v>
      </c>
      <c r="H1488" s="5" t="s">
        <v>19</v>
      </c>
      <c r="I1488" s="5" t="s">
        <v>19</v>
      </c>
      <c r="J1488" s="5">
        <v>0.0</v>
      </c>
      <c r="K1488" s="5">
        <f t="shared" si="3"/>
        <v>0</v>
      </c>
      <c r="L1488" s="5">
        <f t="shared" si="4"/>
        <v>0</v>
      </c>
      <c r="M1488" s="5">
        <v>13035.933653788295</v>
      </c>
      <c r="N1488" s="5">
        <f t="shared" si="5"/>
        <v>0</v>
      </c>
      <c r="O1488" s="5">
        <f t="shared" si="6"/>
        <v>13035.93365</v>
      </c>
      <c r="P1488" s="5">
        <f t="shared" si="9"/>
        <v>13035.93365</v>
      </c>
      <c r="Q1488" s="5">
        <f t="shared" si="7"/>
        <v>13035.93365</v>
      </c>
      <c r="R1488" s="5">
        <f t="shared" si="8"/>
        <v>0</v>
      </c>
    </row>
    <row r="1489" ht="15.75" customHeight="1">
      <c r="A1489" s="4">
        <v>2004.0</v>
      </c>
      <c r="B1489" s="4">
        <v>522.0</v>
      </c>
      <c r="C1489" s="4" t="s">
        <v>22</v>
      </c>
      <c r="D1489" s="5" t="s">
        <v>19</v>
      </c>
      <c r="E1489" s="5" t="str">
        <f t="shared" si="1"/>
        <v/>
      </c>
      <c r="F1489" s="5" t="str">
        <f t="shared" si="2"/>
        <v/>
      </c>
      <c r="G1489" s="5" t="s">
        <v>19</v>
      </c>
      <c r="H1489" s="5" t="s">
        <v>19</v>
      </c>
      <c r="I1489" s="5" t="s">
        <v>19</v>
      </c>
      <c r="J1489" s="5">
        <v>0.0</v>
      </c>
      <c r="K1489" s="5">
        <f t="shared" si="3"/>
        <v>0</v>
      </c>
      <c r="L1489" s="5">
        <f t="shared" si="4"/>
        <v>0</v>
      </c>
      <c r="M1489" s="5">
        <v>15767.577952089134</v>
      </c>
      <c r="N1489" s="5">
        <f t="shared" si="5"/>
        <v>0</v>
      </c>
      <c r="O1489" s="5">
        <f t="shared" si="6"/>
        <v>15767.57795</v>
      </c>
      <c r="P1489" s="5">
        <f t="shared" si="9"/>
        <v>15767.57795</v>
      </c>
      <c r="Q1489" s="5">
        <f t="shared" si="7"/>
        <v>15767.57795</v>
      </c>
      <c r="R1489" s="5">
        <f t="shared" si="8"/>
        <v>0</v>
      </c>
    </row>
    <row r="1490" ht="15.75" customHeight="1">
      <c r="A1490" s="4">
        <v>2004.0</v>
      </c>
      <c r="B1490" s="4">
        <v>523.0</v>
      </c>
      <c r="C1490" s="4" t="s">
        <v>22</v>
      </c>
      <c r="D1490" s="5" t="s">
        <v>19</v>
      </c>
      <c r="E1490" s="5" t="str">
        <f t="shared" si="1"/>
        <v/>
      </c>
      <c r="F1490" s="5" t="str">
        <f t="shared" si="2"/>
        <v/>
      </c>
      <c r="G1490" s="5" t="s">
        <v>19</v>
      </c>
      <c r="H1490" s="5" t="s">
        <v>19</v>
      </c>
      <c r="I1490" s="5" t="s">
        <v>19</v>
      </c>
      <c r="J1490" s="5">
        <v>0.0</v>
      </c>
      <c r="K1490" s="5">
        <f t="shared" si="3"/>
        <v>0</v>
      </c>
      <c r="L1490" s="5">
        <f t="shared" si="4"/>
        <v>0</v>
      </c>
      <c r="M1490" s="5">
        <v>64586.61245776601</v>
      </c>
      <c r="N1490" s="5">
        <f t="shared" si="5"/>
        <v>0</v>
      </c>
      <c r="O1490" s="5">
        <f t="shared" si="6"/>
        <v>64586.61246</v>
      </c>
      <c r="P1490" s="5">
        <f t="shared" si="9"/>
        <v>64586.61246</v>
      </c>
      <c r="Q1490" s="5">
        <f t="shared" si="7"/>
        <v>64586.61246</v>
      </c>
      <c r="R1490" s="5">
        <f t="shared" si="8"/>
        <v>0</v>
      </c>
    </row>
    <row r="1491" ht="15.75" customHeight="1">
      <c r="A1491" s="4">
        <v>2004.0</v>
      </c>
      <c r="B1491" s="4">
        <v>524.0</v>
      </c>
      <c r="C1491" s="4" t="s">
        <v>22</v>
      </c>
      <c r="D1491" s="5" t="s">
        <v>19</v>
      </c>
      <c r="E1491" s="5" t="str">
        <f t="shared" si="1"/>
        <v/>
      </c>
      <c r="F1491" s="5" t="str">
        <f t="shared" si="2"/>
        <v/>
      </c>
      <c r="G1491" s="5">
        <v>7102.175782506965</v>
      </c>
      <c r="H1491" s="5">
        <v>4135.623797771589</v>
      </c>
      <c r="I1491" s="5">
        <v>2966.551984735376</v>
      </c>
      <c r="J1491" s="5">
        <v>335.30341108635093</v>
      </c>
      <c r="K1491" s="5">
        <f t="shared" si="3"/>
        <v>335.3034111</v>
      </c>
      <c r="L1491" s="5">
        <f t="shared" si="4"/>
        <v>0</v>
      </c>
      <c r="M1491" s="5">
        <v>210620.95886369358</v>
      </c>
      <c r="N1491" s="5">
        <f t="shared" si="5"/>
        <v>0</v>
      </c>
      <c r="O1491" s="5">
        <f t="shared" si="6"/>
        <v>210620.9589</v>
      </c>
      <c r="P1491" s="5">
        <f t="shared" si="9"/>
        <v>218058.4381</v>
      </c>
      <c r="Q1491" s="5">
        <f t="shared" si="7"/>
        <v>213587.5108</v>
      </c>
      <c r="R1491" s="5">
        <f t="shared" si="8"/>
        <v>4470.927209</v>
      </c>
    </row>
    <row r="1492" ht="15.75" customHeight="1">
      <c r="A1492" s="4">
        <v>2004.0</v>
      </c>
      <c r="B1492" s="4">
        <v>525.0</v>
      </c>
      <c r="C1492" s="4" t="s">
        <v>22</v>
      </c>
      <c r="D1492" s="5" t="s">
        <v>19</v>
      </c>
      <c r="E1492" s="5" t="str">
        <f t="shared" si="1"/>
        <v/>
      </c>
      <c r="F1492" s="5" t="str">
        <f t="shared" si="2"/>
        <v/>
      </c>
      <c r="G1492" s="5" t="s">
        <v>19</v>
      </c>
      <c r="H1492" s="5" t="s">
        <v>19</v>
      </c>
      <c r="I1492" s="5" t="s">
        <v>19</v>
      </c>
      <c r="J1492" s="5">
        <v>0.0</v>
      </c>
      <c r="K1492" s="5">
        <f t="shared" si="3"/>
        <v>0</v>
      </c>
      <c r="L1492" s="5">
        <f t="shared" si="4"/>
        <v>0</v>
      </c>
      <c r="M1492" s="5">
        <v>2476.3069755654597</v>
      </c>
      <c r="N1492" s="5">
        <f t="shared" si="5"/>
        <v>0</v>
      </c>
      <c r="O1492" s="5">
        <f t="shared" si="6"/>
        <v>2476.306976</v>
      </c>
      <c r="P1492" s="5">
        <f t="shared" si="9"/>
        <v>2476.306976</v>
      </c>
      <c r="Q1492" s="5">
        <f t="shared" si="7"/>
        <v>2476.306976</v>
      </c>
      <c r="R1492" s="5">
        <f t="shared" si="8"/>
        <v>0</v>
      </c>
    </row>
    <row r="1493" ht="15.75" customHeight="1">
      <c r="A1493" s="4">
        <v>2004.0</v>
      </c>
      <c r="B1493" s="4">
        <v>526.0</v>
      </c>
      <c r="C1493" s="4" t="s">
        <v>22</v>
      </c>
      <c r="D1493" s="5" t="s">
        <v>19</v>
      </c>
      <c r="E1493" s="5" t="str">
        <f t="shared" si="1"/>
        <v/>
      </c>
      <c r="F1493" s="5" t="str">
        <f t="shared" si="2"/>
        <v/>
      </c>
      <c r="G1493" s="5" t="s">
        <v>19</v>
      </c>
      <c r="H1493" s="5" t="s">
        <v>19</v>
      </c>
      <c r="I1493" s="5" t="s">
        <v>19</v>
      </c>
      <c r="J1493" s="5">
        <v>0.0</v>
      </c>
      <c r="K1493" s="5">
        <f t="shared" si="3"/>
        <v>0</v>
      </c>
      <c r="L1493" s="5">
        <f t="shared" si="4"/>
        <v>0</v>
      </c>
      <c r="M1493" s="5">
        <v>0.0</v>
      </c>
      <c r="N1493" s="5">
        <f t="shared" si="5"/>
        <v>0</v>
      </c>
      <c r="O1493" s="5">
        <f t="shared" si="6"/>
        <v>0</v>
      </c>
      <c r="P1493" s="5">
        <f t="shared" si="9"/>
        <v>0</v>
      </c>
      <c r="Q1493" s="5">
        <f t="shared" si="7"/>
        <v>0</v>
      </c>
      <c r="R1493" s="5">
        <f t="shared" si="8"/>
        <v>0</v>
      </c>
    </row>
    <row r="1494" ht="15.75" customHeight="1">
      <c r="A1494" s="4">
        <v>2004.0</v>
      </c>
      <c r="B1494" s="4">
        <v>527.0</v>
      </c>
      <c r="C1494" s="4" t="s">
        <v>22</v>
      </c>
      <c r="D1494" s="5" t="s">
        <v>19</v>
      </c>
      <c r="E1494" s="5" t="str">
        <f t="shared" si="1"/>
        <v/>
      </c>
      <c r="F1494" s="5" t="str">
        <f t="shared" si="2"/>
        <v/>
      </c>
      <c r="G1494" s="5" t="s">
        <v>19</v>
      </c>
      <c r="H1494" s="5" t="s">
        <v>19</v>
      </c>
      <c r="I1494" s="5" t="s">
        <v>19</v>
      </c>
      <c r="J1494" s="5">
        <v>0.0</v>
      </c>
      <c r="K1494" s="5">
        <f t="shared" si="3"/>
        <v>0</v>
      </c>
      <c r="L1494" s="5">
        <f t="shared" si="4"/>
        <v>0</v>
      </c>
      <c r="M1494" s="5">
        <v>0.0</v>
      </c>
      <c r="N1494" s="5">
        <f t="shared" si="5"/>
        <v>0</v>
      </c>
      <c r="O1494" s="5">
        <f t="shared" si="6"/>
        <v>0</v>
      </c>
      <c r="P1494" s="5">
        <f t="shared" si="9"/>
        <v>0</v>
      </c>
      <c r="Q1494" s="5">
        <f t="shared" si="7"/>
        <v>0</v>
      </c>
      <c r="R1494" s="5">
        <f t="shared" si="8"/>
        <v>0</v>
      </c>
    </row>
    <row r="1495" ht="15.75" customHeight="1">
      <c r="A1495" s="4">
        <v>2004.0</v>
      </c>
      <c r="B1495" s="4">
        <v>528.0</v>
      </c>
      <c r="C1495" s="4" t="s">
        <v>22</v>
      </c>
      <c r="D1495" s="5">
        <v>13920.999344974925</v>
      </c>
      <c r="E1495" s="5">
        <f t="shared" si="1"/>
        <v>0</v>
      </c>
      <c r="F1495" s="5">
        <f t="shared" si="2"/>
        <v>13920.99934</v>
      </c>
      <c r="G1495" s="5">
        <v>5929.23287075209</v>
      </c>
      <c r="H1495" s="5">
        <v>2740.092709693594</v>
      </c>
      <c r="I1495" s="5">
        <v>3189.1401610584962</v>
      </c>
      <c r="J1495" s="5">
        <v>0.0</v>
      </c>
      <c r="K1495" s="5">
        <f t="shared" si="3"/>
        <v>0</v>
      </c>
      <c r="L1495" s="5">
        <f t="shared" si="4"/>
        <v>0</v>
      </c>
      <c r="M1495" s="5">
        <v>15108.750081197762</v>
      </c>
      <c r="N1495" s="5">
        <f t="shared" si="5"/>
        <v>0</v>
      </c>
      <c r="O1495" s="5">
        <f t="shared" si="6"/>
        <v>15108.75008</v>
      </c>
      <c r="P1495" s="5">
        <f t="shared" si="9"/>
        <v>34958.9823</v>
      </c>
      <c r="Q1495" s="5">
        <f t="shared" si="7"/>
        <v>32218.88959</v>
      </c>
      <c r="R1495" s="5">
        <f t="shared" si="8"/>
        <v>2740.09271</v>
      </c>
    </row>
    <row r="1496" ht="15.75" customHeight="1">
      <c r="A1496" s="4">
        <v>2003.0</v>
      </c>
      <c r="B1496" s="4">
        <v>100.0</v>
      </c>
      <c r="C1496" s="4" t="s">
        <v>18</v>
      </c>
      <c r="D1496" s="5">
        <v>1908.5060687248697</v>
      </c>
      <c r="E1496" s="5">
        <f t="shared" si="1"/>
        <v>0</v>
      </c>
      <c r="F1496" s="5">
        <f t="shared" si="2"/>
        <v>1908.506069</v>
      </c>
      <c r="G1496" s="5" t="s">
        <v>19</v>
      </c>
      <c r="H1496" s="5" t="s">
        <v>19</v>
      </c>
      <c r="I1496" s="5" t="s">
        <v>19</v>
      </c>
      <c r="J1496" s="5">
        <v>5206.046213383114</v>
      </c>
      <c r="K1496" s="5">
        <f t="shared" si="3"/>
        <v>5206.046213</v>
      </c>
      <c r="L1496" s="5">
        <f t="shared" si="4"/>
        <v>0</v>
      </c>
      <c r="M1496" s="5">
        <v>128446.06755503733</v>
      </c>
      <c r="N1496" s="5">
        <f t="shared" si="5"/>
        <v>0</v>
      </c>
      <c r="O1496" s="5">
        <f t="shared" si="6"/>
        <v>128446.0676</v>
      </c>
      <c r="P1496" s="5">
        <f t="shared" si="9"/>
        <v>135560.6198</v>
      </c>
      <c r="Q1496" s="5">
        <f t="shared" si="7"/>
        <v>130354.5736</v>
      </c>
      <c r="R1496" s="5">
        <f t="shared" si="8"/>
        <v>5206.046213</v>
      </c>
    </row>
    <row r="1497" ht="15.75" customHeight="1">
      <c r="A1497" s="4">
        <v>2003.0</v>
      </c>
      <c r="B1497" s="4">
        <v>101.0</v>
      </c>
      <c r="C1497" s="4" t="s">
        <v>18</v>
      </c>
      <c r="D1497" s="5">
        <v>9638.131384267654</v>
      </c>
      <c r="E1497" s="5">
        <f t="shared" si="1"/>
        <v>0</v>
      </c>
      <c r="F1497" s="5">
        <f t="shared" si="2"/>
        <v>9638.131384</v>
      </c>
      <c r="G1497" s="5">
        <v>1964.9487246410108</v>
      </c>
      <c r="H1497" s="5">
        <v>1107.51655388857</v>
      </c>
      <c r="I1497" s="5">
        <v>857.4321707524409</v>
      </c>
      <c r="J1497" s="5">
        <v>1017313.876190247</v>
      </c>
      <c r="K1497" s="5">
        <f t="shared" si="3"/>
        <v>1017313.876</v>
      </c>
      <c r="L1497" s="5">
        <f t="shared" si="4"/>
        <v>0</v>
      </c>
      <c r="M1497" s="5">
        <v>363085.0738608674</v>
      </c>
      <c r="N1497" s="5">
        <f t="shared" si="5"/>
        <v>0</v>
      </c>
      <c r="O1497" s="5">
        <f t="shared" si="6"/>
        <v>363085.0739</v>
      </c>
      <c r="P1497" s="5">
        <f t="shared" si="9"/>
        <v>1392002.03</v>
      </c>
      <c r="Q1497" s="5">
        <f t="shared" si="7"/>
        <v>373580.6374</v>
      </c>
      <c r="R1497" s="5">
        <f t="shared" si="8"/>
        <v>1018421.393</v>
      </c>
    </row>
    <row r="1498" ht="15.75" customHeight="1">
      <c r="A1498" s="4">
        <v>2003.0</v>
      </c>
      <c r="B1498" s="4">
        <v>102.0</v>
      </c>
      <c r="C1498" s="4" t="s">
        <v>18</v>
      </c>
      <c r="D1498" s="5">
        <v>25943.732404577808</v>
      </c>
      <c r="E1498" s="5">
        <f t="shared" si="1"/>
        <v>0</v>
      </c>
      <c r="F1498" s="5">
        <f t="shared" si="2"/>
        <v>25943.7324</v>
      </c>
      <c r="G1498" s="5">
        <v>10341.45236190695</v>
      </c>
      <c r="H1498" s="5">
        <v>3630.3254686364157</v>
      </c>
      <c r="I1498" s="5">
        <v>6711.126893270533</v>
      </c>
      <c r="J1498" s="5">
        <v>19451.845362814474</v>
      </c>
      <c r="K1498" s="5">
        <f t="shared" si="3"/>
        <v>19451.84536</v>
      </c>
      <c r="L1498" s="5">
        <f t="shared" si="4"/>
        <v>0</v>
      </c>
      <c r="M1498" s="5">
        <v>107016.04508528434</v>
      </c>
      <c r="N1498" s="5">
        <f t="shared" si="5"/>
        <v>0</v>
      </c>
      <c r="O1498" s="5">
        <f t="shared" si="6"/>
        <v>107016.0451</v>
      </c>
      <c r="P1498" s="5">
        <f t="shared" si="9"/>
        <v>162753.0752</v>
      </c>
      <c r="Q1498" s="5">
        <f t="shared" si="7"/>
        <v>139670.9044</v>
      </c>
      <c r="R1498" s="5">
        <f t="shared" si="8"/>
        <v>23082.17083</v>
      </c>
    </row>
    <row r="1499" ht="15.75" customHeight="1">
      <c r="A1499" s="4">
        <v>2003.0</v>
      </c>
      <c r="B1499" s="4">
        <v>103.0</v>
      </c>
      <c r="C1499" s="4" t="s">
        <v>18</v>
      </c>
      <c r="D1499" s="5">
        <v>31501.245840798372</v>
      </c>
      <c r="E1499" s="5">
        <f t="shared" si="1"/>
        <v>0</v>
      </c>
      <c r="F1499" s="5">
        <f t="shared" si="2"/>
        <v>31501.24584</v>
      </c>
      <c r="G1499" s="5">
        <v>2444.6079251005167</v>
      </c>
      <c r="H1499" s="5">
        <v>1044.6646586559448</v>
      </c>
      <c r="I1499" s="5">
        <v>1399.943266444572</v>
      </c>
      <c r="J1499" s="5">
        <v>22529.197124503164</v>
      </c>
      <c r="K1499" s="5">
        <f t="shared" si="3"/>
        <v>22529.19712</v>
      </c>
      <c r="L1499" s="5">
        <f t="shared" si="4"/>
        <v>0</v>
      </c>
      <c r="M1499" s="5">
        <v>28749.46545815622</v>
      </c>
      <c r="N1499" s="5">
        <f t="shared" si="5"/>
        <v>0</v>
      </c>
      <c r="O1499" s="5">
        <f t="shared" si="6"/>
        <v>28749.46546</v>
      </c>
      <c r="P1499" s="5">
        <f t="shared" si="9"/>
        <v>85224.51635</v>
      </c>
      <c r="Q1499" s="5">
        <f t="shared" si="7"/>
        <v>61650.65457</v>
      </c>
      <c r="R1499" s="5">
        <f t="shared" si="8"/>
        <v>23573.86178</v>
      </c>
    </row>
    <row r="1500" ht="15.75" customHeight="1">
      <c r="A1500" s="4">
        <v>2003.0</v>
      </c>
      <c r="B1500" s="4">
        <v>104.0</v>
      </c>
      <c r="C1500" s="4" t="s">
        <v>18</v>
      </c>
      <c r="D1500" s="5">
        <v>18557.849066053983</v>
      </c>
      <c r="E1500" s="5">
        <f t="shared" si="1"/>
        <v>0</v>
      </c>
      <c r="F1500" s="5">
        <f t="shared" si="2"/>
        <v>18557.84907</v>
      </c>
      <c r="G1500" s="5">
        <v>4121.761129465824</v>
      </c>
      <c r="H1500" s="5">
        <v>2116.4548720964963</v>
      </c>
      <c r="I1500" s="5">
        <v>2005.3062573693273</v>
      </c>
      <c r="J1500" s="5">
        <v>5963.943706570938</v>
      </c>
      <c r="K1500" s="5">
        <f t="shared" si="3"/>
        <v>5963.943707</v>
      </c>
      <c r="L1500" s="5">
        <f t="shared" si="4"/>
        <v>0</v>
      </c>
      <c r="M1500" s="5">
        <v>14534.446837851807</v>
      </c>
      <c r="N1500" s="5">
        <f t="shared" si="5"/>
        <v>0</v>
      </c>
      <c r="O1500" s="5">
        <f t="shared" si="6"/>
        <v>14534.44684</v>
      </c>
      <c r="P1500" s="5">
        <f t="shared" si="9"/>
        <v>43178.00074</v>
      </c>
      <c r="Q1500" s="5">
        <f t="shared" si="7"/>
        <v>35097.60216</v>
      </c>
      <c r="R1500" s="5">
        <f t="shared" si="8"/>
        <v>8080.398579</v>
      </c>
    </row>
    <row r="1501" ht="15.75" customHeight="1">
      <c r="A1501" s="4">
        <v>2003.0</v>
      </c>
      <c r="B1501" s="4">
        <v>105.0</v>
      </c>
      <c r="C1501" s="4" t="s">
        <v>18</v>
      </c>
      <c r="D1501" s="5">
        <v>18730.071528977587</v>
      </c>
      <c r="E1501" s="5">
        <f t="shared" si="1"/>
        <v>0</v>
      </c>
      <c r="F1501" s="5">
        <f t="shared" si="2"/>
        <v>18730.07153</v>
      </c>
      <c r="G1501" s="5">
        <v>2963.9630593911543</v>
      </c>
      <c r="H1501" s="5">
        <v>1035.4022740953474</v>
      </c>
      <c r="I1501" s="5">
        <v>1928.560785295807</v>
      </c>
      <c r="J1501" s="5">
        <v>106151.41083523264</v>
      </c>
      <c r="K1501" s="5">
        <f t="shared" si="3"/>
        <v>106151.4108</v>
      </c>
      <c r="L1501" s="5">
        <f t="shared" si="4"/>
        <v>0</v>
      </c>
      <c r="M1501" s="5">
        <v>12735.464151780583</v>
      </c>
      <c r="N1501" s="5">
        <f t="shared" si="5"/>
        <v>0</v>
      </c>
      <c r="O1501" s="5">
        <f t="shared" si="6"/>
        <v>12735.46415</v>
      </c>
      <c r="P1501" s="5">
        <f t="shared" si="9"/>
        <v>140580.9096</v>
      </c>
      <c r="Q1501" s="5">
        <f t="shared" si="7"/>
        <v>33394.09647</v>
      </c>
      <c r="R1501" s="5">
        <f t="shared" si="8"/>
        <v>107186.8131</v>
      </c>
    </row>
    <row r="1502" ht="15.75" customHeight="1">
      <c r="A1502" s="4">
        <v>2003.0</v>
      </c>
      <c r="B1502" s="4">
        <v>106.0</v>
      </c>
      <c r="C1502" s="4" t="s">
        <v>18</v>
      </c>
      <c r="D1502" s="5">
        <v>7068.150468150484</v>
      </c>
      <c r="E1502" s="5">
        <f t="shared" si="1"/>
        <v>0</v>
      </c>
      <c r="F1502" s="5">
        <f t="shared" si="2"/>
        <v>7068.150468</v>
      </c>
      <c r="G1502" s="5">
        <v>4717.200136932797</v>
      </c>
      <c r="H1502" s="5">
        <v>2757.5442034692705</v>
      </c>
      <c r="I1502" s="5">
        <v>1959.6559334635267</v>
      </c>
      <c r="J1502" s="5">
        <v>46936.68430505457</v>
      </c>
      <c r="K1502" s="5">
        <f t="shared" si="3"/>
        <v>46936.68431</v>
      </c>
      <c r="L1502" s="5">
        <f t="shared" si="4"/>
        <v>0</v>
      </c>
      <c r="M1502" s="5">
        <v>224812.65363095922</v>
      </c>
      <c r="N1502" s="5">
        <f t="shared" si="5"/>
        <v>0</v>
      </c>
      <c r="O1502" s="5">
        <f t="shared" si="6"/>
        <v>224812.6536</v>
      </c>
      <c r="P1502" s="5">
        <f t="shared" si="9"/>
        <v>283534.6885</v>
      </c>
      <c r="Q1502" s="5">
        <f t="shared" si="7"/>
        <v>233840.46</v>
      </c>
      <c r="R1502" s="5">
        <f t="shared" si="8"/>
        <v>49694.22851</v>
      </c>
    </row>
    <row r="1503" ht="15.75" customHeight="1">
      <c r="A1503" s="4">
        <v>2003.0</v>
      </c>
      <c r="B1503" s="4">
        <v>107.0</v>
      </c>
      <c r="C1503" s="4" t="s">
        <v>18</v>
      </c>
      <c r="D1503" s="5">
        <v>2583.3369438541054</v>
      </c>
      <c r="E1503" s="5">
        <f t="shared" si="1"/>
        <v>0</v>
      </c>
      <c r="F1503" s="5">
        <f t="shared" si="2"/>
        <v>2583.336944</v>
      </c>
      <c r="G1503" s="5">
        <v>2854.799241355542</v>
      </c>
      <c r="H1503" s="5">
        <v>2150.858014750143</v>
      </c>
      <c r="I1503" s="5">
        <v>703.9412266053992</v>
      </c>
      <c r="J1503" s="5">
        <v>31745.312910051696</v>
      </c>
      <c r="K1503" s="5">
        <f t="shared" si="3"/>
        <v>31745.31291</v>
      </c>
      <c r="L1503" s="5">
        <f t="shared" si="4"/>
        <v>0</v>
      </c>
      <c r="M1503" s="5">
        <v>53263.96086685812</v>
      </c>
      <c r="N1503" s="5">
        <f t="shared" si="5"/>
        <v>0</v>
      </c>
      <c r="O1503" s="5">
        <f t="shared" si="6"/>
        <v>53263.96087</v>
      </c>
      <c r="P1503" s="5">
        <f t="shared" si="9"/>
        <v>90447.40996</v>
      </c>
      <c r="Q1503" s="5">
        <f t="shared" si="7"/>
        <v>56551.23904</v>
      </c>
      <c r="R1503" s="5">
        <f t="shared" si="8"/>
        <v>33896.17092</v>
      </c>
    </row>
    <row r="1504" ht="15.75" customHeight="1">
      <c r="A1504" s="4">
        <v>2003.0</v>
      </c>
      <c r="B1504" s="4">
        <v>108.0</v>
      </c>
      <c r="C1504" s="4" t="s">
        <v>18</v>
      </c>
      <c r="D1504" s="5">
        <v>34982.24843834001</v>
      </c>
      <c r="E1504" s="5">
        <f t="shared" si="1"/>
        <v>0</v>
      </c>
      <c r="F1504" s="5">
        <f t="shared" si="2"/>
        <v>34982.24844</v>
      </c>
      <c r="G1504" s="5">
        <v>4545.18442366456</v>
      </c>
      <c r="H1504" s="5">
        <v>2286.485788673176</v>
      </c>
      <c r="I1504" s="5">
        <v>2258.698634991384</v>
      </c>
      <c r="J1504" s="5">
        <v>3288.678674646755</v>
      </c>
      <c r="K1504" s="5">
        <f t="shared" si="3"/>
        <v>3288.678675</v>
      </c>
      <c r="L1504" s="5">
        <f t="shared" si="4"/>
        <v>0</v>
      </c>
      <c r="M1504" s="5">
        <v>32247.25073424469</v>
      </c>
      <c r="N1504" s="5">
        <f t="shared" si="5"/>
        <v>0</v>
      </c>
      <c r="O1504" s="5">
        <f t="shared" si="6"/>
        <v>32247.25073</v>
      </c>
      <c r="P1504" s="5">
        <f t="shared" si="9"/>
        <v>75063.36227</v>
      </c>
      <c r="Q1504" s="5">
        <f t="shared" si="7"/>
        <v>69488.19781</v>
      </c>
      <c r="R1504" s="5">
        <f t="shared" si="8"/>
        <v>5575.164463</v>
      </c>
    </row>
    <row r="1505" ht="15.75" customHeight="1">
      <c r="A1505" s="4">
        <v>2003.0</v>
      </c>
      <c r="B1505" s="4">
        <v>120.0</v>
      </c>
      <c r="C1505" s="4" t="s">
        <v>18</v>
      </c>
      <c r="D1505" s="5">
        <v>10362.168677375064</v>
      </c>
      <c r="E1505" s="5">
        <f t="shared" si="1"/>
        <v>0</v>
      </c>
      <c r="F1505" s="5">
        <f t="shared" si="2"/>
        <v>10362.16868</v>
      </c>
      <c r="G1505" s="5">
        <v>2302.3641622056284</v>
      </c>
      <c r="H1505" s="5">
        <v>726.4355891097069</v>
      </c>
      <c r="I1505" s="5">
        <v>1575.9285730959214</v>
      </c>
      <c r="J1505" s="5">
        <v>0.0</v>
      </c>
      <c r="K1505" s="5">
        <f t="shared" si="3"/>
        <v>0</v>
      </c>
      <c r="L1505" s="5">
        <f t="shared" si="4"/>
        <v>0</v>
      </c>
      <c r="M1505" s="5">
        <v>131412.39834743825</v>
      </c>
      <c r="N1505" s="5">
        <f t="shared" si="5"/>
        <v>0</v>
      </c>
      <c r="O1505" s="5">
        <f t="shared" si="6"/>
        <v>131412.3983</v>
      </c>
      <c r="P1505" s="5">
        <f t="shared" si="9"/>
        <v>144076.9312</v>
      </c>
      <c r="Q1505" s="5">
        <f t="shared" si="7"/>
        <v>143350.4956</v>
      </c>
      <c r="R1505" s="5">
        <f t="shared" si="8"/>
        <v>726.4355891</v>
      </c>
    </row>
    <row r="1506" ht="15.75" customHeight="1">
      <c r="A1506" s="4">
        <v>2003.0</v>
      </c>
      <c r="B1506" s="4">
        <v>121.0</v>
      </c>
      <c r="C1506" s="4" t="s">
        <v>18</v>
      </c>
      <c r="D1506" s="5">
        <v>41225.83993094196</v>
      </c>
      <c r="E1506" s="5">
        <f t="shared" si="1"/>
        <v>0</v>
      </c>
      <c r="F1506" s="5">
        <f t="shared" si="2"/>
        <v>41225.83993</v>
      </c>
      <c r="G1506" s="5">
        <v>8041.072996392877</v>
      </c>
      <c r="H1506" s="5">
        <v>4232.115825516369</v>
      </c>
      <c r="I1506" s="5">
        <v>3808.957170876508</v>
      </c>
      <c r="J1506" s="5">
        <v>157992.83339504883</v>
      </c>
      <c r="K1506" s="5">
        <f t="shared" si="3"/>
        <v>157992.8334</v>
      </c>
      <c r="L1506" s="5">
        <f t="shared" si="4"/>
        <v>0</v>
      </c>
      <c r="M1506" s="5">
        <v>1259055.299472326</v>
      </c>
      <c r="N1506" s="5">
        <f t="shared" si="5"/>
        <v>0</v>
      </c>
      <c r="O1506" s="5">
        <f t="shared" si="6"/>
        <v>1259055.299</v>
      </c>
      <c r="P1506" s="5">
        <f t="shared" si="9"/>
        <v>1466315.046</v>
      </c>
      <c r="Q1506" s="5">
        <f t="shared" si="7"/>
        <v>1304090.097</v>
      </c>
      <c r="R1506" s="5">
        <f t="shared" si="8"/>
        <v>162224.9492</v>
      </c>
    </row>
    <row r="1507" ht="15.75" customHeight="1">
      <c r="A1507" s="4">
        <v>2003.0</v>
      </c>
      <c r="B1507" s="4">
        <v>122.0</v>
      </c>
      <c r="C1507" s="4" t="s">
        <v>18</v>
      </c>
      <c r="D1507" s="5">
        <v>69016.2189073578</v>
      </c>
      <c r="E1507" s="5">
        <f t="shared" si="1"/>
        <v>0</v>
      </c>
      <c r="F1507" s="5">
        <f t="shared" si="2"/>
        <v>69016.21891</v>
      </c>
      <c r="G1507" s="5">
        <v>8280.571797174038</v>
      </c>
      <c r="H1507" s="5">
        <v>2551.257667326824</v>
      </c>
      <c r="I1507" s="5">
        <v>5729.314129847214</v>
      </c>
      <c r="J1507" s="5">
        <v>5285.743710970708</v>
      </c>
      <c r="K1507" s="5">
        <f t="shared" si="3"/>
        <v>5285.743711</v>
      </c>
      <c r="L1507" s="5">
        <f t="shared" si="4"/>
        <v>0</v>
      </c>
      <c r="M1507" s="5">
        <v>109817.75461078685</v>
      </c>
      <c r="N1507" s="5">
        <f t="shared" si="5"/>
        <v>0</v>
      </c>
      <c r="O1507" s="5">
        <f t="shared" si="6"/>
        <v>109817.7546</v>
      </c>
      <c r="P1507" s="5">
        <f t="shared" si="9"/>
        <v>192400.289</v>
      </c>
      <c r="Q1507" s="5">
        <f t="shared" si="7"/>
        <v>184563.2876</v>
      </c>
      <c r="R1507" s="5">
        <f t="shared" si="8"/>
        <v>7837.001378</v>
      </c>
    </row>
    <row r="1508" ht="15.75" customHeight="1">
      <c r="A1508" s="4">
        <v>2003.0</v>
      </c>
      <c r="B1508" s="4">
        <v>123.0</v>
      </c>
      <c r="C1508" s="4" t="s">
        <v>18</v>
      </c>
      <c r="D1508" s="5">
        <v>12979.950113813893</v>
      </c>
      <c r="E1508" s="5">
        <f t="shared" si="1"/>
        <v>0</v>
      </c>
      <c r="F1508" s="5">
        <f t="shared" si="2"/>
        <v>12979.95011</v>
      </c>
      <c r="G1508" s="5" t="s">
        <v>19</v>
      </c>
      <c r="H1508" s="5" t="s">
        <v>19</v>
      </c>
      <c r="I1508" s="5" t="s">
        <v>19</v>
      </c>
      <c r="J1508" s="5">
        <v>0.0</v>
      </c>
      <c r="K1508" s="5">
        <f t="shared" si="3"/>
        <v>0</v>
      </c>
      <c r="L1508" s="5">
        <f t="shared" si="4"/>
        <v>0</v>
      </c>
      <c r="M1508" s="5">
        <v>23504.361538138997</v>
      </c>
      <c r="N1508" s="5">
        <f t="shared" si="5"/>
        <v>0</v>
      </c>
      <c r="O1508" s="5">
        <f t="shared" si="6"/>
        <v>23504.36154</v>
      </c>
      <c r="P1508" s="5">
        <f t="shared" si="9"/>
        <v>36484.31165</v>
      </c>
      <c r="Q1508" s="5">
        <f t="shared" si="7"/>
        <v>36484.31165</v>
      </c>
      <c r="R1508" s="5">
        <f t="shared" si="8"/>
        <v>0</v>
      </c>
    </row>
    <row r="1509" ht="15.75" customHeight="1">
      <c r="A1509" s="4">
        <v>2003.0</v>
      </c>
      <c r="B1509" s="4">
        <v>124.0</v>
      </c>
      <c r="C1509" s="4" t="s">
        <v>18</v>
      </c>
      <c r="D1509" s="5" t="s">
        <v>19</v>
      </c>
      <c r="E1509" s="5" t="str">
        <f t="shared" si="1"/>
        <v/>
      </c>
      <c r="F1509" s="5" t="str">
        <f t="shared" si="2"/>
        <v/>
      </c>
      <c r="G1509" s="5" t="s">
        <v>19</v>
      </c>
      <c r="H1509" s="5" t="s">
        <v>19</v>
      </c>
      <c r="I1509" s="5" t="s">
        <v>19</v>
      </c>
      <c r="J1509" s="5">
        <v>0.0</v>
      </c>
      <c r="K1509" s="5">
        <f t="shared" si="3"/>
        <v>0</v>
      </c>
      <c r="L1509" s="5">
        <f t="shared" si="4"/>
        <v>0</v>
      </c>
      <c r="M1509" s="5">
        <v>118460.64888661687</v>
      </c>
      <c r="N1509" s="5">
        <f t="shared" si="5"/>
        <v>0</v>
      </c>
      <c r="O1509" s="5">
        <f t="shared" si="6"/>
        <v>118460.6489</v>
      </c>
      <c r="P1509" s="5">
        <f t="shared" si="9"/>
        <v>118460.6489</v>
      </c>
      <c r="Q1509" s="5">
        <f t="shared" si="7"/>
        <v>118460.6489</v>
      </c>
      <c r="R1509" s="5">
        <f t="shared" si="8"/>
        <v>0</v>
      </c>
    </row>
    <row r="1510" ht="15.75" customHeight="1">
      <c r="A1510" s="4">
        <v>2003.0</v>
      </c>
      <c r="B1510" s="4">
        <v>125.0</v>
      </c>
      <c r="C1510" s="4" t="s">
        <v>18</v>
      </c>
      <c r="D1510" s="5">
        <v>17057.053317719696</v>
      </c>
      <c r="E1510" s="5">
        <f t="shared" si="1"/>
        <v>0</v>
      </c>
      <c r="F1510" s="5">
        <f t="shared" si="2"/>
        <v>17057.05332</v>
      </c>
      <c r="G1510" s="5">
        <v>4694.705774428489</v>
      </c>
      <c r="H1510" s="5">
        <v>3190.097562449167</v>
      </c>
      <c r="I1510" s="5">
        <v>1504.6082119793223</v>
      </c>
      <c r="J1510" s="5">
        <v>20388.16241511775</v>
      </c>
      <c r="K1510" s="5">
        <f t="shared" si="3"/>
        <v>20388.16242</v>
      </c>
      <c r="L1510" s="5">
        <f t="shared" si="4"/>
        <v>0</v>
      </c>
      <c r="M1510" s="5">
        <v>392318.21845191275</v>
      </c>
      <c r="N1510" s="5">
        <f t="shared" si="5"/>
        <v>0</v>
      </c>
      <c r="O1510" s="5">
        <f t="shared" si="6"/>
        <v>392318.2185</v>
      </c>
      <c r="P1510" s="5">
        <f t="shared" si="9"/>
        <v>434458.14</v>
      </c>
      <c r="Q1510" s="5">
        <f t="shared" si="7"/>
        <v>410879.88</v>
      </c>
      <c r="R1510" s="5">
        <f t="shared" si="8"/>
        <v>23578.25998</v>
      </c>
    </row>
    <row r="1511" ht="15.75" customHeight="1">
      <c r="A1511" s="4">
        <v>2003.0</v>
      </c>
      <c r="B1511" s="4">
        <v>126.0</v>
      </c>
      <c r="C1511" s="4" t="s">
        <v>18</v>
      </c>
      <c r="D1511" s="5">
        <v>4312.591061372772</v>
      </c>
      <c r="E1511" s="5">
        <f t="shared" si="1"/>
        <v>0</v>
      </c>
      <c r="F1511" s="5">
        <f t="shared" si="2"/>
        <v>4312.591061</v>
      </c>
      <c r="G1511" s="5">
        <v>4105.221157036186</v>
      </c>
      <c r="H1511" s="5">
        <v>3016.229372268811</v>
      </c>
      <c r="I1511" s="5">
        <v>1088.991784767375</v>
      </c>
      <c r="J1511" s="5">
        <v>0.0</v>
      </c>
      <c r="K1511" s="5">
        <f t="shared" si="3"/>
        <v>0</v>
      </c>
      <c r="L1511" s="5">
        <f t="shared" si="4"/>
        <v>0</v>
      </c>
      <c r="M1511" s="5">
        <v>285070.3332922114</v>
      </c>
      <c r="N1511" s="5">
        <f t="shared" si="5"/>
        <v>0</v>
      </c>
      <c r="O1511" s="5">
        <f t="shared" si="6"/>
        <v>285070.3333</v>
      </c>
      <c r="P1511" s="5">
        <f t="shared" si="9"/>
        <v>293488.1455</v>
      </c>
      <c r="Q1511" s="5">
        <f t="shared" si="7"/>
        <v>290471.9161</v>
      </c>
      <c r="R1511" s="5">
        <f t="shared" si="8"/>
        <v>3016.229372</v>
      </c>
    </row>
    <row r="1512" ht="15.75" customHeight="1">
      <c r="A1512" s="4">
        <v>2003.0</v>
      </c>
      <c r="B1512" s="4">
        <v>127.0</v>
      </c>
      <c r="C1512" s="4" t="s">
        <v>18</v>
      </c>
      <c r="D1512" s="5">
        <v>6209.1470000172285</v>
      </c>
      <c r="E1512" s="5">
        <f t="shared" si="1"/>
        <v>0</v>
      </c>
      <c r="F1512" s="5">
        <f t="shared" si="2"/>
        <v>6209.147</v>
      </c>
      <c r="G1512" s="5" t="s">
        <v>19</v>
      </c>
      <c r="H1512" s="5" t="s">
        <v>19</v>
      </c>
      <c r="I1512" s="5" t="s">
        <v>19</v>
      </c>
      <c r="J1512" s="5">
        <v>0.0</v>
      </c>
      <c r="K1512" s="5">
        <f t="shared" si="3"/>
        <v>0</v>
      </c>
      <c r="L1512" s="5">
        <f t="shared" si="4"/>
        <v>0</v>
      </c>
      <c r="M1512" s="5">
        <v>167683.14839233202</v>
      </c>
      <c r="N1512" s="5">
        <f t="shared" si="5"/>
        <v>0</v>
      </c>
      <c r="O1512" s="5">
        <f t="shared" si="6"/>
        <v>167683.1484</v>
      </c>
      <c r="P1512" s="5">
        <f t="shared" si="9"/>
        <v>173892.2954</v>
      </c>
      <c r="Q1512" s="5">
        <f t="shared" si="7"/>
        <v>173892.2954</v>
      </c>
      <c r="R1512" s="5">
        <f t="shared" si="8"/>
        <v>0</v>
      </c>
    </row>
    <row r="1513" ht="15.75" customHeight="1">
      <c r="A1513" s="4">
        <v>2003.0</v>
      </c>
      <c r="B1513" s="4">
        <v>128.0</v>
      </c>
      <c r="C1513" s="4" t="s">
        <v>18</v>
      </c>
      <c r="D1513" s="5" t="s">
        <v>19</v>
      </c>
      <c r="E1513" s="5" t="str">
        <f t="shared" si="1"/>
        <v/>
      </c>
      <c r="F1513" s="5" t="str">
        <f t="shared" si="2"/>
        <v/>
      </c>
      <c r="G1513" s="5" t="s">
        <v>19</v>
      </c>
      <c r="H1513" s="5" t="s">
        <v>19</v>
      </c>
      <c r="I1513" s="5" t="s">
        <v>19</v>
      </c>
      <c r="J1513" s="5">
        <v>0.0</v>
      </c>
      <c r="K1513" s="5">
        <f t="shared" si="3"/>
        <v>0</v>
      </c>
      <c r="L1513" s="5">
        <f t="shared" si="4"/>
        <v>0</v>
      </c>
      <c r="M1513" s="5">
        <v>998.0974449741525</v>
      </c>
      <c r="N1513" s="5">
        <f t="shared" si="5"/>
        <v>0</v>
      </c>
      <c r="O1513" s="5">
        <f t="shared" si="6"/>
        <v>998.097445</v>
      </c>
      <c r="P1513" s="5">
        <f t="shared" si="9"/>
        <v>998.097445</v>
      </c>
      <c r="Q1513" s="5">
        <f t="shared" si="7"/>
        <v>998.097445</v>
      </c>
      <c r="R1513" s="5">
        <f t="shared" si="8"/>
        <v>0</v>
      </c>
    </row>
    <row r="1514" ht="15.75" customHeight="1">
      <c r="A1514" s="4">
        <v>2003.0</v>
      </c>
      <c r="B1514" s="4">
        <v>300.0</v>
      </c>
      <c r="C1514" s="4" t="s">
        <v>20</v>
      </c>
      <c r="D1514" s="5" t="s">
        <v>19</v>
      </c>
      <c r="E1514" s="5" t="str">
        <f t="shared" si="1"/>
        <v/>
      </c>
      <c r="F1514" s="5" t="str">
        <f t="shared" si="2"/>
        <v/>
      </c>
      <c r="G1514" s="5">
        <v>15417.654398248133</v>
      </c>
      <c r="H1514" s="5">
        <v>8882.718482590466</v>
      </c>
      <c r="I1514" s="5">
        <v>6534.935915657667</v>
      </c>
      <c r="J1514" s="5">
        <v>404870.4898242734</v>
      </c>
      <c r="K1514" s="5">
        <f t="shared" si="3"/>
        <v>404870.4898</v>
      </c>
      <c r="L1514" s="5">
        <f t="shared" si="4"/>
        <v>0</v>
      </c>
      <c r="M1514" s="5">
        <v>3592.050534175759</v>
      </c>
      <c r="N1514" s="5">
        <f t="shared" si="5"/>
        <v>0</v>
      </c>
      <c r="O1514" s="5">
        <f t="shared" si="6"/>
        <v>3592.050534</v>
      </c>
      <c r="P1514" s="5">
        <f t="shared" si="9"/>
        <v>423880.1948</v>
      </c>
      <c r="Q1514" s="5">
        <f t="shared" si="7"/>
        <v>10126.98645</v>
      </c>
      <c r="R1514" s="5">
        <f t="shared" si="8"/>
        <v>413753.2083</v>
      </c>
    </row>
    <row r="1515" ht="15.75" customHeight="1">
      <c r="A1515" s="4">
        <v>2003.0</v>
      </c>
      <c r="B1515" s="4">
        <v>301.0</v>
      </c>
      <c r="C1515" s="4" t="s">
        <v>20</v>
      </c>
      <c r="D1515" s="5" t="s">
        <v>19</v>
      </c>
      <c r="E1515" s="5" t="str">
        <f t="shared" si="1"/>
        <v/>
      </c>
      <c r="F1515" s="5" t="str">
        <f t="shared" si="2"/>
        <v/>
      </c>
      <c r="G1515" s="5">
        <v>2833.7287547386563</v>
      </c>
      <c r="H1515" s="5">
        <v>1991.268854681218</v>
      </c>
      <c r="I1515" s="5">
        <v>842.4599000574383</v>
      </c>
      <c r="J1515" s="5">
        <v>18907.540039678348</v>
      </c>
      <c r="K1515" s="5">
        <f t="shared" si="3"/>
        <v>18907.54004</v>
      </c>
      <c r="L1515" s="5">
        <f t="shared" si="4"/>
        <v>0</v>
      </c>
      <c r="M1515" s="5">
        <v>265.4126228029867</v>
      </c>
      <c r="N1515" s="5">
        <f t="shared" si="5"/>
        <v>0</v>
      </c>
      <c r="O1515" s="5">
        <f t="shared" si="6"/>
        <v>265.4126228</v>
      </c>
      <c r="P1515" s="5">
        <f t="shared" si="9"/>
        <v>22006.68142</v>
      </c>
      <c r="Q1515" s="5">
        <f t="shared" si="7"/>
        <v>1107.872523</v>
      </c>
      <c r="R1515" s="5">
        <f t="shared" si="8"/>
        <v>20898.80889</v>
      </c>
    </row>
    <row r="1516" ht="15.75" customHeight="1">
      <c r="A1516" s="4">
        <v>2003.0</v>
      </c>
      <c r="B1516" s="4">
        <v>302.0</v>
      </c>
      <c r="C1516" s="4" t="s">
        <v>20</v>
      </c>
      <c r="D1516" s="5">
        <v>9044.035350649046</v>
      </c>
      <c r="E1516" s="5">
        <f t="shared" si="1"/>
        <v>0</v>
      </c>
      <c r="F1516" s="5">
        <f t="shared" si="2"/>
        <v>9044.035351</v>
      </c>
      <c r="G1516" s="5">
        <v>1526.001228058587</v>
      </c>
      <c r="H1516" s="5">
        <v>1040.8209128891442</v>
      </c>
      <c r="I1516" s="5">
        <v>485.1803151694428</v>
      </c>
      <c r="J1516" s="5">
        <v>140751.51219970133</v>
      </c>
      <c r="K1516" s="5">
        <f t="shared" si="3"/>
        <v>140751.5122</v>
      </c>
      <c r="L1516" s="5">
        <f t="shared" si="4"/>
        <v>0</v>
      </c>
      <c r="M1516" s="5">
        <v>6402.630518805281</v>
      </c>
      <c r="N1516" s="5">
        <f t="shared" si="5"/>
        <v>0</v>
      </c>
      <c r="O1516" s="5">
        <f t="shared" si="6"/>
        <v>6402.630519</v>
      </c>
      <c r="P1516" s="5">
        <f t="shared" si="9"/>
        <v>157724.1793</v>
      </c>
      <c r="Q1516" s="5">
        <f t="shared" si="7"/>
        <v>15931.84618</v>
      </c>
      <c r="R1516" s="5">
        <f t="shared" si="8"/>
        <v>141792.3331</v>
      </c>
    </row>
    <row r="1517" ht="15.75" customHeight="1">
      <c r="A1517" s="4">
        <v>2003.0</v>
      </c>
      <c r="B1517" s="4">
        <v>303.0</v>
      </c>
      <c r="C1517" s="4" t="s">
        <v>20</v>
      </c>
      <c r="D1517" s="5">
        <v>14816.496515531297</v>
      </c>
      <c r="E1517" s="5">
        <f t="shared" si="1"/>
        <v>0</v>
      </c>
      <c r="F1517" s="5">
        <f t="shared" si="2"/>
        <v>14816.49652</v>
      </c>
      <c r="G1517" s="5">
        <v>7508.104745663411</v>
      </c>
      <c r="H1517" s="5">
        <v>3719.588104192993</v>
      </c>
      <c r="I1517" s="5">
        <v>3788.5166414704186</v>
      </c>
      <c r="J1517" s="5">
        <v>25118.119904698447</v>
      </c>
      <c r="K1517" s="5">
        <f t="shared" si="3"/>
        <v>25118.1199</v>
      </c>
      <c r="L1517" s="5">
        <f t="shared" si="4"/>
        <v>0</v>
      </c>
      <c r="M1517" s="5">
        <v>19740.712385651917</v>
      </c>
      <c r="N1517" s="5">
        <f t="shared" si="5"/>
        <v>0</v>
      </c>
      <c r="O1517" s="5">
        <f t="shared" si="6"/>
        <v>19740.71239</v>
      </c>
      <c r="P1517" s="5">
        <f t="shared" si="9"/>
        <v>67183.43355</v>
      </c>
      <c r="Q1517" s="5">
        <f t="shared" si="7"/>
        <v>38345.72554</v>
      </c>
      <c r="R1517" s="5">
        <f t="shared" si="8"/>
        <v>28837.70801</v>
      </c>
    </row>
    <row r="1518" ht="15.75" customHeight="1">
      <c r="A1518" s="4">
        <v>2003.0</v>
      </c>
      <c r="B1518" s="4">
        <v>304.0</v>
      </c>
      <c r="C1518" s="4" t="s">
        <v>20</v>
      </c>
      <c r="D1518" s="5">
        <v>15269.67737751866</v>
      </c>
      <c r="E1518" s="5">
        <f t="shared" si="1"/>
        <v>0</v>
      </c>
      <c r="F1518" s="5">
        <f t="shared" si="2"/>
        <v>15269.67738</v>
      </c>
      <c r="G1518" s="5">
        <v>3180.286122716829</v>
      </c>
      <c r="H1518" s="5">
        <v>901.4320930614588</v>
      </c>
      <c r="I1518" s="5">
        <v>2278.85402965537</v>
      </c>
      <c r="J1518" s="5">
        <v>620.5510003905803</v>
      </c>
      <c r="K1518" s="5">
        <f t="shared" si="3"/>
        <v>620.5510004</v>
      </c>
      <c r="L1518" s="5">
        <f t="shared" si="4"/>
        <v>0</v>
      </c>
      <c r="M1518" s="5">
        <v>4253.586507553127</v>
      </c>
      <c r="N1518" s="5">
        <f t="shared" si="5"/>
        <v>0</v>
      </c>
      <c r="O1518" s="5">
        <f t="shared" si="6"/>
        <v>4253.586508</v>
      </c>
      <c r="P1518" s="5">
        <f t="shared" si="9"/>
        <v>23324.10101</v>
      </c>
      <c r="Q1518" s="5">
        <f t="shared" si="7"/>
        <v>21802.11791</v>
      </c>
      <c r="R1518" s="5">
        <f t="shared" si="8"/>
        <v>1521.983093</v>
      </c>
    </row>
    <row r="1519" ht="15.75" customHeight="1">
      <c r="A1519" s="4">
        <v>2003.0</v>
      </c>
      <c r="B1519" s="4">
        <v>305.0</v>
      </c>
      <c r="C1519" s="4" t="s">
        <v>20</v>
      </c>
      <c r="D1519" s="5">
        <v>87057.58216477306</v>
      </c>
      <c r="E1519" s="5">
        <f t="shared" si="1"/>
        <v>0</v>
      </c>
      <c r="F1519" s="5">
        <f t="shared" si="2"/>
        <v>87057.58216</v>
      </c>
      <c r="G1519" s="5">
        <v>11064.306687421022</v>
      </c>
      <c r="H1519" s="5">
        <v>5608.357671033888</v>
      </c>
      <c r="I1519" s="5">
        <v>5455.949016387133</v>
      </c>
      <c r="J1519" s="5">
        <v>183880.31371295807</v>
      </c>
      <c r="K1519" s="5">
        <f t="shared" si="3"/>
        <v>183880.3137</v>
      </c>
      <c r="L1519" s="5">
        <f t="shared" si="4"/>
        <v>0</v>
      </c>
      <c r="M1519" s="5">
        <v>20352.558326639853</v>
      </c>
      <c r="N1519" s="5">
        <f t="shared" si="5"/>
        <v>0</v>
      </c>
      <c r="O1519" s="5">
        <f t="shared" si="6"/>
        <v>20352.55833</v>
      </c>
      <c r="P1519" s="5">
        <f t="shared" si="9"/>
        <v>302354.7609</v>
      </c>
      <c r="Q1519" s="5">
        <f t="shared" si="7"/>
        <v>112866.0895</v>
      </c>
      <c r="R1519" s="5">
        <f t="shared" si="8"/>
        <v>189488.6714</v>
      </c>
    </row>
    <row r="1520" ht="15.75" customHeight="1">
      <c r="A1520" s="4">
        <v>2003.0</v>
      </c>
      <c r="B1520" s="4">
        <v>306.0</v>
      </c>
      <c r="C1520" s="4" t="s">
        <v>20</v>
      </c>
      <c r="D1520" s="5">
        <v>4889.877449098218</v>
      </c>
      <c r="E1520" s="5">
        <f t="shared" si="1"/>
        <v>0</v>
      </c>
      <c r="F1520" s="5">
        <f t="shared" si="2"/>
        <v>4889.877449</v>
      </c>
      <c r="G1520" s="5" t="s">
        <v>19</v>
      </c>
      <c r="H1520" s="5" t="s">
        <v>19</v>
      </c>
      <c r="I1520" s="5" t="s">
        <v>19</v>
      </c>
      <c r="J1520" s="5">
        <v>0.0</v>
      </c>
      <c r="K1520" s="5">
        <f t="shared" si="3"/>
        <v>0</v>
      </c>
      <c r="L1520" s="5">
        <f t="shared" si="4"/>
        <v>0</v>
      </c>
      <c r="M1520" s="5">
        <v>49743.31447235496</v>
      </c>
      <c r="N1520" s="5">
        <f t="shared" si="5"/>
        <v>0</v>
      </c>
      <c r="O1520" s="5">
        <f t="shared" si="6"/>
        <v>49743.31447</v>
      </c>
      <c r="P1520" s="5">
        <f t="shared" si="9"/>
        <v>54633.19192</v>
      </c>
      <c r="Q1520" s="5">
        <f t="shared" si="7"/>
        <v>54633.19192</v>
      </c>
      <c r="R1520" s="5">
        <f t="shared" si="8"/>
        <v>0</v>
      </c>
    </row>
    <row r="1521" ht="15.75" customHeight="1">
      <c r="A1521" s="4">
        <v>2003.0</v>
      </c>
      <c r="B1521" s="4">
        <v>307.0</v>
      </c>
      <c r="C1521" s="4" t="s">
        <v>20</v>
      </c>
      <c r="D1521" s="5">
        <v>4715.73850676048</v>
      </c>
      <c r="E1521" s="5">
        <f t="shared" si="1"/>
        <v>0</v>
      </c>
      <c r="F1521" s="5">
        <f t="shared" si="2"/>
        <v>4715.738507</v>
      </c>
      <c r="G1521" s="5">
        <v>1863.6234152785755</v>
      </c>
      <c r="H1521" s="5">
        <v>801.6133594485927</v>
      </c>
      <c r="I1521" s="5">
        <v>1062.0100558299828</v>
      </c>
      <c r="J1521" s="5">
        <v>0.0</v>
      </c>
      <c r="K1521" s="5">
        <f t="shared" si="3"/>
        <v>0</v>
      </c>
      <c r="L1521" s="5">
        <f t="shared" si="4"/>
        <v>0</v>
      </c>
      <c r="M1521" s="5">
        <v>3289.5200558529577</v>
      </c>
      <c r="N1521" s="5">
        <f t="shared" si="5"/>
        <v>0</v>
      </c>
      <c r="O1521" s="5">
        <f t="shared" si="6"/>
        <v>3289.520056</v>
      </c>
      <c r="P1521" s="5">
        <f t="shared" si="9"/>
        <v>9868.881978</v>
      </c>
      <c r="Q1521" s="5">
        <f t="shared" si="7"/>
        <v>9067.268618</v>
      </c>
      <c r="R1521" s="5">
        <f t="shared" si="8"/>
        <v>801.6133594</v>
      </c>
    </row>
    <row r="1522" ht="15.75" customHeight="1">
      <c r="A1522" s="4">
        <v>2003.0</v>
      </c>
      <c r="B1522" s="4">
        <v>308.0</v>
      </c>
      <c r="C1522" s="4" t="s">
        <v>20</v>
      </c>
      <c r="D1522" s="5">
        <v>19165.773954882243</v>
      </c>
      <c r="E1522" s="5">
        <f t="shared" si="1"/>
        <v>0</v>
      </c>
      <c r="F1522" s="5">
        <f t="shared" si="2"/>
        <v>19165.77395</v>
      </c>
      <c r="G1522" s="5">
        <v>10761.148768839746</v>
      </c>
      <c r="H1522" s="5">
        <v>4744.325691717404</v>
      </c>
      <c r="I1522" s="5">
        <v>6016.8230771223425</v>
      </c>
      <c r="J1522" s="5">
        <v>35463.17150843194</v>
      </c>
      <c r="K1522" s="5">
        <f t="shared" si="3"/>
        <v>35463.17151</v>
      </c>
      <c r="L1522" s="5">
        <f t="shared" si="4"/>
        <v>0</v>
      </c>
      <c r="M1522" s="5">
        <v>36441.75178593911</v>
      </c>
      <c r="N1522" s="5">
        <f t="shared" si="5"/>
        <v>0</v>
      </c>
      <c r="O1522" s="5">
        <f t="shared" si="6"/>
        <v>36441.75179</v>
      </c>
      <c r="P1522" s="5">
        <f t="shared" si="9"/>
        <v>101831.846</v>
      </c>
      <c r="Q1522" s="5">
        <f t="shared" si="7"/>
        <v>61624.34882</v>
      </c>
      <c r="R1522" s="5">
        <f t="shared" si="8"/>
        <v>40207.4972</v>
      </c>
    </row>
    <row r="1523" ht="15.75" customHeight="1">
      <c r="A1523" s="4">
        <v>2003.0</v>
      </c>
      <c r="B1523" s="4">
        <v>309.0</v>
      </c>
      <c r="C1523" s="4" t="s">
        <v>20</v>
      </c>
      <c r="D1523" s="5" t="s">
        <v>19</v>
      </c>
      <c r="E1523" s="5" t="str">
        <f t="shared" si="1"/>
        <v/>
      </c>
      <c r="F1523" s="5" t="str">
        <f t="shared" si="2"/>
        <v/>
      </c>
      <c r="G1523" s="5" t="s">
        <v>19</v>
      </c>
      <c r="H1523" s="5" t="s">
        <v>19</v>
      </c>
      <c r="I1523" s="5" t="s">
        <v>19</v>
      </c>
      <c r="J1523" s="5">
        <v>1901.1979178632973</v>
      </c>
      <c r="K1523" s="5">
        <f t="shared" si="3"/>
        <v>1901.197918</v>
      </c>
      <c r="L1523" s="5">
        <f t="shared" si="4"/>
        <v>0</v>
      </c>
      <c r="M1523" s="5">
        <v>1544.581729695577</v>
      </c>
      <c r="N1523" s="5">
        <f t="shared" si="5"/>
        <v>0</v>
      </c>
      <c r="O1523" s="5">
        <f t="shared" si="6"/>
        <v>1544.58173</v>
      </c>
      <c r="P1523" s="5">
        <f t="shared" si="9"/>
        <v>3445.779648</v>
      </c>
      <c r="Q1523" s="5">
        <f t="shared" si="7"/>
        <v>1544.58173</v>
      </c>
      <c r="R1523" s="5">
        <f t="shared" si="8"/>
        <v>1901.197918</v>
      </c>
    </row>
    <row r="1524" ht="15.75" customHeight="1">
      <c r="A1524" s="4">
        <v>2003.0</v>
      </c>
      <c r="B1524" s="4">
        <v>310.0</v>
      </c>
      <c r="C1524" s="4" t="s">
        <v>20</v>
      </c>
      <c r="D1524" s="5">
        <v>3856.9327991671435</v>
      </c>
      <c r="E1524" s="5">
        <f t="shared" si="1"/>
        <v>0</v>
      </c>
      <c r="F1524" s="5">
        <f t="shared" si="2"/>
        <v>3856.932799</v>
      </c>
      <c r="G1524" s="5" t="s">
        <v>19</v>
      </c>
      <c r="H1524" s="5" t="s">
        <v>19</v>
      </c>
      <c r="I1524" s="5" t="s">
        <v>19</v>
      </c>
      <c r="J1524" s="5">
        <v>8954.388700080413</v>
      </c>
      <c r="K1524" s="5">
        <f t="shared" si="3"/>
        <v>8954.3887</v>
      </c>
      <c r="L1524" s="5">
        <f t="shared" si="4"/>
        <v>0</v>
      </c>
      <c r="M1524" s="5">
        <v>1240.4547844686954</v>
      </c>
      <c r="N1524" s="5">
        <f t="shared" si="5"/>
        <v>0</v>
      </c>
      <c r="O1524" s="5">
        <f t="shared" si="6"/>
        <v>1240.454784</v>
      </c>
      <c r="P1524" s="5">
        <f t="shared" si="9"/>
        <v>14051.77628</v>
      </c>
      <c r="Q1524" s="5">
        <f t="shared" si="7"/>
        <v>5097.387584</v>
      </c>
      <c r="R1524" s="5">
        <f t="shared" si="8"/>
        <v>8954.3887</v>
      </c>
    </row>
    <row r="1525" ht="15.75" customHeight="1">
      <c r="A1525" s="4">
        <v>2003.0</v>
      </c>
      <c r="B1525" s="4">
        <v>311.0</v>
      </c>
      <c r="C1525" s="4" t="s">
        <v>20</v>
      </c>
      <c r="D1525" s="5" t="s">
        <v>19</v>
      </c>
      <c r="E1525" s="5" t="str">
        <f t="shared" si="1"/>
        <v/>
      </c>
      <c r="F1525" s="5" t="str">
        <f t="shared" si="2"/>
        <v/>
      </c>
      <c r="G1525" s="5" t="s">
        <v>19</v>
      </c>
      <c r="H1525" s="5" t="s">
        <v>19</v>
      </c>
      <c r="I1525" s="5" t="s">
        <v>19</v>
      </c>
      <c r="J1525" s="5">
        <v>2002.5951401493398</v>
      </c>
      <c r="K1525" s="5">
        <f t="shared" si="3"/>
        <v>2002.59514</v>
      </c>
      <c r="L1525" s="5">
        <f t="shared" si="4"/>
        <v>0</v>
      </c>
      <c r="M1525" s="5">
        <v>610.2494740838597</v>
      </c>
      <c r="N1525" s="5">
        <f t="shared" si="5"/>
        <v>0</v>
      </c>
      <c r="O1525" s="5">
        <f t="shared" si="6"/>
        <v>610.2494741</v>
      </c>
      <c r="P1525" s="5">
        <f t="shared" si="9"/>
        <v>2612.844614</v>
      </c>
      <c r="Q1525" s="5">
        <f t="shared" si="7"/>
        <v>610.2494741</v>
      </c>
      <c r="R1525" s="5">
        <f t="shared" si="8"/>
        <v>2002.59514</v>
      </c>
    </row>
    <row r="1526" ht="15.75" customHeight="1">
      <c r="A1526" s="4">
        <v>2003.0</v>
      </c>
      <c r="B1526" s="4">
        <v>312.0</v>
      </c>
      <c r="C1526" s="4" t="s">
        <v>20</v>
      </c>
      <c r="D1526" s="5">
        <v>6215.851082320502</v>
      </c>
      <c r="E1526" s="5">
        <f t="shared" si="1"/>
        <v>0</v>
      </c>
      <c r="F1526" s="5">
        <f t="shared" si="2"/>
        <v>6215.851082</v>
      </c>
      <c r="G1526" s="5">
        <v>1448.7757372199885</v>
      </c>
      <c r="H1526" s="5">
        <v>708.3045432452614</v>
      </c>
      <c r="I1526" s="5">
        <v>740.4711939747272</v>
      </c>
      <c r="J1526" s="5">
        <v>7289.953296255026</v>
      </c>
      <c r="K1526" s="5">
        <f t="shared" si="3"/>
        <v>7289.953296</v>
      </c>
      <c r="L1526" s="5">
        <f t="shared" si="4"/>
        <v>0</v>
      </c>
      <c r="M1526" s="5">
        <v>2241.8386500516935</v>
      </c>
      <c r="N1526" s="5">
        <f t="shared" si="5"/>
        <v>0</v>
      </c>
      <c r="O1526" s="5">
        <f t="shared" si="6"/>
        <v>2241.83865</v>
      </c>
      <c r="P1526" s="5">
        <f t="shared" si="9"/>
        <v>17196.41877</v>
      </c>
      <c r="Q1526" s="5">
        <f t="shared" si="7"/>
        <v>9198.160926</v>
      </c>
      <c r="R1526" s="5">
        <f t="shared" si="8"/>
        <v>7998.25784</v>
      </c>
    </row>
    <row r="1527" ht="15.75" customHeight="1">
      <c r="A1527" s="4">
        <v>2003.0</v>
      </c>
      <c r="B1527" s="4">
        <v>313.0</v>
      </c>
      <c r="C1527" s="4" t="s">
        <v>20</v>
      </c>
      <c r="D1527" s="5">
        <v>99093.4504283572</v>
      </c>
      <c r="E1527" s="5">
        <f t="shared" si="1"/>
        <v>0</v>
      </c>
      <c r="F1527" s="5">
        <f t="shared" si="2"/>
        <v>99093.45043</v>
      </c>
      <c r="G1527" s="5">
        <v>3854.25404276278</v>
      </c>
      <c r="H1527" s="5">
        <v>1419.9278679149916</v>
      </c>
      <c r="I1527" s="5">
        <v>2434.3261748477885</v>
      </c>
      <c r="J1527" s="5">
        <v>314.3313890867318</v>
      </c>
      <c r="K1527" s="5">
        <f t="shared" si="3"/>
        <v>314.3313891</v>
      </c>
      <c r="L1527" s="5">
        <f t="shared" si="4"/>
        <v>0</v>
      </c>
      <c r="M1527" s="5">
        <v>8492.405696243535</v>
      </c>
      <c r="N1527" s="5">
        <f t="shared" si="5"/>
        <v>0</v>
      </c>
      <c r="O1527" s="5">
        <f t="shared" si="6"/>
        <v>8492.405696</v>
      </c>
      <c r="P1527" s="5">
        <f t="shared" si="9"/>
        <v>111754.4416</v>
      </c>
      <c r="Q1527" s="5">
        <f t="shared" si="7"/>
        <v>110020.1823</v>
      </c>
      <c r="R1527" s="5">
        <f t="shared" si="8"/>
        <v>1734.259257</v>
      </c>
    </row>
    <row r="1528" ht="15.75" customHeight="1">
      <c r="A1528" s="4">
        <v>2003.0</v>
      </c>
      <c r="B1528" s="4">
        <v>314.0</v>
      </c>
      <c r="C1528" s="4" t="s">
        <v>20</v>
      </c>
      <c r="D1528" s="5" t="s">
        <v>19</v>
      </c>
      <c r="E1528" s="5" t="str">
        <f t="shared" si="1"/>
        <v/>
      </c>
      <c r="F1528" s="5" t="str">
        <f t="shared" si="2"/>
        <v/>
      </c>
      <c r="G1528" s="5">
        <v>2812.6672572372195</v>
      </c>
      <c r="H1528" s="5">
        <v>2052.1557292762777</v>
      </c>
      <c r="I1528" s="5">
        <v>760.5115279609417</v>
      </c>
      <c r="J1528" s="5">
        <v>81.11777782883402</v>
      </c>
      <c r="K1528" s="5">
        <f t="shared" si="3"/>
        <v>81.11777783</v>
      </c>
      <c r="L1528" s="5">
        <f t="shared" si="4"/>
        <v>0</v>
      </c>
      <c r="M1528" s="5">
        <v>4411.63673105686</v>
      </c>
      <c r="N1528" s="5">
        <f t="shared" si="5"/>
        <v>0</v>
      </c>
      <c r="O1528" s="5">
        <f t="shared" si="6"/>
        <v>4411.636731</v>
      </c>
      <c r="P1528" s="5">
        <f t="shared" si="9"/>
        <v>7305.421766</v>
      </c>
      <c r="Q1528" s="5">
        <f t="shared" si="7"/>
        <v>5172.148259</v>
      </c>
      <c r="R1528" s="5">
        <f t="shared" si="8"/>
        <v>2133.273507</v>
      </c>
    </row>
    <row r="1529" ht="15.75" customHeight="1">
      <c r="A1529" s="4">
        <v>2003.0</v>
      </c>
      <c r="B1529" s="4">
        <v>320.0</v>
      </c>
      <c r="C1529" s="4" t="s">
        <v>20</v>
      </c>
      <c r="D1529" s="5">
        <v>153381.4405404422</v>
      </c>
      <c r="E1529" s="5">
        <f t="shared" si="1"/>
        <v>0</v>
      </c>
      <c r="F1529" s="5">
        <f t="shared" si="2"/>
        <v>153381.4405</v>
      </c>
      <c r="G1529" s="5">
        <v>19049.80537645032</v>
      </c>
      <c r="H1529" s="5">
        <v>10939.852384003447</v>
      </c>
      <c r="I1529" s="5">
        <v>8109.952992446873</v>
      </c>
      <c r="J1529" s="5">
        <v>36831.52702318209</v>
      </c>
      <c r="K1529" s="5">
        <f t="shared" si="3"/>
        <v>36831.52702</v>
      </c>
      <c r="L1529" s="5">
        <f t="shared" si="4"/>
        <v>0</v>
      </c>
      <c r="M1529" s="5">
        <v>41148.53533588741</v>
      </c>
      <c r="N1529" s="5">
        <f t="shared" si="5"/>
        <v>0</v>
      </c>
      <c r="O1529" s="5">
        <f t="shared" si="6"/>
        <v>41148.53534</v>
      </c>
      <c r="P1529" s="5">
        <f t="shared" si="9"/>
        <v>250411.3083</v>
      </c>
      <c r="Q1529" s="5">
        <f t="shared" si="7"/>
        <v>202639.9289</v>
      </c>
      <c r="R1529" s="5">
        <f t="shared" si="8"/>
        <v>47771.37941</v>
      </c>
    </row>
    <row r="1530" ht="15.75" customHeight="1">
      <c r="A1530" s="4">
        <v>2003.0</v>
      </c>
      <c r="B1530" s="4">
        <v>321.0</v>
      </c>
      <c r="C1530" s="4" t="s">
        <v>20</v>
      </c>
      <c r="D1530" s="5">
        <v>75204.24508171162</v>
      </c>
      <c r="E1530" s="5">
        <f t="shared" si="1"/>
        <v>0</v>
      </c>
      <c r="F1530" s="5">
        <f t="shared" si="2"/>
        <v>75204.24508</v>
      </c>
      <c r="G1530" s="5">
        <v>10680.732142016084</v>
      </c>
      <c r="H1530" s="5">
        <v>6053.584963670305</v>
      </c>
      <c r="I1530" s="5">
        <v>4627.147178345779</v>
      </c>
      <c r="J1530" s="5">
        <v>20999.871721550837</v>
      </c>
      <c r="K1530" s="5">
        <f t="shared" si="3"/>
        <v>20999.87172</v>
      </c>
      <c r="L1530" s="5">
        <f t="shared" si="4"/>
        <v>0</v>
      </c>
      <c r="M1530" s="5">
        <v>4507.22518693854</v>
      </c>
      <c r="N1530" s="5">
        <f t="shared" si="5"/>
        <v>0</v>
      </c>
      <c r="O1530" s="5">
        <f t="shared" si="6"/>
        <v>4507.225187</v>
      </c>
      <c r="P1530" s="5">
        <f t="shared" si="9"/>
        <v>111392.0741</v>
      </c>
      <c r="Q1530" s="5">
        <f t="shared" si="7"/>
        <v>84338.61745</v>
      </c>
      <c r="R1530" s="5">
        <f t="shared" si="8"/>
        <v>27053.45669</v>
      </c>
    </row>
    <row r="1531" ht="15.75" customHeight="1">
      <c r="A1531" s="4">
        <v>2003.0</v>
      </c>
      <c r="B1531" s="4">
        <v>322.0</v>
      </c>
      <c r="C1531" s="4" t="s">
        <v>20</v>
      </c>
      <c r="D1531" s="5">
        <v>24871.796567466965</v>
      </c>
      <c r="E1531" s="5">
        <f t="shared" si="1"/>
        <v>0</v>
      </c>
      <c r="F1531" s="5">
        <f t="shared" si="2"/>
        <v>24871.79657</v>
      </c>
      <c r="G1531" s="5" t="s">
        <v>19</v>
      </c>
      <c r="H1531" s="5" t="s">
        <v>19</v>
      </c>
      <c r="I1531" s="5" t="s">
        <v>19</v>
      </c>
      <c r="J1531" s="5">
        <v>0.0</v>
      </c>
      <c r="K1531" s="5">
        <f t="shared" si="3"/>
        <v>0</v>
      </c>
      <c r="L1531" s="5">
        <f t="shared" si="4"/>
        <v>0</v>
      </c>
      <c r="M1531" s="5">
        <v>6276.310075020101</v>
      </c>
      <c r="N1531" s="5">
        <f t="shared" si="5"/>
        <v>0</v>
      </c>
      <c r="O1531" s="5">
        <f t="shared" si="6"/>
        <v>6276.310075</v>
      </c>
      <c r="P1531" s="5">
        <f t="shared" si="9"/>
        <v>31148.10664</v>
      </c>
      <c r="Q1531" s="5">
        <f t="shared" si="7"/>
        <v>31148.10664</v>
      </c>
      <c r="R1531" s="5">
        <f t="shared" si="8"/>
        <v>0</v>
      </c>
    </row>
    <row r="1532" ht="15.75" customHeight="1">
      <c r="A1532" s="4">
        <v>2003.0</v>
      </c>
      <c r="B1532" s="4">
        <v>323.0</v>
      </c>
      <c r="C1532" s="4" t="s">
        <v>20</v>
      </c>
      <c r="D1532" s="5">
        <v>6924.295855766797</v>
      </c>
      <c r="E1532" s="5">
        <f t="shared" si="1"/>
        <v>0</v>
      </c>
      <c r="F1532" s="5">
        <f t="shared" si="2"/>
        <v>6924.295856</v>
      </c>
      <c r="G1532" s="5" t="s">
        <v>19</v>
      </c>
      <c r="H1532" s="5" t="s">
        <v>19</v>
      </c>
      <c r="I1532" s="5" t="s">
        <v>19</v>
      </c>
      <c r="J1532" s="5">
        <v>0.0</v>
      </c>
      <c r="K1532" s="5">
        <f t="shared" si="3"/>
        <v>0</v>
      </c>
      <c r="L1532" s="5">
        <f t="shared" si="4"/>
        <v>0</v>
      </c>
      <c r="M1532" s="5">
        <v>171542.56398518657</v>
      </c>
      <c r="N1532" s="5">
        <f t="shared" si="5"/>
        <v>0</v>
      </c>
      <c r="O1532" s="5">
        <f t="shared" si="6"/>
        <v>171542.564</v>
      </c>
      <c r="P1532" s="5">
        <f t="shared" si="9"/>
        <v>178466.8598</v>
      </c>
      <c r="Q1532" s="5">
        <f t="shared" si="7"/>
        <v>178466.8598</v>
      </c>
      <c r="R1532" s="5">
        <f t="shared" si="8"/>
        <v>0</v>
      </c>
    </row>
    <row r="1533" ht="15.75" customHeight="1">
      <c r="A1533" s="4">
        <v>2003.0</v>
      </c>
      <c r="B1533" s="4">
        <v>324.0</v>
      </c>
      <c r="C1533" s="4" t="s">
        <v>20</v>
      </c>
      <c r="D1533" s="5">
        <v>7899.194191585291</v>
      </c>
      <c r="E1533" s="5">
        <f t="shared" si="1"/>
        <v>0</v>
      </c>
      <c r="F1533" s="5">
        <f t="shared" si="2"/>
        <v>7899.194192</v>
      </c>
      <c r="G1533" s="5" t="s">
        <v>19</v>
      </c>
      <c r="H1533" s="5" t="s">
        <v>19</v>
      </c>
      <c r="I1533" s="5" t="s">
        <v>19</v>
      </c>
      <c r="J1533" s="5">
        <v>0.0</v>
      </c>
      <c r="K1533" s="5">
        <f t="shared" si="3"/>
        <v>0</v>
      </c>
      <c r="L1533" s="5">
        <f t="shared" si="4"/>
        <v>0</v>
      </c>
      <c r="M1533" s="5">
        <v>44645.3965309075</v>
      </c>
      <c r="N1533" s="5">
        <f t="shared" si="5"/>
        <v>0</v>
      </c>
      <c r="O1533" s="5">
        <f t="shared" si="6"/>
        <v>44645.39653</v>
      </c>
      <c r="P1533" s="5">
        <f t="shared" si="9"/>
        <v>52544.59072</v>
      </c>
      <c r="Q1533" s="5">
        <f t="shared" si="7"/>
        <v>52544.59072</v>
      </c>
      <c r="R1533" s="5">
        <f t="shared" si="8"/>
        <v>0</v>
      </c>
    </row>
    <row r="1534" ht="15.75" customHeight="1">
      <c r="A1534" s="4">
        <v>2003.0</v>
      </c>
      <c r="B1534" s="4">
        <v>325.0</v>
      </c>
      <c r="C1534" s="4" t="s">
        <v>20</v>
      </c>
      <c r="D1534" s="5">
        <v>7129.9056912981005</v>
      </c>
      <c r="E1534" s="5">
        <f t="shared" si="1"/>
        <v>0</v>
      </c>
      <c r="F1534" s="5">
        <f t="shared" si="2"/>
        <v>7129.905691</v>
      </c>
      <c r="G1534" s="5" t="s">
        <v>19</v>
      </c>
      <c r="H1534" s="5" t="s">
        <v>19</v>
      </c>
      <c r="I1534" s="5" t="s">
        <v>19</v>
      </c>
      <c r="J1534" s="5">
        <v>0.0</v>
      </c>
      <c r="K1534" s="5">
        <f t="shared" si="3"/>
        <v>0</v>
      </c>
      <c r="L1534" s="5">
        <f t="shared" si="4"/>
        <v>0</v>
      </c>
      <c r="M1534" s="5">
        <v>5662.069433676046</v>
      </c>
      <c r="N1534" s="5">
        <f t="shared" si="5"/>
        <v>0</v>
      </c>
      <c r="O1534" s="5">
        <f t="shared" si="6"/>
        <v>5662.069434</v>
      </c>
      <c r="P1534" s="5">
        <f t="shared" si="9"/>
        <v>12791.97512</v>
      </c>
      <c r="Q1534" s="5">
        <f t="shared" si="7"/>
        <v>12791.97512</v>
      </c>
      <c r="R1534" s="5">
        <f t="shared" si="8"/>
        <v>0</v>
      </c>
    </row>
    <row r="1535" ht="15.75" customHeight="1">
      <c r="A1535" s="4">
        <v>2003.0</v>
      </c>
      <c r="B1535" s="4">
        <v>326.0</v>
      </c>
      <c r="C1535" s="4" t="s">
        <v>20</v>
      </c>
      <c r="D1535" s="5" t="s">
        <v>19</v>
      </c>
      <c r="E1535" s="5" t="str">
        <f t="shared" si="1"/>
        <v/>
      </c>
      <c r="F1535" s="5" t="str">
        <f t="shared" si="2"/>
        <v/>
      </c>
      <c r="G1535" s="5" t="s">
        <v>19</v>
      </c>
      <c r="H1535" s="5" t="s">
        <v>19</v>
      </c>
      <c r="I1535" s="5" t="s">
        <v>19</v>
      </c>
      <c r="J1535" s="5">
        <v>0.0</v>
      </c>
      <c r="K1535" s="5">
        <f t="shared" si="3"/>
        <v>0</v>
      </c>
      <c r="L1535" s="5">
        <f t="shared" si="4"/>
        <v>0</v>
      </c>
      <c r="M1535" s="5">
        <v>41286.230606364144</v>
      </c>
      <c r="N1535" s="5">
        <f t="shared" si="5"/>
        <v>0</v>
      </c>
      <c r="O1535" s="5">
        <f t="shared" si="6"/>
        <v>41286.23061</v>
      </c>
      <c r="P1535" s="5">
        <f t="shared" si="9"/>
        <v>41286.23061</v>
      </c>
      <c r="Q1535" s="5">
        <f t="shared" si="7"/>
        <v>41286.23061</v>
      </c>
      <c r="R1535" s="5">
        <f t="shared" si="8"/>
        <v>0</v>
      </c>
    </row>
    <row r="1536" ht="15.75" customHeight="1">
      <c r="A1536" s="4">
        <v>2003.0</v>
      </c>
      <c r="B1536" s="4">
        <v>327.0</v>
      </c>
      <c r="C1536" s="4" t="s">
        <v>20</v>
      </c>
      <c r="D1536" s="5">
        <v>155784.41807406655</v>
      </c>
      <c r="E1536" s="5">
        <f t="shared" si="1"/>
        <v>0</v>
      </c>
      <c r="F1536" s="5">
        <f t="shared" si="2"/>
        <v>155784.4181</v>
      </c>
      <c r="G1536" s="5">
        <v>5958.489111315336</v>
      </c>
      <c r="H1536" s="5">
        <v>2549.2070703101667</v>
      </c>
      <c r="I1536" s="5">
        <v>3409.2820410051695</v>
      </c>
      <c r="J1536" s="5">
        <v>88.7225695002872</v>
      </c>
      <c r="K1536" s="5">
        <f t="shared" si="3"/>
        <v>88.7225695</v>
      </c>
      <c r="L1536" s="5">
        <f t="shared" si="4"/>
        <v>0</v>
      </c>
      <c r="M1536" s="5">
        <v>30033.932749695567</v>
      </c>
      <c r="N1536" s="5">
        <f t="shared" si="5"/>
        <v>0</v>
      </c>
      <c r="O1536" s="5">
        <f t="shared" si="6"/>
        <v>30033.93275</v>
      </c>
      <c r="P1536" s="5">
        <f t="shared" si="9"/>
        <v>191865.5625</v>
      </c>
      <c r="Q1536" s="5">
        <f t="shared" si="7"/>
        <v>189227.6329</v>
      </c>
      <c r="R1536" s="5">
        <f t="shared" si="8"/>
        <v>2637.92964</v>
      </c>
    </row>
    <row r="1537" ht="15.75" customHeight="1">
      <c r="A1537" s="4">
        <v>2003.0</v>
      </c>
      <c r="B1537" s="4">
        <v>328.0</v>
      </c>
      <c r="C1537" s="4" t="s">
        <v>20</v>
      </c>
      <c r="D1537" s="5">
        <v>15763.42072406662</v>
      </c>
      <c r="E1537" s="5">
        <f t="shared" si="1"/>
        <v>0</v>
      </c>
      <c r="F1537" s="5">
        <f t="shared" si="2"/>
        <v>15763.42072</v>
      </c>
      <c r="G1537" s="5" t="s">
        <v>19</v>
      </c>
      <c r="H1537" s="5" t="s">
        <v>19</v>
      </c>
      <c r="I1537" s="5" t="s">
        <v>19</v>
      </c>
      <c r="J1537" s="5">
        <v>0.0</v>
      </c>
      <c r="K1537" s="5">
        <f t="shared" si="3"/>
        <v>0</v>
      </c>
      <c r="L1537" s="5">
        <f t="shared" si="4"/>
        <v>0</v>
      </c>
      <c r="M1537" s="5">
        <v>65061.81353371049</v>
      </c>
      <c r="N1537" s="5">
        <f t="shared" si="5"/>
        <v>0</v>
      </c>
      <c r="O1537" s="5">
        <f t="shared" si="6"/>
        <v>65061.81353</v>
      </c>
      <c r="P1537" s="5">
        <f t="shared" si="9"/>
        <v>80825.23426</v>
      </c>
      <c r="Q1537" s="5">
        <f t="shared" si="7"/>
        <v>80825.23426</v>
      </c>
      <c r="R1537" s="5">
        <f t="shared" si="8"/>
        <v>0</v>
      </c>
    </row>
    <row r="1538" ht="15.75" customHeight="1">
      <c r="A1538" s="4">
        <v>2003.0</v>
      </c>
      <c r="B1538" s="4">
        <v>331.0</v>
      </c>
      <c r="C1538" s="4" t="s">
        <v>20</v>
      </c>
      <c r="D1538" s="5">
        <v>214117.466991298</v>
      </c>
      <c r="E1538" s="5">
        <f t="shared" si="1"/>
        <v>0</v>
      </c>
      <c r="F1538" s="5">
        <f t="shared" si="2"/>
        <v>214117.467</v>
      </c>
      <c r="G1538" s="5">
        <v>109118.9803277427</v>
      </c>
      <c r="H1538" s="5">
        <v>26886.59712857554</v>
      </c>
      <c r="I1538" s="5">
        <v>82232.38319916716</v>
      </c>
      <c r="J1538" s="5">
        <v>1906.2677789775994</v>
      </c>
      <c r="K1538" s="5">
        <f t="shared" si="3"/>
        <v>1906.267779</v>
      </c>
      <c r="L1538" s="5">
        <f t="shared" si="4"/>
        <v>0</v>
      </c>
      <c r="M1538" s="5">
        <v>87059.93012172886</v>
      </c>
      <c r="N1538" s="5">
        <f t="shared" si="5"/>
        <v>0</v>
      </c>
      <c r="O1538" s="5">
        <f t="shared" si="6"/>
        <v>87059.93012</v>
      </c>
      <c r="P1538" s="5">
        <f t="shared" si="9"/>
        <v>412202.6452</v>
      </c>
      <c r="Q1538" s="5">
        <f t="shared" si="7"/>
        <v>383409.7803</v>
      </c>
      <c r="R1538" s="5">
        <f t="shared" si="8"/>
        <v>28792.86491</v>
      </c>
    </row>
    <row r="1539" ht="15.75" customHeight="1">
      <c r="A1539" s="4">
        <v>2003.0</v>
      </c>
      <c r="B1539" s="4">
        <v>332.0</v>
      </c>
      <c r="C1539" s="4" t="s">
        <v>20</v>
      </c>
      <c r="D1539" s="5" t="s">
        <v>19</v>
      </c>
      <c r="E1539" s="5" t="str">
        <f t="shared" si="1"/>
        <v/>
      </c>
      <c r="F1539" s="5" t="str">
        <f t="shared" si="2"/>
        <v/>
      </c>
      <c r="G1539" s="5" t="s">
        <v>19</v>
      </c>
      <c r="H1539" s="5" t="s">
        <v>19</v>
      </c>
      <c r="I1539" s="5" t="s">
        <v>19</v>
      </c>
      <c r="J1539" s="5">
        <v>0.0</v>
      </c>
      <c r="K1539" s="5">
        <f t="shared" si="3"/>
        <v>0</v>
      </c>
      <c r="L1539" s="5">
        <f t="shared" si="4"/>
        <v>0</v>
      </c>
      <c r="M1539" s="5">
        <v>38634.499078690395</v>
      </c>
      <c r="N1539" s="5">
        <f t="shared" si="5"/>
        <v>0</v>
      </c>
      <c r="O1539" s="5">
        <f t="shared" si="6"/>
        <v>38634.49908</v>
      </c>
      <c r="P1539" s="5">
        <f t="shared" si="9"/>
        <v>38634.49908</v>
      </c>
      <c r="Q1539" s="5">
        <f t="shared" si="7"/>
        <v>38634.49908</v>
      </c>
      <c r="R1539" s="5">
        <f t="shared" si="8"/>
        <v>0</v>
      </c>
    </row>
    <row r="1540" ht="15.75" customHeight="1">
      <c r="A1540" s="4">
        <v>2003.0</v>
      </c>
      <c r="B1540" s="4">
        <v>333.0</v>
      </c>
      <c r="C1540" s="4" t="s">
        <v>20</v>
      </c>
      <c r="D1540" s="5" t="s">
        <v>19</v>
      </c>
      <c r="E1540" s="5" t="str">
        <f t="shared" si="1"/>
        <v/>
      </c>
      <c r="F1540" s="5" t="str">
        <f t="shared" si="2"/>
        <v/>
      </c>
      <c r="G1540" s="5" t="s">
        <v>19</v>
      </c>
      <c r="H1540" s="5" t="s">
        <v>19</v>
      </c>
      <c r="I1540" s="5" t="s">
        <v>19</v>
      </c>
      <c r="J1540" s="5">
        <v>0.0</v>
      </c>
      <c r="K1540" s="5">
        <f t="shared" si="3"/>
        <v>0</v>
      </c>
      <c r="L1540" s="5">
        <f t="shared" si="4"/>
        <v>0</v>
      </c>
      <c r="M1540" s="5">
        <v>3222.8675626076947</v>
      </c>
      <c r="N1540" s="5">
        <f t="shared" si="5"/>
        <v>0</v>
      </c>
      <c r="O1540" s="5">
        <f t="shared" si="6"/>
        <v>3222.867563</v>
      </c>
      <c r="P1540" s="5">
        <f t="shared" si="9"/>
        <v>3222.867563</v>
      </c>
      <c r="Q1540" s="5">
        <f t="shared" si="7"/>
        <v>3222.867563</v>
      </c>
      <c r="R1540" s="5">
        <f t="shared" si="8"/>
        <v>0</v>
      </c>
    </row>
    <row r="1541" ht="15.75" customHeight="1">
      <c r="A1541" s="4">
        <v>2003.0</v>
      </c>
      <c r="B1541" s="4">
        <v>400.0</v>
      </c>
      <c r="C1541" s="4" t="s">
        <v>21</v>
      </c>
      <c r="D1541" s="5">
        <v>931.6301275071794</v>
      </c>
      <c r="E1541" s="5">
        <f t="shared" si="1"/>
        <v>0</v>
      </c>
      <c r="F1541" s="5">
        <f t="shared" si="2"/>
        <v>931.6301275</v>
      </c>
      <c r="G1541" s="5" t="s">
        <v>19</v>
      </c>
      <c r="H1541" s="5" t="s">
        <v>19</v>
      </c>
      <c r="I1541" s="5" t="s">
        <v>19</v>
      </c>
      <c r="J1541" s="5">
        <v>114721.57597577253</v>
      </c>
      <c r="K1541" s="5">
        <f t="shared" si="3"/>
        <v>114721.576</v>
      </c>
      <c r="L1541" s="5">
        <f t="shared" si="4"/>
        <v>0</v>
      </c>
      <c r="M1541" s="5">
        <v>444.4434417690986</v>
      </c>
      <c r="N1541" s="5">
        <f t="shared" si="5"/>
        <v>0</v>
      </c>
      <c r="O1541" s="5">
        <f t="shared" si="6"/>
        <v>444.4434418</v>
      </c>
      <c r="P1541" s="5">
        <f t="shared" si="9"/>
        <v>116097.6495</v>
      </c>
      <c r="Q1541" s="5">
        <f t="shared" si="7"/>
        <v>1376.073569</v>
      </c>
      <c r="R1541" s="5">
        <f t="shared" si="8"/>
        <v>114721.576</v>
      </c>
    </row>
    <row r="1542" ht="15.75" customHeight="1">
      <c r="A1542" s="4">
        <v>2003.0</v>
      </c>
      <c r="B1542" s="4">
        <v>401.0</v>
      </c>
      <c r="C1542" s="4" t="s">
        <v>21</v>
      </c>
      <c r="D1542" s="5">
        <v>2230.9546290637554</v>
      </c>
      <c r="E1542" s="5">
        <f t="shared" si="1"/>
        <v>0</v>
      </c>
      <c r="F1542" s="5">
        <f t="shared" si="2"/>
        <v>2230.954629</v>
      </c>
      <c r="G1542" s="5" t="s">
        <v>19</v>
      </c>
      <c r="H1542" s="5" t="s">
        <v>19</v>
      </c>
      <c r="I1542" s="5" t="s">
        <v>19</v>
      </c>
      <c r="J1542" s="5">
        <v>326262.23391885706</v>
      </c>
      <c r="K1542" s="5">
        <f t="shared" si="3"/>
        <v>326262.2339</v>
      </c>
      <c r="L1542" s="5">
        <f t="shared" si="4"/>
        <v>0</v>
      </c>
      <c r="M1542" s="5">
        <v>2682.0643988512365</v>
      </c>
      <c r="N1542" s="5">
        <f t="shared" si="5"/>
        <v>0</v>
      </c>
      <c r="O1542" s="5">
        <f t="shared" si="6"/>
        <v>2682.064399</v>
      </c>
      <c r="P1542" s="5">
        <f t="shared" si="9"/>
        <v>331175.2529</v>
      </c>
      <c r="Q1542" s="5">
        <f t="shared" si="7"/>
        <v>4913.019028</v>
      </c>
      <c r="R1542" s="5">
        <f t="shared" si="8"/>
        <v>326262.2339</v>
      </c>
    </row>
    <row r="1543" ht="15.75" customHeight="1">
      <c r="A1543" s="4">
        <v>2003.0</v>
      </c>
      <c r="B1543" s="4">
        <v>402.0</v>
      </c>
      <c r="C1543" s="4" t="s">
        <v>21</v>
      </c>
      <c r="D1543" s="5">
        <v>520.556080114876</v>
      </c>
      <c r="E1543" s="5">
        <f t="shared" si="1"/>
        <v>0</v>
      </c>
      <c r="F1543" s="5">
        <f t="shared" si="2"/>
        <v>520.5560801</v>
      </c>
      <c r="G1543" s="5">
        <v>92230.85586104536</v>
      </c>
      <c r="H1543" s="5">
        <v>73590.96853174038</v>
      </c>
      <c r="I1543" s="5">
        <v>18639.887329304984</v>
      </c>
      <c r="J1543" s="5">
        <v>398964.8153618783</v>
      </c>
      <c r="K1543" s="5">
        <f t="shared" si="3"/>
        <v>398964.8154</v>
      </c>
      <c r="L1543" s="5">
        <f t="shared" si="4"/>
        <v>0</v>
      </c>
      <c r="M1543" s="5">
        <v>15776.269765692137</v>
      </c>
      <c r="N1543" s="5">
        <f t="shared" si="5"/>
        <v>0</v>
      </c>
      <c r="O1543" s="5">
        <f t="shared" si="6"/>
        <v>15776.26977</v>
      </c>
      <c r="P1543" s="5">
        <f t="shared" si="9"/>
        <v>507492.4971</v>
      </c>
      <c r="Q1543" s="5">
        <f t="shared" si="7"/>
        <v>34936.71318</v>
      </c>
      <c r="R1543" s="5">
        <f t="shared" si="8"/>
        <v>472555.7839</v>
      </c>
    </row>
    <row r="1544" ht="15.75" customHeight="1">
      <c r="A1544" s="4">
        <v>2003.0</v>
      </c>
      <c r="B1544" s="4">
        <v>403.0</v>
      </c>
      <c r="C1544" s="4" t="s">
        <v>21</v>
      </c>
      <c r="D1544" s="5">
        <v>5484.430129781732</v>
      </c>
      <c r="E1544" s="5">
        <f t="shared" si="1"/>
        <v>0</v>
      </c>
      <c r="F1544" s="5">
        <f t="shared" si="2"/>
        <v>5484.43013</v>
      </c>
      <c r="G1544" s="5">
        <v>33528.50891156806</v>
      </c>
      <c r="H1544" s="5">
        <v>24721.701351572658</v>
      </c>
      <c r="I1544" s="5">
        <v>8806.807559995403</v>
      </c>
      <c r="J1544" s="5">
        <v>496033.69262237335</v>
      </c>
      <c r="K1544" s="5">
        <f t="shared" si="3"/>
        <v>496033.6926</v>
      </c>
      <c r="L1544" s="5">
        <f t="shared" si="4"/>
        <v>0</v>
      </c>
      <c r="M1544" s="5">
        <v>47238.8785904595</v>
      </c>
      <c r="N1544" s="5">
        <f t="shared" si="5"/>
        <v>0</v>
      </c>
      <c r="O1544" s="5">
        <f t="shared" si="6"/>
        <v>47238.87859</v>
      </c>
      <c r="P1544" s="5">
        <f t="shared" si="9"/>
        <v>582285.5103</v>
      </c>
      <c r="Q1544" s="5">
        <f t="shared" si="7"/>
        <v>61530.11628</v>
      </c>
      <c r="R1544" s="5">
        <f t="shared" si="8"/>
        <v>520755.394</v>
      </c>
    </row>
    <row r="1545" ht="15.75" customHeight="1">
      <c r="A1545" s="4">
        <v>2003.0</v>
      </c>
      <c r="B1545" s="4">
        <v>404.0</v>
      </c>
      <c r="C1545" s="4" t="s">
        <v>21</v>
      </c>
      <c r="D1545" s="5">
        <v>15191.837031183222</v>
      </c>
      <c r="E1545" s="5">
        <f t="shared" si="1"/>
        <v>0</v>
      </c>
      <c r="F1545" s="5">
        <f t="shared" si="2"/>
        <v>15191.83703</v>
      </c>
      <c r="G1545" s="5">
        <v>7904.783623572659</v>
      </c>
      <c r="H1545" s="5">
        <v>4248.52347816657</v>
      </c>
      <c r="I1545" s="5">
        <v>3656.2601454060887</v>
      </c>
      <c r="J1545" s="5">
        <v>333401.51885321655</v>
      </c>
      <c r="K1545" s="5">
        <f t="shared" si="3"/>
        <v>333401.5189</v>
      </c>
      <c r="L1545" s="5">
        <f t="shared" si="4"/>
        <v>0</v>
      </c>
      <c r="M1545" s="5">
        <v>8819.21217975302</v>
      </c>
      <c r="N1545" s="5">
        <f t="shared" si="5"/>
        <v>0</v>
      </c>
      <c r="O1545" s="5">
        <f t="shared" si="6"/>
        <v>8819.21218</v>
      </c>
      <c r="P1545" s="5">
        <f t="shared" si="9"/>
        <v>365317.3517</v>
      </c>
      <c r="Q1545" s="5">
        <f t="shared" si="7"/>
        <v>27667.30936</v>
      </c>
      <c r="R1545" s="5">
        <f t="shared" si="8"/>
        <v>337650.0423</v>
      </c>
    </row>
    <row r="1546" ht="15.75" customHeight="1">
      <c r="A1546" s="4">
        <v>2003.0</v>
      </c>
      <c r="B1546" s="4">
        <v>405.0</v>
      </c>
      <c r="C1546" s="4" t="s">
        <v>21</v>
      </c>
      <c r="D1546" s="5">
        <v>3298.920872791498</v>
      </c>
      <c r="E1546" s="5">
        <f t="shared" si="1"/>
        <v>0</v>
      </c>
      <c r="F1546" s="5">
        <f t="shared" si="2"/>
        <v>3298.920873</v>
      </c>
      <c r="G1546" s="5" t="s">
        <v>19</v>
      </c>
      <c r="H1546" s="5" t="s">
        <v>19</v>
      </c>
      <c r="I1546" s="5" t="s">
        <v>19</v>
      </c>
      <c r="J1546" s="5">
        <v>95658.2509696841</v>
      </c>
      <c r="K1546" s="5">
        <f t="shared" si="3"/>
        <v>95658.25097</v>
      </c>
      <c r="L1546" s="5">
        <f t="shared" si="4"/>
        <v>0</v>
      </c>
      <c r="M1546" s="5">
        <v>7296.39309856404</v>
      </c>
      <c r="N1546" s="5">
        <f t="shared" si="5"/>
        <v>0</v>
      </c>
      <c r="O1546" s="5">
        <f t="shared" si="6"/>
        <v>7296.393099</v>
      </c>
      <c r="P1546" s="5">
        <f t="shared" si="9"/>
        <v>106253.5649</v>
      </c>
      <c r="Q1546" s="5">
        <f t="shared" si="7"/>
        <v>10595.31397</v>
      </c>
      <c r="R1546" s="5">
        <f t="shared" si="8"/>
        <v>95658.25097</v>
      </c>
    </row>
    <row r="1547" ht="15.75" customHeight="1">
      <c r="A1547" s="4">
        <v>2003.0</v>
      </c>
      <c r="B1547" s="4">
        <v>406.0</v>
      </c>
      <c r="C1547" s="4" t="s">
        <v>21</v>
      </c>
      <c r="D1547" s="5">
        <v>6345.1379342044775</v>
      </c>
      <c r="E1547" s="5">
        <f t="shared" si="1"/>
        <v>0</v>
      </c>
      <c r="F1547" s="5">
        <f t="shared" si="2"/>
        <v>6345.137934</v>
      </c>
      <c r="G1547" s="5" t="s">
        <v>19</v>
      </c>
      <c r="H1547" s="5" t="s">
        <v>19</v>
      </c>
      <c r="I1547" s="5" t="s">
        <v>19</v>
      </c>
      <c r="J1547" s="5">
        <v>31088.458468001143</v>
      </c>
      <c r="K1547" s="5">
        <f t="shared" si="3"/>
        <v>31088.45847</v>
      </c>
      <c r="L1547" s="5">
        <f t="shared" si="4"/>
        <v>0</v>
      </c>
      <c r="M1547" s="5">
        <v>886.3951007352098</v>
      </c>
      <c r="N1547" s="5">
        <f t="shared" si="5"/>
        <v>0</v>
      </c>
      <c r="O1547" s="5">
        <f t="shared" si="6"/>
        <v>886.3951007</v>
      </c>
      <c r="P1547" s="5">
        <f t="shared" si="9"/>
        <v>38319.9915</v>
      </c>
      <c r="Q1547" s="5">
        <f t="shared" si="7"/>
        <v>7231.533035</v>
      </c>
      <c r="R1547" s="5">
        <f t="shared" si="8"/>
        <v>31088.45847</v>
      </c>
    </row>
    <row r="1548" ht="15.75" customHeight="1">
      <c r="A1548" s="4">
        <v>2003.0</v>
      </c>
      <c r="B1548" s="4">
        <v>407.0</v>
      </c>
      <c r="C1548" s="4" t="s">
        <v>21</v>
      </c>
      <c r="D1548" s="5" t="s">
        <v>19</v>
      </c>
      <c r="E1548" s="5" t="str">
        <f t="shared" si="1"/>
        <v/>
      </c>
      <c r="F1548" s="5" t="str">
        <f t="shared" si="2"/>
        <v/>
      </c>
      <c r="G1548" s="5" t="s">
        <v>19</v>
      </c>
      <c r="H1548" s="5" t="s">
        <v>19</v>
      </c>
      <c r="I1548" s="5" t="s">
        <v>19</v>
      </c>
      <c r="J1548" s="5">
        <v>231297.6927645721</v>
      </c>
      <c r="K1548" s="5">
        <f t="shared" si="3"/>
        <v>231297.6928</v>
      </c>
      <c r="L1548" s="5">
        <f t="shared" si="4"/>
        <v>0</v>
      </c>
      <c r="M1548" s="5">
        <v>1884.354113331421</v>
      </c>
      <c r="N1548" s="5">
        <f t="shared" si="5"/>
        <v>0</v>
      </c>
      <c r="O1548" s="5">
        <f t="shared" si="6"/>
        <v>1884.354113</v>
      </c>
      <c r="P1548" s="5">
        <f t="shared" si="9"/>
        <v>233182.0469</v>
      </c>
      <c r="Q1548" s="5">
        <f t="shared" si="7"/>
        <v>1884.354113</v>
      </c>
      <c r="R1548" s="5">
        <f t="shared" si="8"/>
        <v>231297.6928</v>
      </c>
    </row>
    <row r="1549" ht="15.75" customHeight="1">
      <c r="A1549" s="4">
        <v>2003.0</v>
      </c>
      <c r="B1549" s="4">
        <v>408.0</v>
      </c>
      <c r="C1549" s="4" t="s">
        <v>21</v>
      </c>
      <c r="D1549" s="5">
        <v>31470.920160913254</v>
      </c>
      <c r="E1549" s="5">
        <f t="shared" si="1"/>
        <v>0</v>
      </c>
      <c r="F1549" s="5">
        <f t="shared" si="2"/>
        <v>31470.92016</v>
      </c>
      <c r="G1549" s="5">
        <v>4532.614044618035</v>
      </c>
      <c r="H1549" s="5">
        <v>3387.915632707639</v>
      </c>
      <c r="I1549" s="5">
        <v>1144.6984119103963</v>
      </c>
      <c r="J1549" s="5">
        <v>236867.29116760488</v>
      </c>
      <c r="K1549" s="5">
        <f t="shared" si="3"/>
        <v>236867.2912</v>
      </c>
      <c r="L1549" s="5">
        <f t="shared" si="4"/>
        <v>0</v>
      </c>
      <c r="M1549" s="5">
        <v>1287.685394870764</v>
      </c>
      <c r="N1549" s="5">
        <f t="shared" si="5"/>
        <v>0</v>
      </c>
      <c r="O1549" s="5">
        <f t="shared" si="6"/>
        <v>1287.685395</v>
      </c>
      <c r="P1549" s="5">
        <f t="shared" si="9"/>
        <v>274158.5108</v>
      </c>
      <c r="Q1549" s="5">
        <f t="shared" si="7"/>
        <v>33903.30397</v>
      </c>
      <c r="R1549" s="5">
        <f t="shared" si="8"/>
        <v>240255.2068</v>
      </c>
    </row>
    <row r="1550" ht="15.75" customHeight="1">
      <c r="A1550" s="4">
        <v>2003.0</v>
      </c>
      <c r="B1550" s="4">
        <v>409.0</v>
      </c>
      <c r="C1550" s="4" t="s">
        <v>21</v>
      </c>
      <c r="D1550" s="5">
        <v>1098.2631584434228</v>
      </c>
      <c r="E1550" s="5">
        <f t="shared" si="1"/>
        <v>0</v>
      </c>
      <c r="F1550" s="5">
        <f t="shared" si="2"/>
        <v>1098.263158</v>
      </c>
      <c r="G1550" s="5">
        <v>9562.088861022401</v>
      </c>
      <c r="H1550" s="5">
        <v>7598.066374837451</v>
      </c>
      <c r="I1550" s="5">
        <v>1964.0224861849501</v>
      </c>
      <c r="J1550" s="5">
        <v>183296.75831611722</v>
      </c>
      <c r="K1550" s="5">
        <f t="shared" si="3"/>
        <v>183296.7583</v>
      </c>
      <c r="L1550" s="5">
        <f t="shared" si="4"/>
        <v>0</v>
      </c>
      <c r="M1550" s="5">
        <v>1277.8315265134988</v>
      </c>
      <c r="N1550" s="5">
        <f t="shared" si="5"/>
        <v>0</v>
      </c>
      <c r="O1550" s="5">
        <f t="shared" si="6"/>
        <v>1277.831527</v>
      </c>
      <c r="P1550" s="5">
        <f t="shared" si="9"/>
        <v>195234.9419</v>
      </c>
      <c r="Q1550" s="5">
        <f t="shared" si="7"/>
        <v>4340.117171</v>
      </c>
      <c r="R1550" s="5">
        <f t="shared" si="8"/>
        <v>190894.8247</v>
      </c>
    </row>
    <row r="1551" ht="15.75" customHeight="1">
      <c r="A1551" s="4">
        <v>2003.0</v>
      </c>
      <c r="B1551" s="4">
        <v>420.0</v>
      </c>
      <c r="C1551" s="4" t="s">
        <v>21</v>
      </c>
      <c r="D1551" s="5" t="s">
        <v>19</v>
      </c>
      <c r="E1551" s="5" t="str">
        <f t="shared" si="1"/>
        <v/>
      </c>
      <c r="F1551" s="5" t="str">
        <f t="shared" si="2"/>
        <v/>
      </c>
      <c r="G1551" s="5" t="s">
        <v>19</v>
      </c>
      <c r="H1551" s="5" t="s">
        <v>19</v>
      </c>
      <c r="I1551" s="5" t="s">
        <v>19</v>
      </c>
      <c r="J1551" s="5">
        <v>0.0</v>
      </c>
      <c r="K1551" s="5">
        <f t="shared" si="3"/>
        <v>0</v>
      </c>
      <c r="L1551" s="5">
        <f t="shared" si="4"/>
        <v>0</v>
      </c>
      <c r="M1551" s="5">
        <v>69481.09820419305</v>
      </c>
      <c r="N1551" s="5">
        <f t="shared" si="5"/>
        <v>0</v>
      </c>
      <c r="O1551" s="5">
        <f t="shared" si="6"/>
        <v>69481.0982</v>
      </c>
      <c r="P1551" s="5">
        <f t="shared" si="9"/>
        <v>69481.0982</v>
      </c>
      <c r="Q1551" s="5">
        <f t="shared" si="7"/>
        <v>69481.0982</v>
      </c>
      <c r="R1551" s="5">
        <f t="shared" si="8"/>
        <v>0</v>
      </c>
    </row>
    <row r="1552" ht="15.75" customHeight="1">
      <c r="A1552" s="4">
        <v>2003.0</v>
      </c>
      <c r="B1552" s="4">
        <v>421.0</v>
      </c>
      <c r="C1552" s="4" t="s">
        <v>21</v>
      </c>
      <c r="D1552" s="5">
        <v>1728.3012712808722</v>
      </c>
      <c r="E1552" s="5">
        <f t="shared" si="1"/>
        <v>0</v>
      </c>
      <c r="F1552" s="5">
        <f t="shared" si="2"/>
        <v>1728.301271</v>
      </c>
      <c r="G1552" s="5" t="s">
        <v>19</v>
      </c>
      <c r="H1552" s="5" t="s">
        <v>19</v>
      </c>
      <c r="I1552" s="5" t="s">
        <v>19</v>
      </c>
      <c r="J1552" s="5">
        <v>174.2989485927628</v>
      </c>
      <c r="K1552" s="5">
        <f t="shared" si="3"/>
        <v>174.2989486</v>
      </c>
      <c r="L1552" s="5">
        <f t="shared" si="4"/>
        <v>0</v>
      </c>
      <c r="M1552" s="5">
        <v>277938.210885043</v>
      </c>
      <c r="N1552" s="5">
        <f t="shared" si="5"/>
        <v>0</v>
      </c>
      <c r="O1552" s="5">
        <f t="shared" si="6"/>
        <v>277938.2109</v>
      </c>
      <c r="P1552" s="5">
        <f t="shared" si="9"/>
        <v>279840.8111</v>
      </c>
      <c r="Q1552" s="5">
        <f t="shared" si="7"/>
        <v>279666.5122</v>
      </c>
      <c r="R1552" s="5">
        <f t="shared" si="8"/>
        <v>174.2989486</v>
      </c>
    </row>
    <row r="1553" ht="15.75" customHeight="1">
      <c r="A1553" s="4">
        <v>2003.0</v>
      </c>
      <c r="B1553" s="4">
        <v>422.0</v>
      </c>
      <c r="C1553" s="4" t="s">
        <v>21</v>
      </c>
      <c r="D1553" s="5" t="s">
        <v>19</v>
      </c>
      <c r="E1553" s="5" t="str">
        <f t="shared" si="1"/>
        <v/>
      </c>
      <c r="F1553" s="5" t="str">
        <f t="shared" si="2"/>
        <v/>
      </c>
      <c r="G1553" s="5" t="s">
        <v>19</v>
      </c>
      <c r="H1553" s="5" t="s">
        <v>19</v>
      </c>
      <c r="I1553" s="5" t="s">
        <v>19</v>
      </c>
      <c r="J1553" s="5">
        <v>189.23885847214248</v>
      </c>
      <c r="K1553" s="5">
        <f t="shared" si="3"/>
        <v>189.2388585</v>
      </c>
      <c r="L1553" s="5">
        <f t="shared" si="4"/>
        <v>0</v>
      </c>
      <c r="M1553" s="5">
        <v>51618.97970669155</v>
      </c>
      <c r="N1553" s="5">
        <f t="shared" si="5"/>
        <v>0</v>
      </c>
      <c r="O1553" s="5">
        <f t="shared" si="6"/>
        <v>51618.97971</v>
      </c>
      <c r="P1553" s="5">
        <f t="shared" si="9"/>
        <v>51808.21857</v>
      </c>
      <c r="Q1553" s="5">
        <f t="shared" si="7"/>
        <v>51618.97971</v>
      </c>
      <c r="R1553" s="5">
        <f t="shared" si="8"/>
        <v>189.2388585</v>
      </c>
    </row>
    <row r="1554" ht="15.75" customHeight="1">
      <c r="A1554" s="4">
        <v>2003.0</v>
      </c>
      <c r="B1554" s="4">
        <v>423.0</v>
      </c>
      <c r="C1554" s="4" t="s">
        <v>21</v>
      </c>
      <c r="D1554" s="5">
        <v>23521.422879264777</v>
      </c>
      <c r="E1554" s="5">
        <f t="shared" si="1"/>
        <v>0</v>
      </c>
      <c r="F1554" s="5">
        <f t="shared" si="2"/>
        <v>23521.42288</v>
      </c>
      <c r="G1554" s="5">
        <v>4782.698427754164</v>
      </c>
      <c r="H1554" s="5">
        <v>1819.5292870396324</v>
      </c>
      <c r="I1554" s="5">
        <v>2963.1691407145317</v>
      </c>
      <c r="J1554" s="5">
        <v>53968.432451275134</v>
      </c>
      <c r="K1554" s="5">
        <f t="shared" si="3"/>
        <v>53968.43245</v>
      </c>
      <c r="L1554" s="5">
        <f t="shared" si="4"/>
        <v>0</v>
      </c>
      <c r="M1554" s="5">
        <v>268725.86333669163</v>
      </c>
      <c r="N1554" s="5">
        <f t="shared" si="5"/>
        <v>0</v>
      </c>
      <c r="O1554" s="5">
        <f t="shared" si="6"/>
        <v>268725.8633</v>
      </c>
      <c r="P1554" s="5">
        <f t="shared" si="9"/>
        <v>350998.4171</v>
      </c>
      <c r="Q1554" s="5">
        <f t="shared" si="7"/>
        <v>295210.4554</v>
      </c>
      <c r="R1554" s="5">
        <f t="shared" si="8"/>
        <v>55787.96174</v>
      </c>
    </row>
    <row r="1555" ht="15.75" customHeight="1">
      <c r="A1555" s="4">
        <v>2003.0</v>
      </c>
      <c r="B1555" s="4">
        <v>424.0</v>
      </c>
      <c r="C1555" s="4" t="s">
        <v>21</v>
      </c>
      <c r="D1555" s="5">
        <v>45234.67080299825</v>
      </c>
      <c r="E1555" s="5">
        <f t="shared" si="1"/>
        <v>0</v>
      </c>
      <c r="F1555" s="5">
        <f t="shared" si="2"/>
        <v>45234.6708</v>
      </c>
      <c r="G1555" s="5">
        <v>5759.879998897184</v>
      </c>
      <c r="H1555" s="5">
        <v>2162.237515781734</v>
      </c>
      <c r="I1555" s="5">
        <v>3597.64248311545</v>
      </c>
      <c r="J1555" s="5">
        <v>368.51777702469855</v>
      </c>
      <c r="K1555" s="5">
        <f t="shared" si="3"/>
        <v>368.517777</v>
      </c>
      <c r="L1555" s="5">
        <f t="shared" si="4"/>
        <v>0</v>
      </c>
      <c r="M1555" s="5">
        <v>54094.6791843136</v>
      </c>
      <c r="N1555" s="5">
        <f t="shared" si="5"/>
        <v>0</v>
      </c>
      <c r="O1555" s="5">
        <f t="shared" si="6"/>
        <v>54094.67918</v>
      </c>
      <c r="P1555" s="5">
        <f t="shared" si="9"/>
        <v>105457.7478</v>
      </c>
      <c r="Q1555" s="5">
        <f t="shared" si="7"/>
        <v>102926.9925</v>
      </c>
      <c r="R1555" s="5">
        <f t="shared" si="8"/>
        <v>2530.755293</v>
      </c>
    </row>
    <row r="1556" ht="15.75" customHeight="1">
      <c r="A1556" s="4">
        <v>2003.0</v>
      </c>
      <c r="B1556" s="4">
        <v>425.0</v>
      </c>
      <c r="C1556" s="4" t="s">
        <v>21</v>
      </c>
      <c r="D1556" s="5">
        <v>7178.991655129231</v>
      </c>
      <c r="E1556" s="5">
        <f t="shared" si="1"/>
        <v>0</v>
      </c>
      <c r="F1556" s="5">
        <f t="shared" si="2"/>
        <v>7178.991655</v>
      </c>
      <c r="G1556" s="5" t="s">
        <v>19</v>
      </c>
      <c r="H1556" s="5" t="s">
        <v>19</v>
      </c>
      <c r="I1556" s="5" t="s">
        <v>19</v>
      </c>
      <c r="J1556" s="5">
        <v>0.0</v>
      </c>
      <c r="K1556" s="5">
        <f t="shared" si="3"/>
        <v>0</v>
      </c>
      <c r="L1556" s="5">
        <f t="shared" si="4"/>
        <v>0</v>
      </c>
      <c r="M1556" s="5">
        <v>307287.4481043138</v>
      </c>
      <c r="N1556" s="5">
        <f t="shared" si="5"/>
        <v>0</v>
      </c>
      <c r="O1556" s="5">
        <f t="shared" si="6"/>
        <v>307287.4481</v>
      </c>
      <c r="P1556" s="5">
        <f t="shared" si="9"/>
        <v>314466.4398</v>
      </c>
      <c r="Q1556" s="5">
        <f t="shared" si="7"/>
        <v>314466.4398</v>
      </c>
      <c r="R1556" s="5">
        <f t="shared" si="8"/>
        <v>0</v>
      </c>
    </row>
    <row r="1557" ht="15.75" customHeight="1">
      <c r="A1557" s="4">
        <v>2003.0</v>
      </c>
      <c r="B1557" s="4">
        <v>426.0</v>
      </c>
      <c r="C1557" s="4" t="s">
        <v>21</v>
      </c>
      <c r="D1557" s="5" t="s">
        <v>19</v>
      </c>
      <c r="E1557" s="5" t="str">
        <f t="shared" si="1"/>
        <v/>
      </c>
      <c r="F1557" s="5" t="str">
        <f t="shared" si="2"/>
        <v/>
      </c>
      <c r="G1557" s="5" t="s">
        <v>19</v>
      </c>
      <c r="H1557" s="5" t="s">
        <v>19</v>
      </c>
      <c r="I1557" s="5" t="s">
        <v>19</v>
      </c>
      <c r="J1557" s="5">
        <v>0.0</v>
      </c>
      <c r="K1557" s="5">
        <f t="shared" si="3"/>
        <v>0</v>
      </c>
      <c r="L1557" s="5">
        <f t="shared" si="4"/>
        <v>0</v>
      </c>
      <c r="M1557" s="5">
        <v>146186.66759422747</v>
      </c>
      <c r="N1557" s="5">
        <f t="shared" si="5"/>
        <v>0</v>
      </c>
      <c r="O1557" s="5">
        <f t="shared" si="6"/>
        <v>146186.6676</v>
      </c>
      <c r="P1557" s="5">
        <f t="shared" si="9"/>
        <v>146186.6676</v>
      </c>
      <c r="Q1557" s="5">
        <f t="shared" si="7"/>
        <v>146186.6676</v>
      </c>
      <c r="R1557" s="5">
        <f t="shared" si="8"/>
        <v>0</v>
      </c>
    </row>
    <row r="1558" ht="15.75" customHeight="1">
      <c r="A1558" s="4">
        <v>2003.0</v>
      </c>
      <c r="B1558" s="4">
        <v>427.0</v>
      </c>
      <c r="C1558" s="4" t="s">
        <v>21</v>
      </c>
      <c r="D1558" s="5" t="s">
        <v>19</v>
      </c>
      <c r="E1558" s="5" t="str">
        <f t="shared" si="1"/>
        <v/>
      </c>
      <c r="F1558" s="5" t="str">
        <f t="shared" si="2"/>
        <v/>
      </c>
      <c r="G1558" s="5" t="s">
        <v>19</v>
      </c>
      <c r="H1558" s="5" t="s">
        <v>19</v>
      </c>
      <c r="I1558" s="5" t="s">
        <v>19</v>
      </c>
      <c r="J1558" s="5">
        <v>0.0</v>
      </c>
      <c r="K1558" s="5">
        <f t="shared" si="3"/>
        <v>0</v>
      </c>
      <c r="L1558" s="5">
        <f t="shared" si="4"/>
        <v>0</v>
      </c>
      <c r="M1558" s="5">
        <v>506393.6927655372</v>
      </c>
      <c r="N1558" s="5">
        <f t="shared" si="5"/>
        <v>0</v>
      </c>
      <c r="O1558" s="5">
        <f t="shared" si="6"/>
        <v>506393.6928</v>
      </c>
      <c r="P1558" s="5">
        <f t="shared" si="9"/>
        <v>506393.6928</v>
      </c>
      <c r="Q1558" s="5">
        <f t="shared" si="7"/>
        <v>506393.6928</v>
      </c>
      <c r="R1558" s="5">
        <f t="shared" si="8"/>
        <v>0</v>
      </c>
    </row>
    <row r="1559" ht="15.75" customHeight="1">
      <c r="A1559" s="4">
        <v>2003.0</v>
      </c>
      <c r="B1559" s="4">
        <v>428.0</v>
      </c>
      <c r="C1559" s="4" t="s">
        <v>21</v>
      </c>
      <c r="D1559" s="5">
        <v>17751.237758414693</v>
      </c>
      <c r="E1559" s="5">
        <f t="shared" si="1"/>
        <v>0</v>
      </c>
      <c r="F1559" s="5">
        <f t="shared" si="2"/>
        <v>17751.23776</v>
      </c>
      <c r="G1559" s="5">
        <v>2659.627566685813</v>
      </c>
      <c r="H1559" s="5">
        <v>863.3865608271109</v>
      </c>
      <c r="I1559" s="5">
        <v>1796.241005858702</v>
      </c>
      <c r="J1559" s="5">
        <v>0.0</v>
      </c>
      <c r="K1559" s="5">
        <f t="shared" si="3"/>
        <v>0</v>
      </c>
      <c r="L1559" s="5">
        <f t="shared" si="4"/>
        <v>0</v>
      </c>
      <c r="M1559" s="5">
        <v>48304.682053009776</v>
      </c>
      <c r="N1559" s="5">
        <f t="shared" si="5"/>
        <v>0</v>
      </c>
      <c r="O1559" s="5">
        <f t="shared" si="6"/>
        <v>48304.68205</v>
      </c>
      <c r="P1559" s="5">
        <f t="shared" si="9"/>
        <v>68715.54738</v>
      </c>
      <c r="Q1559" s="5">
        <f t="shared" si="7"/>
        <v>67852.16082</v>
      </c>
      <c r="R1559" s="5">
        <f t="shared" si="8"/>
        <v>863.3865608</v>
      </c>
    </row>
    <row r="1560" ht="15.75" customHeight="1">
      <c r="A1560" s="4">
        <v>2003.0</v>
      </c>
      <c r="B1560" s="4">
        <v>429.0</v>
      </c>
      <c r="C1560" s="4" t="s">
        <v>21</v>
      </c>
      <c r="D1560" s="5">
        <v>24287.797108322793</v>
      </c>
      <c r="E1560" s="5">
        <f t="shared" si="1"/>
        <v>0</v>
      </c>
      <c r="F1560" s="5">
        <f t="shared" si="2"/>
        <v>24287.79711</v>
      </c>
      <c r="G1560" s="5">
        <v>5160.471398047099</v>
      </c>
      <c r="H1560" s="5">
        <v>2336.1057059620907</v>
      </c>
      <c r="I1560" s="5">
        <v>2824.365692085008</v>
      </c>
      <c r="J1560" s="5">
        <v>0.0</v>
      </c>
      <c r="K1560" s="5">
        <f t="shared" si="3"/>
        <v>0</v>
      </c>
      <c r="L1560" s="5">
        <f t="shared" si="4"/>
        <v>0</v>
      </c>
      <c r="M1560" s="5">
        <v>28226.575803670334</v>
      </c>
      <c r="N1560" s="5">
        <f t="shared" si="5"/>
        <v>0</v>
      </c>
      <c r="O1560" s="5">
        <f t="shared" si="6"/>
        <v>28226.5758</v>
      </c>
      <c r="P1560" s="5">
        <f t="shared" si="9"/>
        <v>57674.84431</v>
      </c>
      <c r="Q1560" s="5">
        <f t="shared" si="7"/>
        <v>55338.7386</v>
      </c>
      <c r="R1560" s="5">
        <f t="shared" si="8"/>
        <v>2336.105706</v>
      </c>
    </row>
    <row r="1561" ht="15.75" customHeight="1">
      <c r="A1561" s="4">
        <v>2003.0</v>
      </c>
      <c r="B1561" s="4">
        <v>500.0</v>
      </c>
      <c r="C1561" s="4" t="s">
        <v>22</v>
      </c>
      <c r="D1561" s="5">
        <v>5779.657850712232</v>
      </c>
      <c r="E1561" s="5">
        <f t="shared" si="1"/>
        <v>0</v>
      </c>
      <c r="F1561" s="5">
        <f t="shared" si="2"/>
        <v>5779.657851</v>
      </c>
      <c r="G1561" s="5">
        <v>28871.43876570937</v>
      </c>
      <c r="H1561" s="5">
        <v>20029.938973107415</v>
      </c>
      <c r="I1561" s="5">
        <v>8841.499792601953</v>
      </c>
      <c r="J1561" s="5">
        <v>393633.88876100513</v>
      </c>
      <c r="K1561" s="5">
        <f t="shared" si="3"/>
        <v>393633.8888</v>
      </c>
      <c r="L1561" s="5">
        <f t="shared" si="4"/>
        <v>0</v>
      </c>
      <c r="M1561" s="5">
        <v>86773.44521448587</v>
      </c>
      <c r="N1561" s="5">
        <f t="shared" si="5"/>
        <v>0</v>
      </c>
      <c r="O1561" s="5">
        <f t="shared" si="6"/>
        <v>86773.44521</v>
      </c>
      <c r="P1561" s="5">
        <f t="shared" si="9"/>
        <v>515058.4306</v>
      </c>
      <c r="Q1561" s="5">
        <f t="shared" si="7"/>
        <v>101394.6029</v>
      </c>
      <c r="R1561" s="5">
        <f t="shared" si="8"/>
        <v>413663.8277</v>
      </c>
    </row>
    <row r="1562" ht="15.75" customHeight="1">
      <c r="A1562" s="4">
        <v>2003.0</v>
      </c>
      <c r="B1562" s="4">
        <v>501.0</v>
      </c>
      <c r="C1562" s="4" t="s">
        <v>22</v>
      </c>
      <c r="D1562" s="5" t="s">
        <v>19</v>
      </c>
      <c r="E1562" s="5" t="str">
        <f t="shared" si="1"/>
        <v/>
      </c>
      <c r="F1562" s="5" t="str">
        <f t="shared" si="2"/>
        <v/>
      </c>
      <c r="G1562" s="5" t="s">
        <v>19</v>
      </c>
      <c r="H1562" s="5" t="s">
        <v>19</v>
      </c>
      <c r="I1562" s="5" t="s">
        <v>19</v>
      </c>
      <c r="J1562" s="5">
        <v>15420.43563056864</v>
      </c>
      <c r="K1562" s="5">
        <f t="shared" si="3"/>
        <v>15420.43563</v>
      </c>
      <c r="L1562" s="5">
        <f t="shared" si="4"/>
        <v>0</v>
      </c>
      <c r="M1562" s="5">
        <v>15476.9106473004</v>
      </c>
      <c r="N1562" s="5">
        <f t="shared" si="5"/>
        <v>0</v>
      </c>
      <c r="O1562" s="5">
        <f t="shared" si="6"/>
        <v>15476.91065</v>
      </c>
      <c r="P1562" s="5">
        <f t="shared" si="9"/>
        <v>30897.34628</v>
      </c>
      <c r="Q1562" s="5">
        <f t="shared" si="7"/>
        <v>15476.91065</v>
      </c>
      <c r="R1562" s="5">
        <f t="shared" si="8"/>
        <v>15420.43563</v>
      </c>
    </row>
    <row r="1563" ht="15.75" customHeight="1">
      <c r="A1563" s="4">
        <v>2003.0</v>
      </c>
      <c r="B1563" s="4">
        <v>502.0</v>
      </c>
      <c r="C1563" s="4" t="s">
        <v>22</v>
      </c>
      <c r="D1563" s="5" t="s">
        <v>19</v>
      </c>
      <c r="E1563" s="5" t="str">
        <f t="shared" si="1"/>
        <v/>
      </c>
      <c r="F1563" s="5" t="str">
        <f t="shared" si="2"/>
        <v/>
      </c>
      <c r="G1563" s="5" t="s">
        <v>19</v>
      </c>
      <c r="H1563" s="5" t="s">
        <v>19</v>
      </c>
      <c r="I1563" s="5" t="s">
        <v>19</v>
      </c>
      <c r="J1563" s="5">
        <v>861.6786288914418</v>
      </c>
      <c r="K1563" s="5">
        <f t="shared" si="3"/>
        <v>861.6786289</v>
      </c>
      <c r="L1563" s="5">
        <f t="shared" si="4"/>
        <v>0</v>
      </c>
      <c r="M1563" s="5">
        <v>17769.278913124635</v>
      </c>
      <c r="N1563" s="5">
        <f t="shared" si="5"/>
        <v>0</v>
      </c>
      <c r="O1563" s="5">
        <f t="shared" si="6"/>
        <v>17769.27891</v>
      </c>
      <c r="P1563" s="5">
        <f t="shared" si="9"/>
        <v>18630.95754</v>
      </c>
      <c r="Q1563" s="5">
        <f t="shared" si="7"/>
        <v>17769.27891</v>
      </c>
      <c r="R1563" s="5">
        <f t="shared" si="8"/>
        <v>861.6786289</v>
      </c>
    </row>
    <row r="1564" ht="15.75" customHeight="1">
      <c r="A1564" s="4">
        <v>2003.0</v>
      </c>
      <c r="B1564" s="4">
        <v>503.0</v>
      </c>
      <c r="C1564" s="4" t="s">
        <v>22</v>
      </c>
      <c r="D1564" s="5" t="s">
        <v>19</v>
      </c>
      <c r="E1564" s="5" t="str">
        <f t="shared" si="1"/>
        <v/>
      </c>
      <c r="F1564" s="5" t="str">
        <f t="shared" si="2"/>
        <v/>
      </c>
      <c r="G1564" s="5">
        <v>7794.749659161402</v>
      </c>
      <c r="H1564" s="5">
        <v>5517.38962049397</v>
      </c>
      <c r="I1564" s="5">
        <v>2277.3600386674316</v>
      </c>
      <c r="J1564" s="5">
        <v>30463.177395060316</v>
      </c>
      <c r="K1564" s="5">
        <f t="shared" si="3"/>
        <v>30463.1774</v>
      </c>
      <c r="L1564" s="5">
        <f t="shared" si="4"/>
        <v>0</v>
      </c>
      <c r="M1564" s="5">
        <v>33498.71538731762</v>
      </c>
      <c r="N1564" s="5">
        <f t="shared" si="5"/>
        <v>0</v>
      </c>
      <c r="O1564" s="5">
        <f t="shared" si="6"/>
        <v>33498.71539</v>
      </c>
      <c r="P1564" s="5">
        <f t="shared" si="9"/>
        <v>71756.64244</v>
      </c>
      <c r="Q1564" s="5">
        <f t="shared" si="7"/>
        <v>35776.07543</v>
      </c>
      <c r="R1564" s="5">
        <f t="shared" si="8"/>
        <v>35980.56702</v>
      </c>
    </row>
    <row r="1565" ht="15.75" customHeight="1">
      <c r="A1565" s="4">
        <v>2003.0</v>
      </c>
      <c r="B1565" s="4">
        <v>504.0</v>
      </c>
      <c r="C1565" s="4" t="s">
        <v>22</v>
      </c>
      <c r="D1565" s="5">
        <v>2282.7804752843185</v>
      </c>
      <c r="E1565" s="5">
        <f t="shared" si="1"/>
        <v>0</v>
      </c>
      <c r="F1565" s="5">
        <f t="shared" si="2"/>
        <v>2282.780475</v>
      </c>
      <c r="G1565" s="5">
        <v>10094.327195577254</v>
      </c>
      <c r="H1565" s="5">
        <v>5820.452254451465</v>
      </c>
      <c r="I1565" s="5">
        <v>4273.8749411257895</v>
      </c>
      <c r="J1565" s="5">
        <v>88482.5277569328</v>
      </c>
      <c r="K1565" s="5">
        <f t="shared" si="3"/>
        <v>88482.52776</v>
      </c>
      <c r="L1565" s="5">
        <f t="shared" si="4"/>
        <v>0</v>
      </c>
      <c r="M1565" s="5">
        <v>134111.07822728888</v>
      </c>
      <c r="N1565" s="5">
        <f t="shared" si="5"/>
        <v>0</v>
      </c>
      <c r="O1565" s="5">
        <f t="shared" si="6"/>
        <v>134111.0782</v>
      </c>
      <c r="P1565" s="5">
        <f t="shared" si="9"/>
        <v>234970.7137</v>
      </c>
      <c r="Q1565" s="5">
        <f t="shared" si="7"/>
        <v>140667.7336</v>
      </c>
      <c r="R1565" s="5">
        <f t="shared" si="8"/>
        <v>94302.98001</v>
      </c>
    </row>
    <row r="1566" ht="15.75" customHeight="1">
      <c r="A1566" s="4">
        <v>2003.0</v>
      </c>
      <c r="B1566" s="4">
        <v>505.0</v>
      </c>
      <c r="C1566" s="4" t="s">
        <v>22</v>
      </c>
      <c r="D1566" s="5">
        <v>6679.27234462952</v>
      </c>
      <c r="E1566" s="5">
        <f t="shared" si="1"/>
        <v>0</v>
      </c>
      <c r="F1566" s="5">
        <f t="shared" si="2"/>
        <v>6679.272345</v>
      </c>
      <c r="G1566" s="5">
        <v>36483.25992544515</v>
      </c>
      <c r="H1566" s="5">
        <v>10867.150216059737</v>
      </c>
      <c r="I1566" s="5">
        <v>25616.10970938541</v>
      </c>
      <c r="J1566" s="5">
        <v>679.0233985755312</v>
      </c>
      <c r="K1566" s="5">
        <f t="shared" si="3"/>
        <v>679.0233986</v>
      </c>
      <c r="L1566" s="5">
        <f t="shared" si="4"/>
        <v>0</v>
      </c>
      <c r="M1566" s="5">
        <v>31582.167655910387</v>
      </c>
      <c r="N1566" s="5">
        <f t="shared" si="5"/>
        <v>0</v>
      </c>
      <c r="O1566" s="5">
        <f t="shared" si="6"/>
        <v>31582.16766</v>
      </c>
      <c r="P1566" s="5">
        <f t="shared" si="9"/>
        <v>75423.72332</v>
      </c>
      <c r="Q1566" s="5">
        <f t="shared" si="7"/>
        <v>63877.54971</v>
      </c>
      <c r="R1566" s="5">
        <f t="shared" si="8"/>
        <v>11546.17361</v>
      </c>
    </row>
    <row r="1567" ht="15.75" customHeight="1">
      <c r="A1567" s="4">
        <v>2003.0</v>
      </c>
      <c r="B1567" s="4">
        <v>506.0</v>
      </c>
      <c r="C1567" s="4" t="s">
        <v>22</v>
      </c>
      <c r="D1567" s="5">
        <v>23210.471397587582</v>
      </c>
      <c r="E1567" s="5">
        <f t="shared" si="1"/>
        <v>0</v>
      </c>
      <c r="F1567" s="5">
        <f t="shared" si="2"/>
        <v>23210.4714</v>
      </c>
      <c r="G1567" s="5">
        <v>28390.503110855825</v>
      </c>
      <c r="H1567" s="5">
        <v>10661.072946524986</v>
      </c>
      <c r="I1567" s="5">
        <v>17729.43016433084</v>
      </c>
      <c r="J1567" s="5">
        <v>17089.099514302125</v>
      </c>
      <c r="K1567" s="5">
        <f t="shared" si="3"/>
        <v>17089.09951</v>
      </c>
      <c r="L1567" s="5">
        <f t="shared" si="4"/>
        <v>0</v>
      </c>
      <c r="M1567" s="5">
        <v>50640.56123326247</v>
      </c>
      <c r="N1567" s="5">
        <f t="shared" si="5"/>
        <v>0</v>
      </c>
      <c r="O1567" s="5">
        <f t="shared" si="6"/>
        <v>50640.56123</v>
      </c>
      <c r="P1567" s="5">
        <f t="shared" si="9"/>
        <v>119330.6353</v>
      </c>
      <c r="Q1567" s="5">
        <f t="shared" si="7"/>
        <v>91580.4628</v>
      </c>
      <c r="R1567" s="5">
        <f t="shared" si="8"/>
        <v>27750.17246</v>
      </c>
    </row>
    <row r="1568" ht="15.75" customHeight="1">
      <c r="A1568" s="4">
        <v>2003.0</v>
      </c>
      <c r="B1568" s="4">
        <v>507.0</v>
      </c>
      <c r="C1568" s="4" t="s">
        <v>22</v>
      </c>
      <c r="D1568" s="5" t="s">
        <v>19</v>
      </c>
      <c r="E1568" s="5" t="str">
        <f t="shared" si="1"/>
        <v/>
      </c>
      <c r="F1568" s="5" t="str">
        <f t="shared" si="2"/>
        <v/>
      </c>
      <c r="G1568" s="5" t="s">
        <v>19</v>
      </c>
      <c r="H1568" s="5" t="s">
        <v>19</v>
      </c>
      <c r="I1568" s="5" t="s">
        <v>19</v>
      </c>
      <c r="J1568" s="5">
        <v>0.0</v>
      </c>
      <c r="K1568" s="5">
        <f t="shared" si="3"/>
        <v>0</v>
      </c>
      <c r="L1568" s="5">
        <f t="shared" si="4"/>
        <v>0</v>
      </c>
      <c r="M1568" s="5">
        <v>0.0</v>
      </c>
      <c r="N1568" s="5">
        <f t="shared" si="5"/>
        <v>0</v>
      </c>
      <c r="O1568" s="5">
        <f t="shared" si="6"/>
        <v>0</v>
      </c>
      <c r="P1568" s="5">
        <f t="shared" si="9"/>
        <v>0</v>
      </c>
      <c r="Q1568" s="5">
        <f t="shared" si="7"/>
        <v>0</v>
      </c>
      <c r="R1568" s="5">
        <f t="shared" si="8"/>
        <v>0</v>
      </c>
    </row>
    <row r="1569" ht="15.75" customHeight="1">
      <c r="A1569" s="4">
        <v>2003.0</v>
      </c>
      <c r="B1569" s="4">
        <v>508.0</v>
      </c>
      <c r="C1569" s="4" t="s">
        <v>22</v>
      </c>
      <c r="D1569" s="5">
        <v>18494.62681926478</v>
      </c>
      <c r="E1569" s="5">
        <f t="shared" si="1"/>
        <v>0</v>
      </c>
      <c r="F1569" s="5">
        <f t="shared" si="2"/>
        <v>18494.62682</v>
      </c>
      <c r="G1569" s="5">
        <v>10357.079040206778</v>
      </c>
      <c r="H1569" s="5">
        <v>2837.7199219988515</v>
      </c>
      <c r="I1569" s="5">
        <v>7519.359118207926</v>
      </c>
      <c r="J1569" s="5">
        <v>0.0</v>
      </c>
      <c r="K1569" s="5">
        <f t="shared" si="3"/>
        <v>0</v>
      </c>
      <c r="L1569" s="5">
        <f t="shared" si="4"/>
        <v>0</v>
      </c>
      <c r="M1569" s="5">
        <v>27933.100960252727</v>
      </c>
      <c r="N1569" s="5">
        <f t="shared" si="5"/>
        <v>0</v>
      </c>
      <c r="O1569" s="5">
        <f t="shared" si="6"/>
        <v>27933.10096</v>
      </c>
      <c r="P1569" s="5">
        <f t="shared" si="9"/>
        <v>56784.80682</v>
      </c>
      <c r="Q1569" s="5">
        <f t="shared" si="7"/>
        <v>53947.0869</v>
      </c>
      <c r="R1569" s="5">
        <f t="shared" si="8"/>
        <v>2837.719922</v>
      </c>
    </row>
    <row r="1570" ht="15.75" customHeight="1">
      <c r="A1570" s="4">
        <v>2003.0</v>
      </c>
      <c r="B1570" s="4">
        <v>520.0</v>
      </c>
      <c r="C1570" s="4" t="s">
        <v>22</v>
      </c>
      <c r="D1570" s="5" t="s">
        <v>19</v>
      </c>
      <c r="E1570" s="5" t="str">
        <f t="shared" si="1"/>
        <v/>
      </c>
      <c r="F1570" s="5" t="str">
        <f t="shared" si="2"/>
        <v/>
      </c>
      <c r="G1570" s="5">
        <v>4357.024259046526</v>
      </c>
      <c r="H1570" s="5">
        <v>2896.922236358416</v>
      </c>
      <c r="I1570" s="5">
        <v>1460.10202268811</v>
      </c>
      <c r="J1570" s="5">
        <v>2231.5928562607696</v>
      </c>
      <c r="K1570" s="5">
        <f t="shared" si="3"/>
        <v>2231.592856</v>
      </c>
      <c r="L1570" s="5">
        <f t="shared" si="4"/>
        <v>0</v>
      </c>
      <c r="M1570" s="5">
        <v>328655.05734766787</v>
      </c>
      <c r="N1570" s="5">
        <f t="shared" si="5"/>
        <v>0</v>
      </c>
      <c r="O1570" s="5">
        <f t="shared" si="6"/>
        <v>328655.0573</v>
      </c>
      <c r="P1570" s="5">
        <f t="shared" si="9"/>
        <v>335243.6745</v>
      </c>
      <c r="Q1570" s="5">
        <f t="shared" si="7"/>
        <v>330115.1594</v>
      </c>
      <c r="R1570" s="5">
        <f t="shared" si="8"/>
        <v>5128.515093</v>
      </c>
    </row>
    <row r="1571" ht="15.75" customHeight="1">
      <c r="A1571" s="4">
        <v>2003.0</v>
      </c>
      <c r="B1571" s="4">
        <v>521.0</v>
      </c>
      <c r="C1571" s="4" t="s">
        <v>22</v>
      </c>
      <c r="D1571" s="5" t="s">
        <v>19</v>
      </c>
      <c r="E1571" s="5" t="str">
        <f t="shared" si="1"/>
        <v/>
      </c>
      <c r="F1571" s="5" t="str">
        <f t="shared" si="2"/>
        <v/>
      </c>
      <c r="G1571" s="5" t="s">
        <v>19</v>
      </c>
      <c r="H1571" s="5" t="s">
        <v>19</v>
      </c>
      <c r="I1571" s="5" t="s">
        <v>19</v>
      </c>
      <c r="J1571" s="5">
        <v>0.0</v>
      </c>
      <c r="K1571" s="5">
        <f t="shared" si="3"/>
        <v>0</v>
      </c>
      <c r="L1571" s="5">
        <f t="shared" si="4"/>
        <v>0</v>
      </c>
      <c r="M1571" s="5">
        <v>8050.687754279146</v>
      </c>
      <c r="N1571" s="5">
        <f t="shared" si="5"/>
        <v>0</v>
      </c>
      <c r="O1571" s="5">
        <f t="shared" si="6"/>
        <v>8050.687754</v>
      </c>
      <c r="P1571" s="5">
        <f t="shared" si="9"/>
        <v>8050.687754</v>
      </c>
      <c r="Q1571" s="5">
        <f t="shared" si="7"/>
        <v>8050.687754</v>
      </c>
      <c r="R1571" s="5">
        <f t="shared" si="8"/>
        <v>0</v>
      </c>
    </row>
    <row r="1572" ht="15.75" customHeight="1">
      <c r="A1572" s="4">
        <v>2003.0</v>
      </c>
      <c r="B1572" s="4">
        <v>522.0</v>
      </c>
      <c r="C1572" s="4" t="s">
        <v>22</v>
      </c>
      <c r="D1572" s="5" t="s">
        <v>19</v>
      </c>
      <c r="E1572" s="5" t="str">
        <f t="shared" si="1"/>
        <v/>
      </c>
      <c r="F1572" s="5" t="str">
        <f t="shared" si="2"/>
        <v/>
      </c>
      <c r="G1572" s="5" t="s">
        <v>19</v>
      </c>
      <c r="H1572" s="5" t="s">
        <v>19</v>
      </c>
      <c r="I1572" s="5" t="s">
        <v>19</v>
      </c>
      <c r="J1572" s="5">
        <v>0.0</v>
      </c>
      <c r="K1572" s="5">
        <f t="shared" si="3"/>
        <v>0</v>
      </c>
      <c r="L1572" s="5">
        <f t="shared" si="4"/>
        <v>0</v>
      </c>
      <c r="M1572" s="5">
        <v>34273.645456461796</v>
      </c>
      <c r="N1572" s="5">
        <f t="shared" si="5"/>
        <v>0</v>
      </c>
      <c r="O1572" s="5">
        <f t="shared" si="6"/>
        <v>34273.64546</v>
      </c>
      <c r="P1572" s="5">
        <f t="shared" si="9"/>
        <v>34273.64546</v>
      </c>
      <c r="Q1572" s="5">
        <f t="shared" si="7"/>
        <v>34273.64546</v>
      </c>
      <c r="R1572" s="5">
        <f t="shared" si="8"/>
        <v>0</v>
      </c>
    </row>
    <row r="1573" ht="15.75" customHeight="1">
      <c r="A1573" s="4">
        <v>2003.0</v>
      </c>
      <c r="B1573" s="4">
        <v>523.0</v>
      </c>
      <c r="C1573" s="4" t="s">
        <v>22</v>
      </c>
      <c r="D1573" s="5" t="s">
        <v>19</v>
      </c>
      <c r="E1573" s="5" t="str">
        <f t="shared" si="1"/>
        <v/>
      </c>
      <c r="F1573" s="5" t="str">
        <f t="shared" si="2"/>
        <v/>
      </c>
      <c r="G1573" s="5" t="s">
        <v>19</v>
      </c>
      <c r="H1573" s="5" t="s">
        <v>19</v>
      </c>
      <c r="I1573" s="5" t="s">
        <v>19</v>
      </c>
      <c r="J1573" s="5">
        <v>0.0</v>
      </c>
      <c r="K1573" s="5">
        <f t="shared" si="3"/>
        <v>0</v>
      </c>
      <c r="L1573" s="5">
        <f t="shared" si="4"/>
        <v>0</v>
      </c>
      <c r="M1573" s="5">
        <v>121325.41705700738</v>
      </c>
      <c r="N1573" s="5">
        <f t="shared" si="5"/>
        <v>0</v>
      </c>
      <c r="O1573" s="5">
        <f t="shared" si="6"/>
        <v>121325.4171</v>
      </c>
      <c r="P1573" s="5">
        <f t="shared" si="9"/>
        <v>121325.4171</v>
      </c>
      <c r="Q1573" s="5">
        <f t="shared" si="7"/>
        <v>121325.4171</v>
      </c>
      <c r="R1573" s="5">
        <f t="shared" si="8"/>
        <v>0</v>
      </c>
    </row>
    <row r="1574" ht="15.75" customHeight="1">
      <c r="A1574" s="4">
        <v>2003.0</v>
      </c>
      <c r="B1574" s="4">
        <v>524.0</v>
      </c>
      <c r="C1574" s="4" t="s">
        <v>22</v>
      </c>
      <c r="D1574" s="5">
        <v>1542.4944570878795</v>
      </c>
      <c r="E1574" s="5">
        <f t="shared" si="1"/>
        <v>0</v>
      </c>
      <c r="F1574" s="5">
        <f t="shared" si="2"/>
        <v>1542.494457</v>
      </c>
      <c r="G1574" s="5" t="s">
        <v>19</v>
      </c>
      <c r="H1574" s="5" t="s">
        <v>19</v>
      </c>
      <c r="I1574" s="5" t="s">
        <v>19</v>
      </c>
      <c r="J1574" s="5">
        <v>0.0</v>
      </c>
      <c r="K1574" s="5">
        <f t="shared" si="3"/>
        <v>0</v>
      </c>
      <c r="L1574" s="5">
        <f t="shared" si="4"/>
        <v>0</v>
      </c>
      <c r="M1574" s="5">
        <v>159320.2794453819</v>
      </c>
      <c r="N1574" s="5">
        <f t="shared" si="5"/>
        <v>0</v>
      </c>
      <c r="O1574" s="5">
        <f t="shared" si="6"/>
        <v>159320.2794</v>
      </c>
      <c r="P1574" s="5">
        <f t="shared" si="9"/>
        <v>160862.7739</v>
      </c>
      <c r="Q1574" s="5">
        <f t="shared" si="7"/>
        <v>160862.7739</v>
      </c>
      <c r="R1574" s="5">
        <f t="shared" si="8"/>
        <v>0</v>
      </c>
    </row>
    <row r="1575" ht="15.75" customHeight="1">
      <c r="A1575" s="4">
        <v>2003.0</v>
      </c>
      <c r="B1575" s="4">
        <v>525.0</v>
      </c>
      <c r="C1575" s="4" t="s">
        <v>22</v>
      </c>
      <c r="D1575" s="5" t="s">
        <v>19</v>
      </c>
      <c r="E1575" s="5" t="str">
        <f t="shared" si="1"/>
        <v/>
      </c>
      <c r="F1575" s="5" t="str">
        <f t="shared" si="2"/>
        <v/>
      </c>
      <c r="G1575" s="5" t="s">
        <v>19</v>
      </c>
      <c r="H1575" s="5" t="s">
        <v>19</v>
      </c>
      <c r="I1575" s="5" t="s">
        <v>19</v>
      </c>
      <c r="J1575" s="5">
        <v>0.0</v>
      </c>
      <c r="K1575" s="5">
        <f t="shared" si="3"/>
        <v>0</v>
      </c>
      <c r="L1575" s="5">
        <f t="shared" si="4"/>
        <v>0</v>
      </c>
      <c r="M1575" s="5">
        <v>15002.682670396316</v>
      </c>
      <c r="N1575" s="5">
        <f t="shared" si="5"/>
        <v>0</v>
      </c>
      <c r="O1575" s="5">
        <f t="shared" si="6"/>
        <v>15002.68267</v>
      </c>
      <c r="P1575" s="5">
        <f t="shared" si="9"/>
        <v>15002.68267</v>
      </c>
      <c r="Q1575" s="5">
        <f t="shared" si="7"/>
        <v>15002.68267</v>
      </c>
      <c r="R1575" s="5">
        <f t="shared" si="8"/>
        <v>0</v>
      </c>
    </row>
    <row r="1576" ht="15.75" customHeight="1">
      <c r="A1576" s="4">
        <v>2003.0</v>
      </c>
      <c r="B1576" s="4">
        <v>526.0</v>
      </c>
      <c r="C1576" s="4" t="s">
        <v>22</v>
      </c>
      <c r="D1576" s="5" t="s">
        <v>19</v>
      </c>
      <c r="E1576" s="5" t="str">
        <f t="shared" si="1"/>
        <v/>
      </c>
      <c r="F1576" s="5" t="str">
        <f t="shared" si="2"/>
        <v/>
      </c>
      <c r="G1576" s="5" t="s">
        <v>19</v>
      </c>
      <c r="H1576" s="5" t="s">
        <v>19</v>
      </c>
      <c r="I1576" s="5" t="s">
        <v>19</v>
      </c>
      <c r="J1576" s="5">
        <v>0.0</v>
      </c>
      <c r="K1576" s="5">
        <f t="shared" si="3"/>
        <v>0</v>
      </c>
      <c r="L1576" s="5">
        <f t="shared" si="4"/>
        <v>0</v>
      </c>
      <c r="M1576" s="5">
        <v>697.5283916427336</v>
      </c>
      <c r="N1576" s="5">
        <f t="shared" si="5"/>
        <v>0</v>
      </c>
      <c r="O1576" s="5">
        <f t="shared" si="6"/>
        <v>697.5283916</v>
      </c>
      <c r="P1576" s="5">
        <f t="shared" si="9"/>
        <v>697.5283916</v>
      </c>
      <c r="Q1576" s="5">
        <f t="shared" si="7"/>
        <v>697.5283916</v>
      </c>
      <c r="R1576" s="5">
        <f t="shared" si="8"/>
        <v>0</v>
      </c>
    </row>
    <row r="1577" ht="15.75" customHeight="1">
      <c r="A1577" s="4">
        <v>2003.0</v>
      </c>
      <c r="B1577" s="4">
        <v>527.0</v>
      </c>
      <c r="C1577" s="4" t="s">
        <v>22</v>
      </c>
      <c r="D1577" s="5" t="s">
        <v>19</v>
      </c>
      <c r="E1577" s="5" t="str">
        <f t="shared" si="1"/>
        <v/>
      </c>
      <c r="F1577" s="5" t="str">
        <f t="shared" si="2"/>
        <v/>
      </c>
      <c r="G1577" s="5" t="s">
        <v>19</v>
      </c>
      <c r="H1577" s="5" t="s">
        <v>19</v>
      </c>
      <c r="I1577" s="5" t="s">
        <v>19</v>
      </c>
      <c r="J1577" s="5">
        <v>0.0</v>
      </c>
      <c r="K1577" s="5">
        <f t="shared" si="3"/>
        <v>0</v>
      </c>
      <c r="L1577" s="5">
        <f t="shared" si="4"/>
        <v>0</v>
      </c>
      <c r="M1577" s="5">
        <v>8616.930114761626</v>
      </c>
      <c r="N1577" s="5">
        <f t="shared" si="5"/>
        <v>0</v>
      </c>
      <c r="O1577" s="5">
        <f t="shared" si="6"/>
        <v>8616.930115</v>
      </c>
      <c r="P1577" s="5">
        <f t="shared" si="9"/>
        <v>8616.930115</v>
      </c>
      <c r="Q1577" s="5">
        <f t="shared" si="7"/>
        <v>8616.930115</v>
      </c>
      <c r="R1577" s="5">
        <f t="shared" si="8"/>
        <v>0</v>
      </c>
    </row>
    <row r="1578" ht="15.75" customHeight="1">
      <c r="A1578" s="4">
        <v>2003.0</v>
      </c>
      <c r="B1578" s="4">
        <v>528.0</v>
      </c>
      <c r="C1578" s="4" t="s">
        <v>22</v>
      </c>
      <c r="D1578" s="5">
        <v>105609.0363740953</v>
      </c>
      <c r="E1578" s="5">
        <f t="shared" si="1"/>
        <v>0</v>
      </c>
      <c r="F1578" s="5">
        <f t="shared" si="2"/>
        <v>105609.0364</v>
      </c>
      <c r="G1578" s="5" t="s">
        <v>19</v>
      </c>
      <c r="H1578" s="5" t="s">
        <v>19</v>
      </c>
      <c r="I1578" s="5" t="s">
        <v>19</v>
      </c>
      <c r="J1578" s="5">
        <v>0.0</v>
      </c>
      <c r="K1578" s="5">
        <f t="shared" si="3"/>
        <v>0</v>
      </c>
      <c r="L1578" s="5">
        <f t="shared" si="4"/>
        <v>0</v>
      </c>
      <c r="M1578" s="5">
        <v>17115.131992647897</v>
      </c>
      <c r="N1578" s="5">
        <f t="shared" si="5"/>
        <v>0</v>
      </c>
      <c r="O1578" s="5">
        <f t="shared" si="6"/>
        <v>17115.13199</v>
      </c>
      <c r="P1578" s="5">
        <f t="shared" si="9"/>
        <v>122724.1684</v>
      </c>
      <c r="Q1578" s="5">
        <f t="shared" si="7"/>
        <v>122724.1684</v>
      </c>
      <c r="R1578" s="5">
        <f t="shared" si="8"/>
        <v>0</v>
      </c>
    </row>
    <row r="1579" ht="15.75" customHeight="1">
      <c r="A1579" s="4">
        <v>2002.0</v>
      </c>
      <c r="B1579" s="4">
        <v>100.0</v>
      </c>
      <c r="C1579" s="4" t="s">
        <v>18</v>
      </c>
      <c r="D1579" s="5">
        <v>1122.5609407575753</v>
      </c>
      <c r="E1579" s="5">
        <f t="shared" si="1"/>
        <v>0</v>
      </c>
      <c r="F1579" s="5">
        <f t="shared" si="2"/>
        <v>1122.560941</v>
      </c>
      <c r="G1579" s="5">
        <v>3020.569090909091</v>
      </c>
      <c r="H1579" s="5">
        <v>2074.1241090909093</v>
      </c>
      <c r="I1579" s="5">
        <v>946.4449818181815</v>
      </c>
      <c r="J1579" s="5">
        <v>34051.90045833334</v>
      </c>
      <c r="K1579" s="5">
        <f t="shared" si="3"/>
        <v>34051.90046</v>
      </c>
      <c r="L1579" s="5">
        <f t="shared" si="4"/>
        <v>0</v>
      </c>
      <c r="M1579" s="5">
        <v>54579.899585909065</v>
      </c>
      <c r="N1579" s="5">
        <f t="shared" si="5"/>
        <v>0</v>
      </c>
      <c r="O1579" s="5">
        <f t="shared" si="6"/>
        <v>54579.89959</v>
      </c>
      <c r="P1579" s="5">
        <f t="shared" si="9"/>
        <v>92774.93008</v>
      </c>
      <c r="Q1579" s="5">
        <f t="shared" si="7"/>
        <v>56648.90551</v>
      </c>
      <c r="R1579" s="5">
        <f t="shared" si="8"/>
        <v>36126.02457</v>
      </c>
    </row>
    <row r="1580" ht="15.75" customHeight="1">
      <c r="A1580" s="4">
        <v>2002.0</v>
      </c>
      <c r="B1580" s="4">
        <v>101.0</v>
      </c>
      <c r="C1580" s="4" t="s">
        <v>18</v>
      </c>
      <c r="D1580" s="5">
        <v>7385.794855454542</v>
      </c>
      <c r="E1580" s="5">
        <f t="shared" si="1"/>
        <v>0</v>
      </c>
      <c r="F1580" s="5">
        <f t="shared" si="2"/>
        <v>7385.794855</v>
      </c>
      <c r="G1580" s="5">
        <v>7758.1639006060595</v>
      </c>
      <c r="H1580" s="5">
        <v>4055.8859277575757</v>
      </c>
      <c r="I1580" s="5">
        <v>3702.277972848484</v>
      </c>
      <c r="J1580" s="5">
        <v>1175831.0333033334</v>
      </c>
      <c r="K1580" s="5">
        <f t="shared" si="3"/>
        <v>1175831.033</v>
      </c>
      <c r="L1580" s="5">
        <f t="shared" si="4"/>
        <v>0</v>
      </c>
      <c r="M1580" s="5">
        <v>233346.665088712</v>
      </c>
      <c r="N1580" s="5">
        <f t="shared" si="5"/>
        <v>0</v>
      </c>
      <c r="O1580" s="5">
        <f t="shared" si="6"/>
        <v>233346.6651</v>
      </c>
      <c r="P1580" s="5">
        <f t="shared" si="9"/>
        <v>1424321.657</v>
      </c>
      <c r="Q1580" s="5">
        <f t="shared" si="7"/>
        <v>244434.7379</v>
      </c>
      <c r="R1580" s="5">
        <f t="shared" si="8"/>
        <v>1179886.919</v>
      </c>
    </row>
    <row r="1581" ht="15.75" customHeight="1">
      <c r="A1581" s="4">
        <v>2002.0</v>
      </c>
      <c r="B1581" s="4">
        <v>102.0</v>
      </c>
      <c r="C1581" s="4" t="s">
        <v>18</v>
      </c>
      <c r="D1581" s="5">
        <v>20582.661213636355</v>
      </c>
      <c r="E1581" s="5">
        <f t="shared" si="1"/>
        <v>0</v>
      </c>
      <c r="F1581" s="5">
        <f t="shared" si="2"/>
        <v>20582.66121</v>
      </c>
      <c r="G1581" s="5">
        <v>18633.555103030303</v>
      </c>
      <c r="H1581" s="5">
        <v>6388.839246060607</v>
      </c>
      <c r="I1581" s="5">
        <v>12244.715856969695</v>
      </c>
      <c r="J1581" s="5">
        <v>28822.17541666667</v>
      </c>
      <c r="K1581" s="5">
        <f t="shared" si="3"/>
        <v>28822.17542</v>
      </c>
      <c r="L1581" s="5">
        <f t="shared" si="4"/>
        <v>0</v>
      </c>
      <c r="M1581" s="5">
        <v>148379.7200632575</v>
      </c>
      <c r="N1581" s="5">
        <f t="shared" si="5"/>
        <v>0</v>
      </c>
      <c r="O1581" s="5">
        <f t="shared" si="6"/>
        <v>148379.7201</v>
      </c>
      <c r="P1581" s="5">
        <f t="shared" si="9"/>
        <v>216418.1118</v>
      </c>
      <c r="Q1581" s="5">
        <f t="shared" si="7"/>
        <v>181207.0971</v>
      </c>
      <c r="R1581" s="5">
        <f t="shared" si="8"/>
        <v>35211.01466</v>
      </c>
    </row>
    <row r="1582" ht="15.75" customHeight="1">
      <c r="A1582" s="4">
        <v>2002.0</v>
      </c>
      <c r="B1582" s="4">
        <v>103.0</v>
      </c>
      <c r="C1582" s="4" t="s">
        <v>18</v>
      </c>
      <c r="D1582" s="5">
        <v>13329.519684090905</v>
      </c>
      <c r="E1582" s="5">
        <f t="shared" si="1"/>
        <v>0</v>
      </c>
      <c r="F1582" s="5">
        <f t="shared" si="2"/>
        <v>13329.51968</v>
      </c>
      <c r="G1582" s="5">
        <v>1711.6558181818182</v>
      </c>
      <c r="H1582" s="5">
        <v>567.8669890909091</v>
      </c>
      <c r="I1582" s="5">
        <v>1143.788829090909</v>
      </c>
      <c r="J1582" s="5">
        <v>33256.87791833334</v>
      </c>
      <c r="K1582" s="5">
        <f t="shared" si="3"/>
        <v>33256.87792</v>
      </c>
      <c r="L1582" s="5">
        <f t="shared" si="4"/>
        <v>0</v>
      </c>
      <c r="M1582" s="5">
        <v>7471.731505303029</v>
      </c>
      <c r="N1582" s="5">
        <f t="shared" si="5"/>
        <v>0</v>
      </c>
      <c r="O1582" s="5">
        <f t="shared" si="6"/>
        <v>7471.731505</v>
      </c>
      <c r="P1582" s="5">
        <f t="shared" si="9"/>
        <v>55769.78493</v>
      </c>
      <c r="Q1582" s="5">
        <f t="shared" si="7"/>
        <v>21945.04002</v>
      </c>
      <c r="R1582" s="5">
        <f t="shared" si="8"/>
        <v>33824.74491</v>
      </c>
    </row>
    <row r="1583" ht="15.75" customHeight="1">
      <c r="A1583" s="4">
        <v>2002.0</v>
      </c>
      <c r="B1583" s="4">
        <v>104.0</v>
      </c>
      <c r="C1583" s="4" t="s">
        <v>18</v>
      </c>
      <c r="D1583" s="5">
        <v>9506.821690151512</v>
      </c>
      <c r="E1583" s="5">
        <f t="shared" si="1"/>
        <v>0</v>
      </c>
      <c r="F1583" s="5">
        <f t="shared" si="2"/>
        <v>9506.82169</v>
      </c>
      <c r="G1583" s="5">
        <v>1775.4233878787877</v>
      </c>
      <c r="H1583" s="5">
        <v>1267.296543030303</v>
      </c>
      <c r="I1583" s="5">
        <v>508.1268448484848</v>
      </c>
      <c r="J1583" s="5">
        <v>10317.556296666666</v>
      </c>
      <c r="K1583" s="5">
        <f t="shared" si="3"/>
        <v>10317.5563</v>
      </c>
      <c r="L1583" s="5">
        <f t="shared" si="4"/>
        <v>0</v>
      </c>
      <c r="M1583" s="5">
        <v>3640.9896045454534</v>
      </c>
      <c r="N1583" s="5">
        <f t="shared" si="5"/>
        <v>0</v>
      </c>
      <c r="O1583" s="5">
        <f t="shared" si="6"/>
        <v>3640.989605</v>
      </c>
      <c r="P1583" s="5">
        <f t="shared" si="9"/>
        <v>25240.79098</v>
      </c>
      <c r="Q1583" s="5">
        <f t="shared" si="7"/>
        <v>13655.93814</v>
      </c>
      <c r="R1583" s="5">
        <f t="shared" si="8"/>
        <v>11584.85284</v>
      </c>
    </row>
    <row r="1584" ht="15.75" customHeight="1">
      <c r="A1584" s="4">
        <v>2002.0</v>
      </c>
      <c r="B1584" s="4">
        <v>105.0</v>
      </c>
      <c r="C1584" s="4" t="s">
        <v>18</v>
      </c>
      <c r="D1584" s="5">
        <v>24055.896144696955</v>
      </c>
      <c r="E1584" s="5">
        <f t="shared" si="1"/>
        <v>0</v>
      </c>
      <c r="F1584" s="5">
        <f t="shared" si="2"/>
        <v>24055.89614</v>
      </c>
      <c r="G1584" s="5">
        <v>1913.027090909091</v>
      </c>
      <c r="H1584" s="5">
        <v>600.0863927272727</v>
      </c>
      <c r="I1584" s="5">
        <v>1312.9406981818183</v>
      </c>
      <c r="J1584" s="5">
        <v>87233.3787</v>
      </c>
      <c r="K1584" s="5">
        <f t="shared" si="3"/>
        <v>87233.3787</v>
      </c>
      <c r="L1584" s="5">
        <f t="shared" si="4"/>
        <v>0</v>
      </c>
      <c r="M1584" s="5">
        <v>8525.70218030303</v>
      </c>
      <c r="N1584" s="5">
        <f t="shared" si="5"/>
        <v>0</v>
      </c>
      <c r="O1584" s="5">
        <f t="shared" si="6"/>
        <v>8525.70218</v>
      </c>
      <c r="P1584" s="5">
        <f t="shared" si="9"/>
        <v>121728.0041</v>
      </c>
      <c r="Q1584" s="5">
        <f t="shared" si="7"/>
        <v>33894.53902</v>
      </c>
      <c r="R1584" s="5">
        <f t="shared" si="8"/>
        <v>87833.46509</v>
      </c>
    </row>
    <row r="1585" ht="15.75" customHeight="1">
      <c r="A1585" s="4">
        <v>2002.0</v>
      </c>
      <c r="B1585" s="4">
        <v>106.0</v>
      </c>
      <c r="C1585" s="4" t="s">
        <v>18</v>
      </c>
      <c r="D1585" s="5">
        <v>15083.966897727267</v>
      </c>
      <c r="E1585" s="5">
        <f t="shared" si="1"/>
        <v>0</v>
      </c>
      <c r="F1585" s="5">
        <f t="shared" si="2"/>
        <v>15083.9669</v>
      </c>
      <c r="G1585" s="5">
        <v>2556.072688484848</v>
      </c>
      <c r="H1585" s="5">
        <v>1795.9632576969695</v>
      </c>
      <c r="I1585" s="5">
        <v>760.1094307878786</v>
      </c>
      <c r="J1585" s="5">
        <v>119463.09167000002</v>
      </c>
      <c r="K1585" s="5">
        <f t="shared" si="3"/>
        <v>119463.0917</v>
      </c>
      <c r="L1585" s="5">
        <f t="shared" si="4"/>
        <v>0</v>
      </c>
      <c r="M1585" s="5">
        <v>78558.38999962114</v>
      </c>
      <c r="N1585" s="5">
        <f t="shared" si="5"/>
        <v>0</v>
      </c>
      <c r="O1585" s="5">
        <f t="shared" si="6"/>
        <v>78558.39</v>
      </c>
      <c r="P1585" s="5">
        <f t="shared" si="9"/>
        <v>215661.5213</v>
      </c>
      <c r="Q1585" s="5">
        <f t="shared" si="7"/>
        <v>94402.46633</v>
      </c>
      <c r="R1585" s="5">
        <f t="shared" si="8"/>
        <v>121259.0549</v>
      </c>
    </row>
    <row r="1586" ht="15.75" customHeight="1">
      <c r="A1586" s="4">
        <v>2002.0</v>
      </c>
      <c r="B1586" s="4">
        <v>107.0</v>
      </c>
      <c r="C1586" s="4" t="s">
        <v>18</v>
      </c>
      <c r="D1586" s="5">
        <v>8522.619594696967</v>
      </c>
      <c r="E1586" s="5">
        <f t="shared" si="1"/>
        <v>0</v>
      </c>
      <c r="F1586" s="5">
        <f t="shared" si="2"/>
        <v>8522.619595</v>
      </c>
      <c r="G1586" s="5" t="s">
        <v>19</v>
      </c>
      <c r="H1586" s="5" t="s">
        <v>19</v>
      </c>
      <c r="I1586" s="5" t="s">
        <v>19</v>
      </c>
      <c r="J1586" s="5">
        <v>28079.319710000007</v>
      </c>
      <c r="K1586" s="5">
        <f t="shared" si="3"/>
        <v>28079.31971</v>
      </c>
      <c r="L1586" s="5">
        <f t="shared" si="4"/>
        <v>0</v>
      </c>
      <c r="M1586" s="5">
        <v>31292.22025454545</v>
      </c>
      <c r="N1586" s="5">
        <f t="shared" si="5"/>
        <v>0</v>
      </c>
      <c r="O1586" s="5">
        <f t="shared" si="6"/>
        <v>31292.22025</v>
      </c>
      <c r="P1586" s="5">
        <f t="shared" si="9"/>
        <v>67894.15956</v>
      </c>
      <c r="Q1586" s="5">
        <f t="shared" si="7"/>
        <v>39814.83985</v>
      </c>
      <c r="R1586" s="5">
        <f t="shared" si="8"/>
        <v>28079.31971</v>
      </c>
    </row>
    <row r="1587" ht="15.75" customHeight="1">
      <c r="A1587" s="4">
        <v>2002.0</v>
      </c>
      <c r="B1587" s="4">
        <v>108.0</v>
      </c>
      <c r="C1587" s="4" t="s">
        <v>18</v>
      </c>
      <c r="D1587" s="5">
        <v>5851.723328409089</v>
      </c>
      <c r="E1587" s="5">
        <f t="shared" si="1"/>
        <v>0</v>
      </c>
      <c r="F1587" s="5">
        <f t="shared" si="2"/>
        <v>5851.723328</v>
      </c>
      <c r="G1587" s="5">
        <v>5239.009278787878</v>
      </c>
      <c r="H1587" s="5">
        <v>3407.8731721212125</v>
      </c>
      <c r="I1587" s="5">
        <v>1831.136106666666</v>
      </c>
      <c r="J1587" s="5">
        <v>8826.628200000001</v>
      </c>
      <c r="K1587" s="5">
        <f t="shared" si="3"/>
        <v>8826.6282</v>
      </c>
      <c r="L1587" s="5">
        <f t="shared" si="4"/>
        <v>0</v>
      </c>
      <c r="M1587" s="5">
        <v>44895.956904469684</v>
      </c>
      <c r="N1587" s="5">
        <f t="shared" si="5"/>
        <v>0</v>
      </c>
      <c r="O1587" s="5">
        <f t="shared" si="6"/>
        <v>44895.9569</v>
      </c>
      <c r="P1587" s="5">
        <f t="shared" si="9"/>
        <v>64813.31771</v>
      </c>
      <c r="Q1587" s="5">
        <f t="shared" si="7"/>
        <v>52578.81634</v>
      </c>
      <c r="R1587" s="5">
        <f t="shared" si="8"/>
        <v>12234.50137</v>
      </c>
    </row>
    <row r="1588" ht="15.75" customHeight="1">
      <c r="A1588" s="4">
        <v>2002.0</v>
      </c>
      <c r="B1588" s="4">
        <v>120.0</v>
      </c>
      <c r="C1588" s="4" t="s">
        <v>18</v>
      </c>
      <c r="D1588" s="5">
        <v>11247.005105303024</v>
      </c>
      <c r="E1588" s="5">
        <f t="shared" si="1"/>
        <v>0</v>
      </c>
      <c r="F1588" s="5">
        <f t="shared" si="2"/>
        <v>11247.00511</v>
      </c>
      <c r="G1588" s="5">
        <v>2557.4151636363636</v>
      </c>
      <c r="H1588" s="5">
        <v>793.4028145454545</v>
      </c>
      <c r="I1588" s="5">
        <v>1764.012349090909</v>
      </c>
      <c r="J1588" s="5">
        <v>0.0</v>
      </c>
      <c r="K1588" s="5">
        <f t="shared" si="3"/>
        <v>0</v>
      </c>
      <c r="L1588" s="5">
        <f t="shared" si="4"/>
        <v>0</v>
      </c>
      <c r="M1588" s="5">
        <v>228561.33762651507</v>
      </c>
      <c r="N1588" s="5">
        <f t="shared" si="5"/>
        <v>0</v>
      </c>
      <c r="O1588" s="5">
        <f t="shared" si="6"/>
        <v>228561.3376</v>
      </c>
      <c r="P1588" s="5">
        <f t="shared" si="9"/>
        <v>242365.7579</v>
      </c>
      <c r="Q1588" s="5">
        <f t="shared" si="7"/>
        <v>241572.3551</v>
      </c>
      <c r="R1588" s="5">
        <f t="shared" si="8"/>
        <v>793.4028145</v>
      </c>
    </row>
    <row r="1589" ht="15.75" customHeight="1">
      <c r="A1589" s="4">
        <v>2002.0</v>
      </c>
      <c r="B1589" s="4">
        <v>121.0</v>
      </c>
      <c r="C1589" s="4" t="s">
        <v>18</v>
      </c>
      <c r="D1589" s="5">
        <v>38848.88155333332</v>
      </c>
      <c r="E1589" s="5">
        <f t="shared" si="1"/>
        <v>0</v>
      </c>
      <c r="F1589" s="5">
        <f t="shared" si="2"/>
        <v>38848.88155</v>
      </c>
      <c r="G1589" s="5">
        <v>17244.09332121212</v>
      </c>
      <c r="H1589" s="5">
        <v>10051.782696969696</v>
      </c>
      <c r="I1589" s="5">
        <v>7192.310624242424</v>
      </c>
      <c r="J1589" s="5">
        <v>268551.72799000004</v>
      </c>
      <c r="K1589" s="5">
        <f t="shared" si="3"/>
        <v>268551.728</v>
      </c>
      <c r="L1589" s="5">
        <f t="shared" si="4"/>
        <v>0</v>
      </c>
      <c r="M1589" s="5">
        <v>1760042.5388029534</v>
      </c>
      <c r="N1589" s="5">
        <f t="shared" si="5"/>
        <v>0</v>
      </c>
      <c r="O1589" s="5">
        <f t="shared" si="6"/>
        <v>1760042.539</v>
      </c>
      <c r="P1589" s="5">
        <f t="shared" si="9"/>
        <v>2084687.242</v>
      </c>
      <c r="Q1589" s="5">
        <f t="shared" si="7"/>
        <v>1806083.731</v>
      </c>
      <c r="R1589" s="5">
        <f t="shared" si="8"/>
        <v>278603.5107</v>
      </c>
    </row>
    <row r="1590" ht="15.75" customHeight="1">
      <c r="A1590" s="4">
        <v>2002.0</v>
      </c>
      <c r="B1590" s="4">
        <v>122.0</v>
      </c>
      <c r="C1590" s="4" t="s">
        <v>18</v>
      </c>
      <c r="D1590" s="5">
        <v>33002.863744318165</v>
      </c>
      <c r="E1590" s="5">
        <f t="shared" si="1"/>
        <v>0</v>
      </c>
      <c r="F1590" s="5">
        <f t="shared" si="2"/>
        <v>33002.86374</v>
      </c>
      <c r="G1590" s="5">
        <v>9283.215672727272</v>
      </c>
      <c r="H1590" s="5">
        <v>4913.459054545455</v>
      </c>
      <c r="I1590" s="5">
        <v>4369.756618181817</v>
      </c>
      <c r="J1590" s="5">
        <v>3625.594916666667</v>
      </c>
      <c r="K1590" s="5">
        <f t="shared" si="3"/>
        <v>3625.594917</v>
      </c>
      <c r="L1590" s="5">
        <f t="shared" si="4"/>
        <v>0</v>
      </c>
      <c r="M1590" s="5">
        <v>233512.36956916656</v>
      </c>
      <c r="N1590" s="5">
        <f t="shared" si="5"/>
        <v>0</v>
      </c>
      <c r="O1590" s="5">
        <f t="shared" si="6"/>
        <v>233512.3696</v>
      </c>
      <c r="P1590" s="5">
        <f t="shared" si="9"/>
        <v>279424.0439</v>
      </c>
      <c r="Q1590" s="5">
        <f t="shared" si="7"/>
        <v>270884.9899</v>
      </c>
      <c r="R1590" s="5">
        <f t="shared" si="8"/>
        <v>8539.053971</v>
      </c>
    </row>
    <row r="1591" ht="15.75" customHeight="1">
      <c r="A1591" s="4">
        <v>2002.0</v>
      </c>
      <c r="B1591" s="4">
        <v>123.0</v>
      </c>
      <c r="C1591" s="4" t="s">
        <v>18</v>
      </c>
      <c r="D1591" s="5">
        <v>40395.0773090909</v>
      </c>
      <c r="E1591" s="5">
        <f t="shared" si="1"/>
        <v>0</v>
      </c>
      <c r="F1591" s="5">
        <f t="shared" si="2"/>
        <v>40395.07731</v>
      </c>
      <c r="G1591" s="5">
        <v>4265.7147939393935</v>
      </c>
      <c r="H1591" s="5">
        <v>1018.2674024242423</v>
      </c>
      <c r="I1591" s="5">
        <v>3247.447391515151</v>
      </c>
      <c r="J1591" s="5">
        <v>0.0</v>
      </c>
      <c r="K1591" s="5">
        <f t="shared" si="3"/>
        <v>0</v>
      </c>
      <c r="L1591" s="5">
        <f t="shared" si="4"/>
        <v>0</v>
      </c>
      <c r="M1591" s="5">
        <v>196319.416523106</v>
      </c>
      <c r="N1591" s="5">
        <f t="shared" si="5"/>
        <v>0</v>
      </c>
      <c r="O1591" s="5">
        <f t="shared" si="6"/>
        <v>196319.4165</v>
      </c>
      <c r="P1591" s="5">
        <f t="shared" si="9"/>
        <v>240980.2086</v>
      </c>
      <c r="Q1591" s="5">
        <f t="shared" si="7"/>
        <v>239961.9412</v>
      </c>
      <c r="R1591" s="5">
        <f t="shared" si="8"/>
        <v>1018.267402</v>
      </c>
    </row>
    <row r="1592" ht="15.75" customHeight="1">
      <c r="A1592" s="4">
        <v>2002.0</v>
      </c>
      <c r="B1592" s="4">
        <v>124.0</v>
      </c>
      <c r="C1592" s="4" t="s">
        <v>18</v>
      </c>
      <c r="D1592" s="5" t="s">
        <v>19</v>
      </c>
      <c r="E1592" s="5" t="str">
        <f t="shared" si="1"/>
        <v/>
      </c>
      <c r="F1592" s="5" t="str">
        <f t="shared" si="2"/>
        <v/>
      </c>
      <c r="G1592" s="5" t="s">
        <v>19</v>
      </c>
      <c r="H1592" s="5" t="s">
        <v>19</v>
      </c>
      <c r="I1592" s="5" t="s">
        <v>19</v>
      </c>
      <c r="J1592" s="5">
        <v>0.0</v>
      </c>
      <c r="K1592" s="5">
        <f t="shared" si="3"/>
        <v>0</v>
      </c>
      <c r="L1592" s="5">
        <f t="shared" si="4"/>
        <v>0</v>
      </c>
      <c r="M1592" s="5">
        <v>63825.34537689391</v>
      </c>
      <c r="N1592" s="5">
        <f t="shared" si="5"/>
        <v>0</v>
      </c>
      <c r="O1592" s="5">
        <f t="shared" si="6"/>
        <v>63825.34538</v>
      </c>
      <c r="P1592" s="5">
        <f t="shared" si="9"/>
        <v>63825.34538</v>
      </c>
      <c r="Q1592" s="5">
        <f t="shared" si="7"/>
        <v>63825.34538</v>
      </c>
      <c r="R1592" s="5">
        <f t="shared" si="8"/>
        <v>0</v>
      </c>
    </row>
    <row r="1593" ht="15.75" customHeight="1">
      <c r="A1593" s="4">
        <v>2002.0</v>
      </c>
      <c r="B1593" s="4">
        <v>125.0</v>
      </c>
      <c r="C1593" s="4" t="s">
        <v>18</v>
      </c>
      <c r="D1593" s="5">
        <v>25186.302174621203</v>
      </c>
      <c r="E1593" s="5">
        <f t="shared" si="1"/>
        <v>0</v>
      </c>
      <c r="F1593" s="5">
        <f t="shared" si="2"/>
        <v>25186.30217</v>
      </c>
      <c r="G1593" s="5">
        <v>3859.6160606060603</v>
      </c>
      <c r="H1593" s="5">
        <v>1923.766892121212</v>
      </c>
      <c r="I1593" s="5">
        <v>1935.8491684848482</v>
      </c>
      <c r="J1593" s="5">
        <v>39864.850696666676</v>
      </c>
      <c r="K1593" s="5">
        <f t="shared" si="3"/>
        <v>39864.8507</v>
      </c>
      <c r="L1593" s="5">
        <f t="shared" si="4"/>
        <v>0</v>
      </c>
      <c r="M1593" s="5">
        <v>364668.2173431816</v>
      </c>
      <c r="N1593" s="5">
        <f t="shared" si="5"/>
        <v>0</v>
      </c>
      <c r="O1593" s="5">
        <f t="shared" si="6"/>
        <v>364668.2173</v>
      </c>
      <c r="P1593" s="5">
        <f t="shared" si="9"/>
        <v>433578.9863</v>
      </c>
      <c r="Q1593" s="5">
        <f t="shared" si="7"/>
        <v>391790.3687</v>
      </c>
      <c r="R1593" s="5">
        <f t="shared" si="8"/>
        <v>41788.61759</v>
      </c>
    </row>
    <row r="1594" ht="15.75" customHeight="1">
      <c r="A1594" s="4">
        <v>2002.0</v>
      </c>
      <c r="B1594" s="4">
        <v>126.0</v>
      </c>
      <c r="C1594" s="4" t="s">
        <v>18</v>
      </c>
      <c r="D1594" s="5">
        <v>17590.829481439385</v>
      </c>
      <c r="E1594" s="5">
        <f t="shared" si="1"/>
        <v>0</v>
      </c>
      <c r="F1594" s="5">
        <f t="shared" si="2"/>
        <v>17590.82948</v>
      </c>
      <c r="G1594" s="5">
        <v>2966.870084848484</v>
      </c>
      <c r="H1594" s="5">
        <v>2067.411733333333</v>
      </c>
      <c r="I1594" s="5">
        <v>899.4583515151512</v>
      </c>
      <c r="J1594" s="5">
        <v>516.45165</v>
      </c>
      <c r="K1594" s="5">
        <f t="shared" si="3"/>
        <v>516.45165</v>
      </c>
      <c r="L1594" s="5">
        <f t="shared" si="4"/>
        <v>0</v>
      </c>
      <c r="M1594" s="5">
        <v>516558.3548863635</v>
      </c>
      <c r="N1594" s="5">
        <f t="shared" si="5"/>
        <v>0</v>
      </c>
      <c r="O1594" s="5">
        <f t="shared" si="6"/>
        <v>516558.3549</v>
      </c>
      <c r="P1594" s="5">
        <f t="shared" si="9"/>
        <v>537632.5061</v>
      </c>
      <c r="Q1594" s="5">
        <f t="shared" si="7"/>
        <v>535048.6427</v>
      </c>
      <c r="R1594" s="5">
        <f t="shared" si="8"/>
        <v>2583.863383</v>
      </c>
    </row>
    <row r="1595" ht="15.75" customHeight="1">
      <c r="A1595" s="4">
        <v>2002.0</v>
      </c>
      <c r="B1595" s="4">
        <v>127.0</v>
      </c>
      <c r="C1595" s="4" t="s">
        <v>18</v>
      </c>
      <c r="D1595" s="5" t="s">
        <v>19</v>
      </c>
      <c r="E1595" s="5" t="str">
        <f t="shared" si="1"/>
        <v/>
      </c>
      <c r="F1595" s="5" t="str">
        <f t="shared" si="2"/>
        <v/>
      </c>
      <c r="G1595" s="5" t="s">
        <v>19</v>
      </c>
      <c r="H1595" s="5" t="s">
        <v>19</v>
      </c>
      <c r="I1595" s="5" t="s">
        <v>19</v>
      </c>
      <c r="J1595" s="5">
        <v>0.0</v>
      </c>
      <c r="K1595" s="5">
        <f t="shared" si="3"/>
        <v>0</v>
      </c>
      <c r="L1595" s="5">
        <f t="shared" si="4"/>
        <v>0</v>
      </c>
      <c r="M1595" s="5">
        <v>331357.2956799241</v>
      </c>
      <c r="N1595" s="5">
        <f t="shared" si="5"/>
        <v>0</v>
      </c>
      <c r="O1595" s="5">
        <f t="shared" si="6"/>
        <v>331357.2957</v>
      </c>
      <c r="P1595" s="5">
        <f t="shared" si="9"/>
        <v>331357.2957</v>
      </c>
      <c r="Q1595" s="5">
        <f t="shared" si="7"/>
        <v>331357.2957</v>
      </c>
      <c r="R1595" s="5">
        <f t="shared" si="8"/>
        <v>0</v>
      </c>
    </row>
    <row r="1596" ht="15.75" customHeight="1">
      <c r="A1596" s="4">
        <v>2002.0</v>
      </c>
      <c r="B1596" s="4">
        <v>128.0</v>
      </c>
      <c r="C1596" s="4" t="s">
        <v>18</v>
      </c>
      <c r="D1596" s="5" t="s">
        <v>19</v>
      </c>
      <c r="E1596" s="5" t="str">
        <f t="shared" si="1"/>
        <v/>
      </c>
      <c r="F1596" s="5" t="str">
        <f t="shared" si="2"/>
        <v/>
      </c>
      <c r="G1596" s="5" t="s">
        <v>19</v>
      </c>
      <c r="H1596" s="5" t="s">
        <v>19</v>
      </c>
      <c r="I1596" s="5" t="s">
        <v>19</v>
      </c>
      <c r="J1596" s="5">
        <v>0.0</v>
      </c>
      <c r="K1596" s="5">
        <f t="shared" si="3"/>
        <v>0</v>
      </c>
      <c r="L1596" s="5">
        <f t="shared" si="4"/>
        <v>0</v>
      </c>
      <c r="M1596" s="5">
        <v>28750.290979545447</v>
      </c>
      <c r="N1596" s="5">
        <f t="shared" si="5"/>
        <v>0</v>
      </c>
      <c r="O1596" s="5">
        <f t="shared" si="6"/>
        <v>28750.29098</v>
      </c>
      <c r="P1596" s="5">
        <f t="shared" si="9"/>
        <v>28750.29098</v>
      </c>
      <c r="Q1596" s="5">
        <f t="shared" si="7"/>
        <v>28750.29098</v>
      </c>
      <c r="R1596" s="5">
        <f t="shared" si="8"/>
        <v>0</v>
      </c>
    </row>
    <row r="1597" ht="15.75" customHeight="1">
      <c r="A1597" s="4">
        <v>2002.0</v>
      </c>
      <c r="B1597" s="4">
        <v>300.0</v>
      </c>
      <c r="C1597" s="4" t="s">
        <v>20</v>
      </c>
      <c r="D1597" s="5">
        <v>4051.484214393938</v>
      </c>
      <c r="E1597" s="5">
        <f t="shared" si="1"/>
        <v>0</v>
      </c>
      <c r="F1597" s="5">
        <f t="shared" si="2"/>
        <v>4051.484214</v>
      </c>
      <c r="G1597" s="5">
        <v>11226.147492045455</v>
      </c>
      <c r="H1597" s="5">
        <v>6436.920285454546</v>
      </c>
      <c r="I1597" s="5">
        <v>4789.227206590909</v>
      </c>
      <c r="J1597" s="5">
        <v>192660.70661136365</v>
      </c>
      <c r="K1597" s="5">
        <f t="shared" si="3"/>
        <v>192660.7066</v>
      </c>
      <c r="L1597" s="5">
        <f t="shared" si="4"/>
        <v>0</v>
      </c>
      <c r="M1597" s="5">
        <v>3692.9740363636365</v>
      </c>
      <c r="N1597" s="5">
        <f t="shared" si="5"/>
        <v>0</v>
      </c>
      <c r="O1597" s="5">
        <f t="shared" si="6"/>
        <v>3692.974036</v>
      </c>
      <c r="P1597" s="5">
        <f t="shared" si="9"/>
        <v>211631.3124</v>
      </c>
      <c r="Q1597" s="5">
        <f t="shared" si="7"/>
        <v>12533.68546</v>
      </c>
      <c r="R1597" s="5">
        <f t="shared" si="8"/>
        <v>199097.6269</v>
      </c>
    </row>
    <row r="1598" ht="15.75" customHeight="1">
      <c r="A1598" s="4">
        <v>2002.0</v>
      </c>
      <c r="B1598" s="4">
        <v>301.0</v>
      </c>
      <c r="C1598" s="4" t="s">
        <v>20</v>
      </c>
      <c r="D1598" s="5">
        <v>4952.602419696967</v>
      </c>
      <c r="E1598" s="5">
        <f t="shared" si="1"/>
        <v>0</v>
      </c>
      <c r="F1598" s="5">
        <f t="shared" si="2"/>
        <v>4952.60242</v>
      </c>
      <c r="G1598" s="5">
        <v>4302.158616666666</v>
      </c>
      <c r="H1598" s="5">
        <v>1866.6861619696965</v>
      </c>
      <c r="I1598" s="5">
        <v>2435.472454696969</v>
      </c>
      <c r="J1598" s="5">
        <v>13677.158731818185</v>
      </c>
      <c r="K1598" s="5">
        <f t="shared" si="3"/>
        <v>13677.15873</v>
      </c>
      <c r="L1598" s="5">
        <f t="shared" si="4"/>
        <v>0</v>
      </c>
      <c r="M1598" s="5">
        <v>0.0</v>
      </c>
      <c r="N1598" s="5">
        <f t="shared" si="5"/>
        <v>0</v>
      </c>
      <c r="O1598" s="5">
        <f t="shared" si="6"/>
        <v>0</v>
      </c>
      <c r="P1598" s="5">
        <f t="shared" si="9"/>
        <v>22931.91977</v>
      </c>
      <c r="Q1598" s="5">
        <f t="shared" si="7"/>
        <v>7388.074874</v>
      </c>
      <c r="R1598" s="5">
        <f t="shared" si="8"/>
        <v>15543.84489</v>
      </c>
    </row>
    <row r="1599" ht="15.75" customHeight="1">
      <c r="A1599" s="4">
        <v>2002.0</v>
      </c>
      <c r="B1599" s="4">
        <v>302.0</v>
      </c>
      <c r="C1599" s="4" t="s">
        <v>20</v>
      </c>
      <c r="D1599" s="5">
        <v>8539.336693560605</v>
      </c>
      <c r="E1599" s="5">
        <f t="shared" si="1"/>
        <v>0</v>
      </c>
      <c r="F1599" s="5">
        <f t="shared" si="2"/>
        <v>8539.336694</v>
      </c>
      <c r="G1599" s="5">
        <v>8342.71698030303</v>
      </c>
      <c r="H1599" s="5">
        <v>5881.602520606061</v>
      </c>
      <c r="I1599" s="5">
        <v>2461.114459696969</v>
      </c>
      <c r="J1599" s="5">
        <v>118970.19170363639</v>
      </c>
      <c r="K1599" s="5">
        <f t="shared" si="3"/>
        <v>118970.1917</v>
      </c>
      <c r="L1599" s="5">
        <f t="shared" si="4"/>
        <v>0</v>
      </c>
      <c r="M1599" s="5">
        <v>6074.982782954543</v>
      </c>
      <c r="N1599" s="5">
        <f t="shared" si="5"/>
        <v>0</v>
      </c>
      <c r="O1599" s="5">
        <f t="shared" si="6"/>
        <v>6074.982783</v>
      </c>
      <c r="P1599" s="5">
        <f t="shared" si="9"/>
        <v>141927.2282</v>
      </c>
      <c r="Q1599" s="5">
        <f t="shared" si="7"/>
        <v>17075.43394</v>
      </c>
      <c r="R1599" s="5">
        <f t="shared" si="8"/>
        <v>124851.7942</v>
      </c>
    </row>
    <row r="1600" ht="15.75" customHeight="1">
      <c r="A1600" s="4">
        <v>2002.0</v>
      </c>
      <c r="B1600" s="4">
        <v>303.0</v>
      </c>
      <c r="C1600" s="4" t="s">
        <v>20</v>
      </c>
      <c r="D1600" s="5">
        <v>30623.828142424234</v>
      </c>
      <c r="E1600" s="5">
        <f t="shared" si="1"/>
        <v>0</v>
      </c>
      <c r="F1600" s="5">
        <f t="shared" si="2"/>
        <v>30623.82814</v>
      </c>
      <c r="G1600" s="5">
        <v>8191.196041666666</v>
      </c>
      <c r="H1600" s="5">
        <v>3656.575814015152</v>
      </c>
      <c r="I1600" s="5">
        <v>4534.620227651514</v>
      </c>
      <c r="J1600" s="5">
        <v>25731.47294318182</v>
      </c>
      <c r="K1600" s="5">
        <f t="shared" si="3"/>
        <v>25731.47294</v>
      </c>
      <c r="L1600" s="5">
        <f t="shared" si="4"/>
        <v>0</v>
      </c>
      <c r="M1600" s="5">
        <v>10786.156733181811</v>
      </c>
      <c r="N1600" s="5">
        <f t="shared" si="5"/>
        <v>0</v>
      </c>
      <c r="O1600" s="5">
        <f t="shared" si="6"/>
        <v>10786.15673</v>
      </c>
      <c r="P1600" s="5">
        <f t="shared" si="9"/>
        <v>75332.65386</v>
      </c>
      <c r="Q1600" s="5">
        <f t="shared" si="7"/>
        <v>45944.6051</v>
      </c>
      <c r="R1600" s="5">
        <f t="shared" si="8"/>
        <v>29388.04876</v>
      </c>
    </row>
    <row r="1601" ht="15.75" customHeight="1">
      <c r="A1601" s="4">
        <v>2002.0</v>
      </c>
      <c r="B1601" s="4">
        <v>304.0</v>
      </c>
      <c r="C1601" s="4" t="s">
        <v>20</v>
      </c>
      <c r="D1601" s="5">
        <v>28112.04983787878</v>
      </c>
      <c r="E1601" s="5">
        <f t="shared" si="1"/>
        <v>0</v>
      </c>
      <c r="F1601" s="5">
        <f t="shared" si="2"/>
        <v>28112.04984</v>
      </c>
      <c r="G1601" s="5" t="s">
        <v>19</v>
      </c>
      <c r="H1601" s="5" t="s">
        <v>19</v>
      </c>
      <c r="I1601" s="5" t="s">
        <v>19</v>
      </c>
      <c r="J1601" s="5">
        <v>0.0</v>
      </c>
      <c r="K1601" s="5">
        <f t="shared" si="3"/>
        <v>0</v>
      </c>
      <c r="L1601" s="5">
        <f t="shared" si="4"/>
        <v>0</v>
      </c>
      <c r="M1601" s="5">
        <v>1034.5996340909091</v>
      </c>
      <c r="N1601" s="5">
        <f t="shared" si="5"/>
        <v>0</v>
      </c>
      <c r="O1601" s="5">
        <f t="shared" si="6"/>
        <v>1034.599634</v>
      </c>
      <c r="P1601" s="5">
        <f t="shared" si="9"/>
        <v>29146.64947</v>
      </c>
      <c r="Q1601" s="5">
        <f t="shared" si="7"/>
        <v>29146.64947</v>
      </c>
      <c r="R1601" s="5">
        <f t="shared" si="8"/>
        <v>0</v>
      </c>
    </row>
    <row r="1602" ht="15.75" customHeight="1">
      <c r="A1602" s="4">
        <v>2002.0</v>
      </c>
      <c r="B1602" s="4">
        <v>305.0</v>
      </c>
      <c r="C1602" s="4" t="s">
        <v>20</v>
      </c>
      <c r="D1602" s="5">
        <v>64007.77425227271</v>
      </c>
      <c r="E1602" s="5">
        <f t="shared" si="1"/>
        <v>0</v>
      </c>
      <c r="F1602" s="5">
        <f t="shared" si="2"/>
        <v>64007.77425</v>
      </c>
      <c r="G1602" s="5">
        <v>8956.571039393939</v>
      </c>
      <c r="H1602" s="5">
        <v>4388.53850219697</v>
      </c>
      <c r="I1602" s="5">
        <v>4568.032537196969</v>
      </c>
      <c r="J1602" s="5">
        <v>11995.161400000003</v>
      </c>
      <c r="K1602" s="5">
        <f t="shared" si="3"/>
        <v>11995.1614</v>
      </c>
      <c r="L1602" s="5">
        <f t="shared" si="4"/>
        <v>0</v>
      </c>
      <c r="M1602" s="5">
        <v>8340.5737625</v>
      </c>
      <c r="N1602" s="5">
        <f t="shared" si="5"/>
        <v>0</v>
      </c>
      <c r="O1602" s="5">
        <f t="shared" si="6"/>
        <v>8340.573763</v>
      </c>
      <c r="P1602" s="5">
        <f t="shared" si="9"/>
        <v>93300.08045</v>
      </c>
      <c r="Q1602" s="5">
        <f t="shared" si="7"/>
        <v>76916.38055</v>
      </c>
      <c r="R1602" s="5">
        <f t="shared" si="8"/>
        <v>16383.6999</v>
      </c>
    </row>
    <row r="1603" ht="15.75" customHeight="1">
      <c r="A1603" s="4">
        <v>2002.0</v>
      </c>
      <c r="B1603" s="4">
        <v>306.0</v>
      </c>
      <c r="C1603" s="4" t="s">
        <v>20</v>
      </c>
      <c r="D1603" s="5">
        <v>4920.673034469695</v>
      </c>
      <c r="E1603" s="5">
        <f t="shared" si="1"/>
        <v>0</v>
      </c>
      <c r="F1603" s="5">
        <f t="shared" si="2"/>
        <v>4920.673034</v>
      </c>
      <c r="G1603" s="5">
        <v>3613.1916136363634</v>
      </c>
      <c r="H1603" s="5">
        <v>2529.234129545455</v>
      </c>
      <c r="I1603" s="5">
        <v>1083.9574840909086</v>
      </c>
      <c r="J1603" s="5">
        <v>122.42060090909092</v>
      </c>
      <c r="K1603" s="5">
        <f t="shared" si="3"/>
        <v>122.4206009</v>
      </c>
      <c r="L1603" s="5">
        <f t="shared" si="4"/>
        <v>0</v>
      </c>
      <c r="M1603" s="5">
        <v>9022.0732475</v>
      </c>
      <c r="N1603" s="5">
        <f t="shared" si="5"/>
        <v>0</v>
      </c>
      <c r="O1603" s="5">
        <f t="shared" si="6"/>
        <v>9022.073248</v>
      </c>
      <c r="P1603" s="5">
        <f t="shared" si="9"/>
        <v>17678.3585</v>
      </c>
      <c r="Q1603" s="5">
        <f t="shared" si="7"/>
        <v>15026.70377</v>
      </c>
      <c r="R1603" s="5">
        <f t="shared" si="8"/>
        <v>2651.65473</v>
      </c>
    </row>
    <row r="1604" ht="15.75" customHeight="1">
      <c r="A1604" s="4">
        <v>2002.0</v>
      </c>
      <c r="B1604" s="4">
        <v>307.0</v>
      </c>
      <c r="C1604" s="4" t="s">
        <v>20</v>
      </c>
      <c r="D1604" s="5" t="s">
        <v>19</v>
      </c>
      <c r="E1604" s="5" t="str">
        <f t="shared" si="1"/>
        <v/>
      </c>
      <c r="F1604" s="5" t="str">
        <f t="shared" si="2"/>
        <v/>
      </c>
      <c r="G1604" s="5" t="s">
        <v>19</v>
      </c>
      <c r="H1604" s="5" t="s">
        <v>19</v>
      </c>
      <c r="I1604" s="5" t="s">
        <v>19</v>
      </c>
      <c r="J1604" s="5">
        <v>0.0</v>
      </c>
      <c r="K1604" s="5">
        <f t="shared" si="3"/>
        <v>0</v>
      </c>
      <c r="L1604" s="5">
        <f t="shared" si="4"/>
        <v>0</v>
      </c>
      <c r="M1604" s="5">
        <v>1101.413309090909</v>
      </c>
      <c r="N1604" s="5">
        <f t="shared" si="5"/>
        <v>0</v>
      </c>
      <c r="O1604" s="5">
        <f t="shared" si="6"/>
        <v>1101.413309</v>
      </c>
      <c r="P1604" s="5">
        <f t="shared" si="9"/>
        <v>1101.413309</v>
      </c>
      <c r="Q1604" s="5">
        <f t="shared" si="7"/>
        <v>1101.413309</v>
      </c>
      <c r="R1604" s="5">
        <f t="shared" si="8"/>
        <v>0</v>
      </c>
    </row>
    <row r="1605" ht="15.75" customHeight="1">
      <c r="A1605" s="4">
        <v>2002.0</v>
      </c>
      <c r="B1605" s="4">
        <v>308.0</v>
      </c>
      <c r="C1605" s="4" t="s">
        <v>20</v>
      </c>
      <c r="D1605" s="5">
        <v>20338.30884787878</v>
      </c>
      <c r="E1605" s="5">
        <f t="shared" si="1"/>
        <v>0</v>
      </c>
      <c r="F1605" s="5">
        <f t="shared" si="2"/>
        <v>20338.30885</v>
      </c>
      <c r="G1605" s="5">
        <v>10816.911452651513</v>
      </c>
      <c r="H1605" s="5">
        <v>4179.776320075757</v>
      </c>
      <c r="I1605" s="5">
        <v>6637.135132575756</v>
      </c>
      <c r="J1605" s="5">
        <v>20608.325106818185</v>
      </c>
      <c r="K1605" s="5">
        <f t="shared" si="3"/>
        <v>20608.32511</v>
      </c>
      <c r="L1605" s="5">
        <f t="shared" si="4"/>
        <v>0</v>
      </c>
      <c r="M1605" s="5">
        <v>14057.192288636357</v>
      </c>
      <c r="N1605" s="5">
        <f t="shared" si="5"/>
        <v>0</v>
      </c>
      <c r="O1605" s="5">
        <f t="shared" si="6"/>
        <v>14057.19229</v>
      </c>
      <c r="P1605" s="5">
        <f t="shared" si="9"/>
        <v>65820.7377</v>
      </c>
      <c r="Q1605" s="5">
        <f t="shared" si="7"/>
        <v>41032.63627</v>
      </c>
      <c r="R1605" s="5">
        <f t="shared" si="8"/>
        <v>24788.10143</v>
      </c>
    </row>
    <row r="1606" ht="15.75" customHeight="1">
      <c r="A1606" s="4">
        <v>2002.0</v>
      </c>
      <c r="B1606" s="4">
        <v>309.0</v>
      </c>
      <c r="C1606" s="4" t="s">
        <v>20</v>
      </c>
      <c r="D1606" s="5" t="s">
        <v>19</v>
      </c>
      <c r="E1606" s="5" t="str">
        <f t="shared" si="1"/>
        <v/>
      </c>
      <c r="F1606" s="5" t="str">
        <f t="shared" si="2"/>
        <v/>
      </c>
      <c r="G1606" s="5">
        <v>2764.9333674242416</v>
      </c>
      <c r="H1606" s="5">
        <v>1893.364207575757</v>
      </c>
      <c r="I1606" s="5">
        <v>871.5691598484846</v>
      </c>
      <c r="J1606" s="5">
        <v>7058.730698636364</v>
      </c>
      <c r="K1606" s="5">
        <f t="shared" si="3"/>
        <v>7058.730699</v>
      </c>
      <c r="L1606" s="5">
        <f t="shared" si="4"/>
        <v>0</v>
      </c>
      <c r="M1606" s="5">
        <v>888.8243431818178</v>
      </c>
      <c r="N1606" s="5">
        <f t="shared" si="5"/>
        <v>0</v>
      </c>
      <c r="O1606" s="5">
        <f t="shared" si="6"/>
        <v>888.8243432</v>
      </c>
      <c r="P1606" s="5">
        <f t="shared" si="9"/>
        <v>10712.48841</v>
      </c>
      <c r="Q1606" s="5">
        <f t="shared" si="7"/>
        <v>1760.393503</v>
      </c>
      <c r="R1606" s="5">
        <f t="shared" si="8"/>
        <v>8952.094906</v>
      </c>
    </row>
    <row r="1607" ht="15.75" customHeight="1">
      <c r="A1607" s="4">
        <v>2002.0</v>
      </c>
      <c r="B1607" s="4">
        <v>310.0</v>
      </c>
      <c r="C1607" s="4" t="s">
        <v>20</v>
      </c>
      <c r="D1607" s="5" t="s">
        <v>19</v>
      </c>
      <c r="E1607" s="5" t="str">
        <f t="shared" si="1"/>
        <v/>
      </c>
      <c r="F1607" s="5" t="str">
        <f t="shared" si="2"/>
        <v/>
      </c>
      <c r="G1607" s="5" t="s">
        <v>19</v>
      </c>
      <c r="H1607" s="5" t="s">
        <v>19</v>
      </c>
      <c r="I1607" s="5" t="s">
        <v>19</v>
      </c>
      <c r="J1607" s="5">
        <v>16467.62831136364</v>
      </c>
      <c r="K1607" s="5">
        <f t="shared" si="3"/>
        <v>16467.62831</v>
      </c>
      <c r="L1607" s="5">
        <f t="shared" si="4"/>
        <v>0</v>
      </c>
      <c r="M1607" s="5">
        <v>629.6682704545451</v>
      </c>
      <c r="N1607" s="5">
        <f t="shared" si="5"/>
        <v>0</v>
      </c>
      <c r="O1607" s="5">
        <f t="shared" si="6"/>
        <v>629.6682705</v>
      </c>
      <c r="P1607" s="5">
        <f t="shared" si="9"/>
        <v>17097.29658</v>
      </c>
      <c r="Q1607" s="5">
        <f t="shared" si="7"/>
        <v>629.6682705</v>
      </c>
      <c r="R1607" s="5">
        <f t="shared" si="8"/>
        <v>16467.62831</v>
      </c>
    </row>
    <row r="1608" ht="15.75" customHeight="1">
      <c r="A1608" s="4">
        <v>2002.0</v>
      </c>
      <c r="B1608" s="4">
        <v>311.0</v>
      </c>
      <c r="C1608" s="4" t="s">
        <v>20</v>
      </c>
      <c r="D1608" s="5" t="s">
        <v>19</v>
      </c>
      <c r="E1608" s="5" t="str">
        <f t="shared" si="1"/>
        <v/>
      </c>
      <c r="F1608" s="5" t="str">
        <f t="shared" si="2"/>
        <v/>
      </c>
      <c r="G1608" s="5" t="s">
        <v>19</v>
      </c>
      <c r="H1608" s="5" t="s">
        <v>19</v>
      </c>
      <c r="I1608" s="5" t="s">
        <v>19</v>
      </c>
      <c r="J1608" s="5">
        <v>0.0</v>
      </c>
      <c r="K1608" s="5">
        <f t="shared" si="3"/>
        <v>0</v>
      </c>
      <c r="L1608" s="5">
        <f t="shared" si="4"/>
        <v>0</v>
      </c>
      <c r="M1608" s="5">
        <v>988.0325272727268</v>
      </c>
      <c r="N1608" s="5">
        <f t="shared" si="5"/>
        <v>0</v>
      </c>
      <c r="O1608" s="5">
        <f t="shared" si="6"/>
        <v>988.0325273</v>
      </c>
      <c r="P1608" s="5">
        <f t="shared" si="9"/>
        <v>988.0325273</v>
      </c>
      <c r="Q1608" s="5">
        <f t="shared" si="7"/>
        <v>988.0325273</v>
      </c>
      <c r="R1608" s="5">
        <f t="shared" si="8"/>
        <v>0</v>
      </c>
    </row>
    <row r="1609" ht="15.75" customHeight="1">
      <c r="A1609" s="4">
        <v>2002.0</v>
      </c>
      <c r="B1609" s="4">
        <v>312.0</v>
      </c>
      <c r="C1609" s="4" t="s">
        <v>20</v>
      </c>
      <c r="D1609" s="5">
        <v>1614.91735060606</v>
      </c>
      <c r="E1609" s="5">
        <f t="shared" si="1"/>
        <v>0</v>
      </c>
      <c r="F1609" s="5">
        <f t="shared" si="2"/>
        <v>1614.917351</v>
      </c>
      <c r="G1609" s="5" t="s">
        <v>19</v>
      </c>
      <c r="H1609" s="5" t="s">
        <v>19</v>
      </c>
      <c r="I1609" s="5" t="s">
        <v>19</v>
      </c>
      <c r="J1609" s="5">
        <v>14240.396370454546</v>
      </c>
      <c r="K1609" s="5">
        <f t="shared" si="3"/>
        <v>14240.39637</v>
      </c>
      <c r="L1609" s="5">
        <f t="shared" si="4"/>
        <v>0</v>
      </c>
      <c r="M1609" s="5">
        <v>2818.322290909091</v>
      </c>
      <c r="N1609" s="5">
        <f t="shared" si="5"/>
        <v>0</v>
      </c>
      <c r="O1609" s="5">
        <f t="shared" si="6"/>
        <v>2818.322291</v>
      </c>
      <c r="P1609" s="5">
        <f t="shared" si="9"/>
        <v>18673.63601</v>
      </c>
      <c r="Q1609" s="5">
        <f t="shared" si="7"/>
        <v>4433.239642</v>
      </c>
      <c r="R1609" s="5">
        <f t="shared" si="8"/>
        <v>14240.39637</v>
      </c>
    </row>
    <row r="1610" ht="15.75" customHeight="1">
      <c r="A1610" s="4">
        <v>2002.0</v>
      </c>
      <c r="B1610" s="4">
        <v>313.0</v>
      </c>
      <c r="C1610" s="4" t="s">
        <v>20</v>
      </c>
      <c r="D1610" s="5">
        <v>53881.90188386362</v>
      </c>
      <c r="E1610" s="5">
        <f t="shared" si="1"/>
        <v>0</v>
      </c>
      <c r="F1610" s="5">
        <f t="shared" si="2"/>
        <v>53881.90188</v>
      </c>
      <c r="G1610" s="5">
        <v>4610.380696969696</v>
      </c>
      <c r="H1610" s="5">
        <v>3047.254432575757</v>
      </c>
      <c r="I1610" s="5">
        <v>1563.126264393939</v>
      </c>
      <c r="J1610" s="5">
        <v>1054.4631590909091</v>
      </c>
      <c r="K1610" s="5">
        <f t="shared" si="3"/>
        <v>1054.463159</v>
      </c>
      <c r="L1610" s="5">
        <f t="shared" si="4"/>
        <v>0</v>
      </c>
      <c r="M1610" s="5">
        <v>4270.8110922727265</v>
      </c>
      <c r="N1610" s="5">
        <f t="shared" si="5"/>
        <v>0</v>
      </c>
      <c r="O1610" s="5">
        <f t="shared" si="6"/>
        <v>4270.811092</v>
      </c>
      <c r="P1610" s="5">
        <f t="shared" si="9"/>
        <v>63817.55683</v>
      </c>
      <c r="Q1610" s="5">
        <f t="shared" si="7"/>
        <v>59715.83924</v>
      </c>
      <c r="R1610" s="5">
        <f t="shared" si="8"/>
        <v>4101.717592</v>
      </c>
    </row>
    <row r="1611" ht="15.75" customHeight="1">
      <c r="A1611" s="4">
        <v>2002.0</v>
      </c>
      <c r="B1611" s="4">
        <v>314.0</v>
      </c>
      <c r="C1611" s="4" t="s">
        <v>20</v>
      </c>
      <c r="D1611" s="5" t="s">
        <v>19</v>
      </c>
      <c r="E1611" s="5" t="str">
        <f t="shared" si="1"/>
        <v/>
      </c>
      <c r="F1611" s="5" t="str">
        <f t="shared" si="2"/>
        <v/>
      </c>
      <c r="G1611" s="5">
        <v>3599.593580681818</v>
      </c>
      <c r="H1611" s="5">
        <v>2049.029308636363</v>
      </c>
      <c r="I1611" s="5">
        <v>1550.5642720454548</v>
      </c>
      <c r="J1611" s="5">
        <v>5536.188771363637</v>
      </c>
      <c r="K1611" s="5">
        <f t="shared" si="3"/>
        <v>5536.188771</v>
      </c>
      <c r="L1611" s="5">
        <f t="shared" si="4"/>
        <v>0</v>
      </c>
      <c r="M1611" s="5">
        <v>957.662675</v>
      </c>
      <c r="N1611" s="5">
        <f t="shared" si="5"/>
        <v>0</v>
      </c>
      <c r="O1611" s="5">
        <f t="shared" si="6"/>
        <v>957.662675</v>
      </c>
      <c r="P1611" s="5">
        <f t="shared" si="9"/>
        <v>10093.44503</v>
      </c>
      <c r="Q1611" s="5">
        <f t="shared" si="7"/>
        <v>2508.226947</v>
      </c>
      <c r="R1611" s="5">
        <f t="shared" si="8"/>
        <v>7585.21808</v>
      </c>
    </row>
    <row r="1612" ht="15.75" customHeight="1">
      <c r="A1612" s="4">
        <v>2002.0</v>
      </c>
      <c r="B1612" s="4">
        <v>320.0</v>
      </c>
      <c r="C1612" s="4" t="s">
        <v>20</v>
      </c>
      <c r="D1612" s="5">
        <v>134049.492770606</v>
      </c>
      <c r="E1612" s="5">
        <f t="shared" si="1"/>
        <v>0</v>
      </c>
      <c r="F1612" s="5">
        <f t="shared" si="2"/>
        <v>134049.4928</v>
      </c>
      <c r="G1612" s="5">
        <v>41624.22639924243</v>
      </c>
      <c r="H1612" s="5">
        <v>27659.694080303034</v>
      </c>
      <c r="I1612" s="5">
        <v>13964.532318939393</v>
      </c>
      <c r="J1612" s="5">
        <v>26760.217488636365</v>
      </c>
      <c r="K1612" s="5">
        <f t="shared" si="3"/>
        <v>26760.21749</v>
      </c>
      <c r="L1612" s="5">
        <f t="shared" si="4"/>
        <v>0</v>
      </c>
      <c r="M1612" s="5">
        <v>67736.91850909087</v>
      </c>
      <c r="N1612" s="5">
        <f t="shared" si="5"/>
        <v>0</v>
      </c>
      <c r="O1612" s="5">
        <f t="shared" si="6"/>
        <v>67736.91851</v>
      </c>
      <c r="P1612" s="5">
        <f t="shared" si="9"/>
        <v>270170.8552</v>
      </c>
      <c r="Q1612" s="5">
        <f t="shared" si="7"/>
        <v>215750.9436</v>
      </c>
      <c r="R1612" s="5">
        <f t="shared" si="8"/>
        <v>54419.91157</v>
      </c>
    </row>
    <row r="1613" ht="15.75" customHeight="1">
      <c r="A1613" s="4">
        <v>2002.0</v>
      </c>
      <c r="B1613" s="4">
        <v>321.0</v>
      </c>
      <c r="C1613" s="4" t="s">
        <v>20</v>
      </c>
      <c r="D1613" s="5">
        <v>92318.56677464393</v>
      </c>
      <c r="E1613" s="5">
        <f t="shared" si="1"/>
        <v>0</v>
      </c>
      <c r="F1613" s="5">
        <f t="shared" si="2"/>
        <v>92318.56677</v>
      </c>
      <c r="G1613" s="5">
        <v>9696.692547348484</v>
      </c>
      <c r="H1613" s="5">
        <v>6005.150362878788</v>
      </c>
      <c r="I1613" s="5">
        <v>3691.5421844696966</v>
      </c>
      <c r="J1613" s="5">
        <v>10953.043175454546</v>
      </c>
      <c r="K1613" s="5">
        <f t="shared" si="3"/>
        <v>10953.04318</v>
      </c>
      <c r="L1613" s="5">
        <f t="shared" si="4"/>
        <v>0</v>
      </c>
      <c r="M1613" s="5">
        <v>5182.109126136364</v>
      </c>
      <c r="N1613" s="5">
        <f t="shared" si="5"/>
        <v>0</v>
      </c>
      <c r="O1613" s="5">
        <f t="shared" si="6"/>
        <v>5182.109126</v>
      </c>
      <c r="P1613" s="5">
        <f t="shared" si="9"/>
        <v>118150.4116</v>
      </c>
      <c r="Q1613" s="5">
        <f t="shared" si="7"/>
        <v>101192.2181</v>
      </c>
      <c r="R1613" s="5">
        <f t="shared" si="8"/>
        <v>16958.19354</v>
      </c>
    </row>
    <row r="1614" ht="15.75" customHeight="1">
      <c r="A1614" s="4">
        <v>2002.0</v>
      </c>
      <c r="B1614" s="4">
        <v>322.0</v>
      </c>
      <c r="C1614" s="4" t="s">
        <v>20</v>
      </c>
      <c r="D1614" s="5">
        <v>33396.00832204545</v>
      </c>
      <c r="E1614" s="5">
        <f t="shared" si="1"/>
        <v>0</v>
      </c>
      <c r="F1614" s="5">
        <f t="shared" si="2"/>
        <v>33396.00832</v>
      </c>
      <c r="G1614" s="5">
        <v>995.2465071969697</v>
      </c>
      <c r="H1614" s="5">
        <v>601.9395921212123</v>
      </c>
      <c r="I1614" s="5">
        <v>393.3069150757574</v>
      </c>
      <c r="J1614" s="5">
        <v>0.0</v>
      </c>
      <c r="K1614" s="5">
        <f t="shared" si="3"/>
        <v>0</v>
      </c>
      <c r="L1614" s="5">
        <f t="shared" si="4"/>
        <v>0</v>
      </c>
      <c r="M1614" s="5">
        <v>8476.225769318178</v>
      </c>
      <c r="N1614" s="5">
        <f t="shared" si="5"/>
        <v>0</v>
      </c>
      <c r="O1614" s="5">
        <f t="shared" si="6"/>
        <v>8476.225769</v>
      </c>
      <c r="P1614" s="5">
        <f t="shared" si="9"/>
        <v>42867.4806</v>
      </c>
      <c r="Q1614" s="5">
        <f t="shared" si="7"/>
        <v>42265.54101</v>
      </c>
      <c r="R1614" s="5">
        <f t="shared" si="8"/>
        <v>601.9395921</v>
      </c>
    </row>
    <row r="1615" ht="15.75" customHeight="1">
      <c r="A1615" s="4">
        <v>2002.0</v>
      </c>
      <c r="B1615" s="4">
        <v>323.0</v>
      </c>
      <c r="C1615" s="4" t="s">
        <v>20</v>
      </c>
      <c r="D1615" s="5">
        <v>18533.234269696968</v>
      </c>
      <c r="E1615" s="5">
        <f t="shared" si="1"/>
        <v>0</v>
      </c>
      <c r="F1615" s="5">
        <f t="shared" si="2"/>
        <v>18533.23427</v>
      </c>
      <c r="G1615" s="5" t="s">
        <v>19</v>
      </c>
      <c r="H1615" s="5" t="s">
        <v>19</v>
      </c>
      <c r="I1615" s="5" t="s">
        <v>19</v>
      </c>
      <c r="J1615" s="5">
        <v>0.0</v>
      </c>
      <c r="K1615" s="5">
        <f t="shared" si="3"/>
        <v>0</v>
      </c>
      <c r="L1615" s="5">
        <f t="shared" si="4"/>
        <v>0</v>
      </c>
      <c r="M1615" s="5">
        <v>111974.25272659087</v>
      </c>
      <c r="N1615" s="5">
        <f t="shared" si="5"/>
        <v>0</v>
      </c>
      <c r="O1615" s="5">
        <f t="shared" si="6"/>
        <v>111974.2527</v>
      </c>
      <c r="P1615" s="5">
        <f t="shared" si="9"/>
        <v>130507.487</v>
      </c>
      <c r="Q1615" s="5">
        <f t="shared" si="7"/>
        <v>130507.487</v>
      </c>
      <c r="R1615" s="5">
        <f t="shared" si="8"/>
        <v>0</v>
      </c>
    </row>
    <row r="1616" ht="15.75" customHeight="1">
      <c r="A1616" s="4">
        <v>2002.0</v>
      </c>
      <c r="B1616" s="4">
        <v>324.0</v>
      </c>
      <c r="C1616" s="4" t="s">
        <v>20</v>
      </c>
      <c r="D1616" s="5">
        <v>1639.0417749999992</v>
      </c>
      <c r="E1616" s="5">
        <f t="shared" si="1"/>
        <v>0</v>
      </c>
      <c r="F1616" s="5">
        <f t="shared" si="2"/>
        <v>1639.041775</v>
      </c>
      <c r="G1616" s="5" t="s">
        <v>19</v>
      </c>
      <c r="H1616" s="5" t="s">
        <v>19</v>
      </c>
      <c r="I1616" s="5" t="s">
        <v>19</v>
      </c>
      <c r="J1616" s="5">
        <v>0.0</v>
      </c>
      <c r="K1616" s="5">
        <f t="shared" si="3"/>
        <v>0</v>
      </c>
      <c r="L1616" s="5">
        <f t="shared" si="4"/>
        <v>0</v>
      </c>
      <c r="M1616" s="5">
        <v>20969.37066590909</v>
      </c>
      <c r="N1616" s="5">
        <f t="shared" si="5"/>
        <v>0</v>
      </c>
      <c r="O1616" s="5">
        <f t="shared" si="6"/>
        <v>20969.37067</v>
      </c>
      <c r="P1616" s="5">
        <f t="shared" si="9"/>
        <v>22608.41244</v>
      </c>
      <c r="Q1616" s="5">
        <f t="shared" si="7"/>
        <v>22608.41244</v>
      </c>
      <c r="R1616" s="5">
        <f t="shared" si="8"/>
        <v>0</v>
      </c>
    </row>
    <row r="1617" ht="15.75" customHeight="1">
      <c r="A1617" s="4">
        <v>2002.0</v>
      </c>
      <c r="B1617" s="4">
        <v>325.0</v>
      </c>
      <c r="C1617" s="4" t="s">
        <v>20</v>
      </c>
      <c r="D1617" s="5">
        <v>11601.009965909088</v>
      </c>
      <c r="E1617" s="5">
        <f t="shared" si="1"/>
        <v>0</v>
      </c>
      <c r="F1617" s="5">
        <f t="shared" si="2"/>
        <v>11601.00997</v>
      </c>
      <c r="G1617" s="5" t="s">
        <v>19</v>
      </c>
      <c r="H1617" s="5" t="s">
        <v>19</v>
      </c>
      <c r="I1617" s="5" t="s">
        <v>19</v>
      </c>
      <c r="J1617" s="5">
        <v>0.0</v>
      </c>
      <c r="K1617" s="5">
        <f t="shared" si="3"/>
        <v>0</v>
      </c>
      <c r="L1617" s="5">
        <f t="shared" si="4"/>
        <v>0</v>
      </c>
      <c r="M1617" s="5">
        <v>11668.097243181815</v>
      </c>
      <c r="N1617" s="5">
        <f t="shared" si="5"/>
        <v>0</v>
      </c>
      <c r="O1617" s="5">
        <f t="shared" si="6"/>
        <v>11668.09724</v>
      </c>
      <c r="P1617" s="5">
        <f t="shared" si="9"/>
        <v>23269.10721</v>
      </c>
      <c r="Q1617" s="5">
        <f t="shared" si="7"/>
        <v>23269.10721</v>
      </c>
      <c r="R1617" s="5">
        <f t="shared" si="8"/>
        <v>0</v>
      </c>
    </row>
    <row r="1618" ht="15.75" customHeight="1">
      <c r="A1618" s="4">
        <v>2002.0</v>
      </c>
      <c r="B1618" s="4">
        <v>326.0</v>
      </c>
      <c r="C1618" s="4" t="s">
        <v>20</v>
      </c>
      <c r="D1618" s="5" t="s">
        <v>19</v>
      </c>
      <c r="E1618" s="5" t="str">
        <f t="shared" si="1"/>
        <v/>
      </c>
      <c r="F1618" s="5" t="str">
        <f t="shared" si="2"/>
        <v/>
      </c>
      <c r="G1618" s="5" t="s">
        <v>19</v>
      </c>
      <c r="H1618" s="5" t="s">
        <v>19</v>
      </c>
      <c r="I1618" s="5" t="s">
        <v>19</v>
      </c>
      <c r="J1618" s="5">
        <v>0.0</v>
      </c>
      <c r="K1618" s="5">
        <f t="shared" si="3"/>
        <v>0</v>
      </c>
      <c r="L1618" s="5">
        <f t="shared" si="4"/>
        <v>0</v>
      </c>
      <c r="M1618" s="5">
        <v>39260.12036136363</v>
      </c>
      <c r="N1618" s="5">
        <f t="shared" si="5"/>
        <v>0</v>
      </c>
      <c r="O1618" s="5">
        <f t="shared" si="6"/>
        <v>39260.12036</v>
      </c>
      <c r="P1618" s="5">
        <f t="shared" si="9"/>
        <v>39260.12036</v>
      </c>
      <c r="Q1618" s="5">
        <f t="shared" si="7"/>
        <v>39260.12036</v>
      </c>
      <c r="R1618" s="5">
        <f t="shared" si="8"/>
        <v>0</v>
      </c>
    </row>
    <row r="1619" ht="15.75" customHeight="1">
      <c r="A1619" s="4">
        <v>2002.0</v>
      </c>
      <c r="B1619" s="4">
        <v>327.0</v>
      </c>
      <c r="C1619" s="4" t="s">
        <v>20</v>
      </c>
      <c r="D1619" s="5">
        <v>167145.3648715151</v>
      </c>
      <c r="E1619" s="5">
        <f t="shared" si="1"/>
        <v>0</v>
      </c>
      <c r="F1619" s="5">
        <f t="shared" si="2"/>
        <v>167145.3649</v>
      </c>
      <c r="G1619" s="5">
        <v>12150.813732954546</v>
      </c>
      <c r="H1619" s="5">
        <v>6773.7629875</v>
      </c>
      <c r="I1619" s="5">
        <v>5377.050745454546</v>
      </c>
      <c r="J1619" s="5">
        <v>3014.2215181818183</v>
      </c>
      <c r="K1619" s="5">
        <f t="shared" si="3"/>
        <v>3014.221518</v>
      </c>
      <c r="L1619" s="5">
        <f t="shared" si="4"/>
        <v>0</v>
      </c>
      <c r="M1619" s="5">
        <v>38358.13574886363</v>
      </c>
      <c r="N1619" s="5">
        <f t="shared" si="5"/>
        <v>0</v>
      </c>
      <c r="O1619" s="5">
        <f t="shared" si="6"/>
        <v>38358.13575</v>
      </c>
      <c r="P1619" s="5">
        <f t="shared" si="9"/>
        <v>220668.5359</v>
      </c>
      <c r="Q1619" s="5">
        <f t="shared" si="7"/>
        <v>210880.5514</v>
      </c>
      <c r="R1619" s="5">
        <f t="shared" si="8"/>
        <v>9787.984506</v>
      </c>
    </row>
    <row r="1620" ht="15.75" customHeight="1">
      <c r="A1620" s="4">
        <v>2002.0</v>
      </c>
      <c r="B1620" s="4">
        <v>328.0</v>
      </c>
      <c r="C1620" s="4" t="s">
        <v>20</v>
      </c>
      <c r="D1620" s="5">
        <v>12810.778895075755</v>
      </c>
      <c r="E1620" s="5">
        <f t="shared" si="1"/>
        <v>0</v>
      </c>
      <c r="F1620" s="5">
        <f t="shared" si="2"/>
        <v>12810.7789</v>
      </c>
      <c r="G1620" s="5">
        <v>2395.8439015151516</v>
      </c>
      <c r="H1620" s="5">
        <v>1831.2017712121215</v>
      </c>
      <c r="I1620" s="5">
        <v>564.6421303030302</v>
      </c>
      <c r="J1620" s="5">
        <v>416.64154090909096</v>
      </c>
      <c r="K1620" s="5">
        <f t="shared" si="3"/>
        <v>416.6415409</v>
      </c>
      <c r="L1620" s="5">
        <f t="shared" si="4"/>
        <v>0</v>
      </c>
      <c r="M1620" s="5">
        <v>97901.06564909089</v>
      </c>
      <c r="N1620" s="5">
        <f t="shared" si="5"/>
        <v>0</v>
      </c>
      <c r="O1620" s="5">
        <f t="shared" si="6"/>
        <v>97901.06565</v>
      </c>
      <c r="P1620" s="5">
        <f t="shared" si="9"/>
        <v>113524.33</v>
      </c>
      <c r="Q1620" s="5">
        <f t="shared" si="7"/>
        <v>111276.4867</v>
      </c>
      <c r="R1620" s="5">
        <f t="shared" si="8"/>
        <v>2247.843312</v>
      </c>
    </row>
    <row r="1621" ht="15.75" customHeight="1">
      <c r="A1621" s="4">
        <v>2002.0</v>
      </c>
      <c r="B1621" s="4">
        <v>331.0</v>
      </c>
      <c r="C1621" s="4" t="s">
        <v>20</v>
      </c>
      <c r="D1621" s="5">
        <v>295863.7855761969</v>
      </c>
      <c r="E1621" s="5">
        <f t="shared" si="1"/>
        <v>0</v>
      </c>
      <c r="F1621" s="5">
        <f t="shared" si="2"/>
        <v>295863.7856</v>
      </c>
      <c r="G1621" s="5">
        <v>221562.4638090909</v>
      </c>
      <c r="H1621" s="5">
        <v>51422.32142090909</v>
      </c>
      <c r="I1621" s="5">
        <v>170140.14238818182</v>
      </c>
      <c r="J1621" s="5">
        <v>5094.857361363637</v>
      </c>
      <c r="K1621" s="5">
        <f t="shared" si="3"/>
        <v>5094.857361</v>
      </c>
      <c r="L1621" s="5">
        <f t="shared" si="4"/>
        <v>0</v>
      </c>
      <c r="M1621" s="5">
        <v>58013.50413977272</v>
      </c>
      <c r="N1621" s="5">
        <f t="shared" si="5"/>
        <v>0</v>
      </c>
      <c r="O1621" s="5">
        <f t="shared" si="6"/>
        <v>58013.50414</v>
      </c>
      <c r="P1621" s="5">
        <f t="shared" si="9"/>
        <v>580534.6109</v>
      </c>
      <c r="Q1621" s="5">
        <f t="shared" si="7"/>
        <v>524017.4321</v>
      </c>
      <c r="R1621" s="5">
        <f t="shared" si="8"/>
        <v>56517.17878</v>
      </c>
    </row>
    <row r="1622" ht="15.75" customHeight="1">
      <c r="A1622" s="4">
        <v>2002.0</v>
      </c>
      <c r="B1622" s="4">
        <v>332.0</v>
      </c>
      <c r="C1622" s="4" t="s">
        <v>20</v>
      </c>
      <c r="D1622" s="5">
        <v>979.1678136363633</v>
      </c>
      <c r="E1622" s="5">
        <f t="shared" si="1"/>
        <v>0</v>
      </c>
      <c r="F1622" s="5">
        <f t="shared" si="2"/>
        <v>979.1678136</v>
      </c>
      <c r="G1622" s="5" t="s">
        <v>19</v>
      </c>
      <c r="H1622" s="5" t="s">
        <v>19</v>
      </c>
      <c r="I1622" s="5" t="s">
        <v>19</v>
      </c>
      <c r="J1622" s="5">
        <v>0.0</v>
      </c>
      <c r="K1622" s="5">
        <f t="shared" si="3"/>
        <v>0</v>
      </c>
      <c r="L1622" s="5">
        <f t="shared" si="4"/>
        <v>0</v>
      </c>
      <c r="M1622" s="5">
        <v>134254.99361363635</v>
      </c>
      <c r="N1622" s="5">
        <f t="shared" si="5"/>
        <v>0</v>
      </c>
      <c r="O1622" s="5">
        <f t="shared" si="6"/>
        <v>134254.9936</v>
      </c>
      <c r="P1622" s="5">
        <f t="shared" si="9"/>
        <v>135234.1614</v>
      </c>
      <c r="Q1622" s="5">
        <f t="shared" si="7"/>
        <v>135234.1614</v>
      </c>
      <c r="R1622" s="5">
        <f t="shared" si="8"/>
        <v>0</v>
      </c>
    </row>
    <row r="1623" ht="15.75" customHeight="1">
      <c r="A1623" s="4">
        <v>2002.0</v>
      </c>
      <c r="B1623" s="4">
        <v>333.0</v>
      </c>
      <c r="C1623" s="4" t="s">
        <v>20</v>
      </c>
      <c r="D1623" s="5">
        <v>3391.6102530303024</v>
      </c>
      <c r="E1623" s="5">
        <f t="shared" si="1"/>
        <v>0</v>
      </c>
      <c r="F1623" s="5">
        <f t="shared" si="2"/>
        <v>3391.610253</v>
      </c>
      <c r="G1623" s="5" t="s">
        <v>19</v>
      </c>
      <c r="H1623" s="5" t="s">
        <v>19</v>
      </c>
      <c r="I1623" s="5" t="s">
        <v>19</v>
      </c>
      <c r="J1623" s="5">
        <v>0.0</v>
      </c>
      <c r="K1623" s="5">
        <f t="shared" si="3"/>
        <v>0</v>
      </c>
      <c r="L1623" s="5">
        <f t="shared" si="4"/>
        <v>0</v>
      </c>
      <c r="M1623" s="5">
        <v>5054.555746590908</v>
      </c>
      <c r="N1623" s="5">
        <f t="shared" si="5"/>
        <v>0</v>
      </c>
      <c r="O1623" s="5">
        <f t="shared" si="6"/>
        <v>5054.555747</v>
      </c>
      <c r="P1623" s="5">
        <f t="shared" si="9"/>
        <v>8446.166</v>
      </c>
      <c r="Q1623" s="5">
        <f t="shared" si="7"/>
        <v>8446.166</v>
      </c>
      <c r="R1623" s="5">
        <f t="shared" si="8"/>
        <v>0</v>
      </c>
    </row>
    <row r="1624" ht="15.75" customHeight="1">
      <c r="A1624" s="4">
        <v>2002.0</v>
      </c>
      <c r="B1624" s="4">
        <v>400.0</v>
      </c>
      <c r="C1624" s="4" t="s">
        <v>21</v>
      </c>
      <c r="D1624" s="5">
        <v>890.7121988636361</v>
      </c>
      <c r="E1624" s="5">
        <f t="shared" si="1"/>
        <v>0</v>
      </c>
      <c r="F1624" s="5">
        <f t="shared" si="2"/>
        <v>890.7121989</v>
      </c>
      <c r="G1624" s="5">
        <v>1421.0099478787877</v>
      </c>
      <c r="H1624" s="5">
        <v>1017.9989073939392</v>
      </c>
      <c r="I1624" s="5">
        <v>403.0110404848484</v>
      </c>
      <c r="J1624" s="5">
        <v>75876.75393212121</v>
      </c>
      <c r="K1624" s="5">
        <f t="shared" si="3"/>
        <v>75876.75393</v>
      </c>
      <c r="L1624" s="5">
        <f t="shared" si="4"/>
        <v>0</v>
      </c>
      <c r="M1624" s="5">
        <v>399.8970818181822</v>
      </c>
      <c r="N1624" s="5">
        <f t="shared" si="5"/>
        <v>0</v>
      </c>
      <c r="O1624" s="5">
        <f t="shared" si="6"/>
        <v>399.8970818</v>
      </c>
      <c r="P1624" s="5">
        <f t="shared" si="9"/>
        <v>78588.37316</v>
      </c>
      <c r="Q1624" s="5">
        <f t="shared" si="7"/>
        <v>1693.620321</v>
      </c>
      <c r="R1624" s="5">
        <f t="shared" si="8"/>
        <v>76894.75284</v>
      </c>
    </row>
    <row r="1625" ht="15.75" customHeight="1">
      <c r="A1625" s="4">
        <v>2002.0</v>
      </c>
      <c r="B1625" s="4">
        <v>401.0</v>
      </c>
      <c r="C1625" s="4" t="s">
        <v>21</v>
      </c>
      <c r="D1625" s="5">
        <v>451.29418075757553</v>
      </c>
      <c r="E1625" s="5">
        <f t="shared" si="1"/>
        <v>0</v>
      </c>
      <c r="F1625" s="5">
        <f t="shared" si="2"/>
        <v>451.2941808</v>
      </c>
      <c r="G1625" s="5">
        <v>3874.383287272727</v>
      </c>
      <c r="H1625" s="5">
        <v>3059.232375272727</v>
      </c>
      <c r="I1625" s="5">
        <v>815.1509120000001</v>
      </c>
      <c r="J1625" s="5">
        <v>193394.37292969698</v>
      </c>
      <c r="K1625" s="5">
        <f t="shared" si="3"/>
        <v>193394.3729</v>
      </c>
      <c r="L1625" s="5">
        <f t="shared" si="4"/>
        <v>0</v>
      </c>
      <c r="M1625" s="5">
        <v>1341.0341795454551</v>
      </c>
      <c r="N1625" s="5">
        <f t="shared" si="5"/>
        <v>0</v>
      </c>
      <c r="O1625" s="5">
        <f t="shared" si="6"/>
        <v>1341.03418</v>
      </c>
      <c r="P1625" s="5">
        <f t="shared" si="9"/>
        <v>199061.0846</v>
      </c>
      <c r="Q1625" s="5">
        <f t="shared" si="7"/>
        <v>2607.479272</v>
      </c>
      <c r="R1625" s="5">
        <f t="shared" si="8"/>
        <v>196453.6053</v>
      </c>
    </row>
    <row r="1626" ht="15.75" customHeight="1">
      <c r="A1626" s="4">
        <v>2002.0</v>
      </c>
      <c r="B1626" s="4">
        <v>402.0</v>
      </c>
      <c r="C1626" s="4" t="s">
        <v>21</v>
      </c>
      <c r="D1626" s="5">
        <v>1833.8192329545448</v>
      </c>
      <c r="E1626" s="5">
        <f t="shared" si="1"/>
        <v>0</v>
      </c>
      <c r="F1626" s="5">
        <f t="shared" si="2"/>
        <v>1833.819233</v>
      </c>
      <c r="G1626" s="5">
        <v>13716.068623030304</v>
      </c>
      <c r="H1626" s="5">
        <v>10402.974196606061</v>
      </c>
      <c r="I1626" s="5">
        <v>3313.0944264242426</v>
      </c>
      <c r="J1626" s="5">
        <v>250826.89541143941</v>
      </c>
      <c r="K1626" s="5">
        <f t="shared" si="3"/>
        <v>250826.8954</v>
      </c>
      <c r="L1626" s="5">
        <f t="shared" si="4"/>
        <v>0</v>
      </c>
      <c r="M1626" s="5">
        <v>7345.465880454547</v>
      </c>
      <c r="N1626" s="5">
        <f t="shared" si="5"/>
        <v>0</v>
      </c>
      <c r="O1626" s="5">
        <f t="shared" si="6"/>
        <v>7345.46588</v>
      </c>
      <c r="P1626" s="5">
        <f t="shared" si="9"/>
        <v>273722.2491</v>
      </c>
      <c r="Q1626" s="5">
        <f t="shared" si="7"/>
        <v>12492.37954</v>
      </c>
      <c r="R1626" s="5">
        <f t="shared" si="8"/>
        <v>261229.8696</v>
      </c>
    </row>
    <row r="1627" ht="15.75" customHeight="1">
      <c r="A1627" s="4">
        <v>2002.0</v>
      </c>
      <c r="B1627" s="4">
        <v>403.0</v>
      </c>
      <c r="C1627" s="4" t="s">
        <v>21</v>
      </c>
      <c r="D1627" s="5">
        <v>8026.88875681818</v>
      </c>
      <c r="E1627" s="5">
        <f t="shared" si="1"/>
        <v>0</v>
      </c>
      <c r="F1627" s="5">
        <f t="shared" si="2"/>
        <v>8026.888757</v>
      </c>
      <c r="G1627" s="5">
        <v>28251.7183260606</v>
      </c>
      <c r="H1627" s="5">
        <v>21741.51932630303</v>
      </c>
      <c r="I1627" s="5">
        <v>6510.198999757569</v>
      </c>
      <c r="J1627" s="5">
        <v>610733.6981310607</v>
      </c>
      <c r="K1627" s="5">
        <f t="shared" si="3"/>
        <v>610733.6981</v>
      </c>
      <c r="L1627" s="5">
        <f t="shared" si="4"/>
        <v>0</v>
      </c>
      <c r="M1627" s="5">
        <v>24303.745147499998</v>
      </c>
      <c r="N1627" s="5">
        <f t="shared" si="5"/>
        <v>0</v>
      </c>
      <c r="O1627" s="5">
        <f t="shared" si="6"/>
        <v>24303.74515</v>
      </c>
      <c r="P1627" s="5">
        <f t="shared" si="9"/>
        <v>671316.0504</v>
      </c>
      <c r="Q1627" s="5">
        <f t="shared" si="7"/>
        <v>38840.8329</v>
      </c>
      <c r="R1627" s="5">
        <f t="shared" si="8"/>
        <v>632475.2175</v>
      </c>
    </row>
    <row r="1628" ht="15.75" customHeight="1">
      <c r="A1628" s="4">
        <v>2002.0</v>
      </c>
      <c r="B1628" s="4">
        <v>404.0</v>
      </c>
      <c r="C1628" s="4" t="s">
        <v>21</v>
      </c>
      <c r="D1628" s="5">
        <v>10930.959824015148</v>
      </c>
      <c r="E1628" s="5">
        <f t="shared" si="1"/>
        <v>0</v>
      </c>
      <c r="F1628" s="5">
        <f t="shared" si="2"/>
        <v>10930.95982</v>
      </c>
      <c r="G1628" s="5">
        <v>10473.319894545453</v>
      </c>
      <c r="H1628" s="5">
        <v>7220.771097454544</v>
      </c>
      <c r="I1628" s="5">
        <v>3252.548797090909</v>
      </c>
      <c r="J1628" s="5">
        <v>449845.2305456061</v>
      </c>
      <c r="K1628" s="5">
        <f t="shared" si="3"/>
        <v>449845.2305</v>
      </c>
      <c r="L1628" s="5">
        <f t="shared" si="4"/>
        <v>0</v>
      </c>
      <c r="M1628" s="5">
        <v>4250.630188636362</v>
      </c>
      <c r="N1628" s="5">
        <f t="shared" si="5"/>
        <v>0</v>
      </c>
      <c r="O1628" s="5">
        <f t="shared" si="6"/>
        <v>4250.630189</v>
      </c>
      <c r="P1628" s="5">
        <f t="shared" si="9"/>
        <v>475500.1405</v>
      </c>
      <c r="Q1628" s="5">
        <f t="shared" si="7"/>
        <v>18434.13881</v>
      </c>
      <c r="R1628" s="5">
        <f t="shared" si="8"/>
        <v>457066.0016</v>
      </c>
    </row>
    <row r="1629" ht="15.75" customHeight="1">
      <c r="A1629" s="4">
        <v>2002.0</v>
      </c>
      <c r="B1629" s="4">
        <v>405.0</v>
      </c>
      <c r="C1629" s="4" t="s">
        <v>21</v>
      </c>
      <c r="D1629" s="5">
        <v>4457.053983333331</v>
      </c>
      <c r="E1629" s="5">
        <f t="shared" si="1"/>
        <v>0</v>
      </c>
      <c r="F1629" s="5">
        <f t="shared" si="2"/>
        <v>4457.053983</v>
      </c>
      <c r="G1629" s="5">
        <v>4658.388775757576</v>
      </c>
      <c r="H1629" s="5">
        <v>3291.749071515152</v>
      </c>
      <c r="I1629" s="5">
        <v>1366.6397042424237</v>
      </c>
      <c r="J1629" s="5">
        <v>178941.12858318182</v>
      </c>
      <c r="K1629" s="5">
        <f t="shared" si="3"/>
        <v>178941.1286</v>
      </c>
      <c r="L1629" s="5">
        <f t="shared" si="4"/>
        <v>0</v>
      </c>
      <c r="M1629" s="5">
        <v>4395.190685454545</v>
      </c>
      <c r="N1629" s="5">
        <f t="shared" si="5"/>
        <v>0</v>
      </c>
      <c r="O1629" s="5">
        <f t="shared" si="6"/>
        <v>4395.190685</v>
      </c>
      <c r="P1629" s="5">
        <f t="shared" si="9"/>
        <v>192451.762</v>
      </c>
      <c r="Q1629" s="5">
        <f t="shared" si="7"/>
        <v>10218.88437</v>
      </c>
      <c r="R1629" s="5">
        <f t="shared" si="8"/>
        <v>182232.8777</v>
      </c>
    </row>
    <row r="1630" ht="15.75" customHeight="1">
      <c r="A1630" s="4">
        <v>2002.0</v>
      </c>
      <c r="B1630" s="4">
        <v>406.0</v>
      </c>
      <c r="C1630" s="4" t="s">
        <v>21</v>
      </c>
      <c r="D1630" s="5">
        <v>2864.2509924242418</v>
      </c>
      <c r="E1630" s="5">
        <f t="shared" si="1"/>
        <v>0</v>
      </c>
      <c r="F1630" s="5">
        <f t="shared" si="2"/>
        <v>2864.250992</v>
      </c>
      <c r="G1630" s="5" t="s">
        <v>19</v>
      </c>
      <c r="H1630" s="5" t="s">
        <v>19</v>
      </c>
      <c r="I1630" s="5" t="s">
        <v>19</v>
      </c>
      <c r="J1630" s="5">
        <v>47319.394507196965</v>
      </c>
      <c r="K1630" s="5">
        <f t="shared" si="3"/>
        <v>47319.39451</v>
      </c>
      <c r="L1630" s="5">
        <f t="shared" si="4"/>
        <v>0</v>
      </c>
      <c r="M1630" s="5">
        <v>628.5738613636363</v>
      </c>
      <c r="N1630" s="5">
        <f t="shared" si="5"/>
        <v>0</v>
      </c>
      <c r="O1630" s="5">
        <f t="shared" si="6"/>
        <v>628.5738614</v>
      </c>
      <c r="P1630" s="5">
        <f t="shared" si="9"/>
        <v>50812.21936</v>
      </c>
      <c r="Q1630" s="5">
        <f t="shared" si="7"/>
        <v>3492.824854</v>
      </c>
      <c r="R1630" s="5">
        <f t="shared" si="8"/>
        <v>47319.39451</v>
      </c>
    </row>
    <row r="1631" ht="15.75" customHeight="1">
      <c r="A1631" s="4">
        <v>2002.0</v>
      </c>
      <c r="B1631" s="4">
        <v>407.0</v>
      </c>
      <c r="C1631" s="4" t="s">
        <v>21</v>
      </c>
      <c r="D1631" s="5" t="s">
        <v>19</v>
      </c>
      <c r="E1631" s="5" t="str">
        <f t="shared" si="1"/>
        <v/>
      </c>
      <c r="F1631" s="5" t="str">
        <f t="shared" si="2"/>
        <v/>
      </c>
      <c r="G1631" s="5" t="s">
        <v>19</v>
      </c>
      <c r="H1631" s="5" t="s">
        <v>19</v>
      </c>
      <c r="I1631" s="5" t="s">
        <v>19</v>
      </c>
      <c r="J1631" s="5">
        <v>113945.99121719698</v>
      </c>
      <c r="K1631" s="5">
        <f t="shared" si="3"/>
        <v>113945.9912</v>
      </c>
      <c r="L1631" s="5">
        <f t="shared" si="4"/>
        <v>0</v>
      </c>
      <c r="M1631" s="5">
        <v>270.0454431818182</v>
      </c>
      <c r="N1631" s="5">
        <f t="shared" si="5"/>
        <v>0</v>
      </c>
      <c r="O1631" s="5">
        <f t="shared" si="6"/>
        <v>270.0454432</v>
      </c>
      <c r="P1631" s="5">
        <f t="shared" si="9"/>
        <v>114216.0367</v>
      </c>
      <c r="Q1631" s="5">
        <f t="shared" si="7"/>
        <v>270.0454432</v>
      </c>
      <c r="R1631" s="5">
        <f t="shared" si="8"/>
        <v>113945.9912</v>
      </c>
    </row>
    <row r="1632" ht="15.75" customHeight="1">
      <c r="A1632" s="4">
        <v>2002.0</v>
      </c>
      <c r="B1632" s="4">
        <v>408.0</v>
      </c>
      <c r="C1632" s="4" t="s">
        <v>21</v>
      </c>
      <c r="D1632" s="5">
        <v>14845.203314393933</v>
      </c>
      <c r="E1632" s="5">
        <f t="shared" si="1"/>
        <v>0</v>
      </c>
      <c r="F1632" s="5">
        <f t="shared" si="2"/>
        <v>14845.20331</v>
      </c>
      <c r="G1632" s="5">
        <v>1681.450127272727</v>
      </c>
      <c r="H1632" s="5">
        <v>1173.99452</v>
      </c>
      <c r="I1632" s="5">
        <v>507.4556072727271</v>
      </c>
      <c r="J1632" s="5">
        <v>63647.88238276515</v>
      </c>
      <c r="K1632" s="5">
        <f t="shared" si="3"/>
        <v>63647.88238</v>
      </c>
      <c r="L1632" s="5">
        <f t="shared" si="4"/>
        <v>0</v>
      </c>
      <c r="M1632" s="5">
        <v>396.4496931818185</v>
      </c>
      <c r="N1632" s="5">
        <f t="shared" si="5"/>
        <v>0</v>
      </c>
      <c r="O1632" s="5">
        <f t="shared" si="6"/>
        <v>396.4496932</v>
      </c>
      <c r="P1632" s="5">
        <f t="shared" si="9"/>
        <v>80570.98552</v>
      </c>
      <c r="Q1632" s="5">
        <f t="shared" si="7"/>
        <v>15749.10861</v>
      </c>
      <c r="R1632" s="5">
        <f t="shared" si="8"/>
        <v>64821.8769</v>
      </c>
    </row>
    <row r="1633" ht="15.75" customHeight="1">
      <c r="A1633" s="4">
        <v>2002.0</v>
      </c>
      <c r="B1633" s="4">
        <v>409.0</v>
      </c>
      <c r="C1633" s="4" t="s">
        <v>21</v>
      </c>
      <c r="D1633" s="5">
        <v>2871.236970454545</v>
      </c>
      <c r="E1633" s="5">
        <f t="shared" si="1"/>
        <v>0</v>
      </c>
      <c r="F1633" s="5">
        <f t="shared" si="2"/>
        <v>2871.23697</v>
      </c>
      <c r="G1633" s="5" t="s">
        <v>19</v>
      </c>
      <c r="H1633" s="5" t="s">
        <v>19</v>
      </c>
      <c r="I1633" s="5" t="s">
        <v>19</v>
      </c>
      <c r="J1633" s="5">
        <v>64964.82223416667</v>
      </c>
      <c r="K1633" s="5">
        <f t="shared" si="3"/>
        <v>64964.82223</v>
      </c>
      <c r="L1633" s="5">
        <f t="shared" si="4"/>
        <v>0</v>
      </c>
      <c r="M1633" s="5">
        <v>943.4353568181823</v>
      </c>
      <c r="N1633" s="5">
        <f t="shared" si="5"/>
        <v>0</v>
      </c>
      <c r="O1633" s="5">
        <f t="shared" si="6"/>
        <v>943.4353568</v>
      </c>
      <c r="P1633" s="5">
        <f t="shared" si="9"/>
        <v>68779.49456</v>
      </c>
      <c r="Q1633" s="5">
        <f t="shared" si="7"/>
        <v>3814.672327</v>
      </c>
      <c r="R1633" s="5">
        <f t="shared" si="8"/>
        <v>64964.82223</v>
      </c>
    </row>
    <row r="1634" ht="15.75" customHeight="1">
      <c r="A1634" s="4">
        <v>2002.0</v>
      </c>
      <c r="B1634" s="4">
        <v>420.0</v>
      </c>
      <c r="C1634" s="4" t="s">
        <v>21</v>
      </c>
      <c r="D1634" s="5">
        <v>2176.132156439394</v>
      </c>
      <c r="E1634" s="5">
        <f t="shared" si="1"/>
        <v>0</v>
      </c>
      <c r="F1634" s="5">
        <f t="shared" si="2"/>
        <v>2176.132156</v>
      </c>
      <c r="G1634" s="5" t="s">
        <v>19</v>
      </c>
      <c r="H1634" s="5" t="s">
        <v>19</v>
      </c>
      <c r="I1634" s="5" t="s">
        <v>19</v>
      </c>
      <c r="J1634" s="5">
        <v>0.0</v>
      </c>
      <c r="K1634" s="5">
        <f t="shared" si="3"/>
        <v>0</v>
      </c>
      <c r="L1634" s="5">
        <f t="shared" si="4"/>
        <v>0</v>
      </c>
      <c r="M1634" s="5">
        <v>39376.68204320458</v>
      </c>
      <c r="N1634" s="5">
        <f t="shared" si="5"/>
        <v>0</v>
      </c>
      <c r="O1634" s="5">
        <f t="shared" si="6"/>
        <v>39376.68204</v>
      </c>
      <c r="P1634" s="5">
        <f t="shared" si="9"/>
        <v>41552.8142</v>
      </c>
      <c r="Q1634" s="5">
        <f t="shared" si="7"/>
        <v>41552.8142</v>
      </c>
      <c r="R1634" s="5">
        <f t="shared" si="8"/>
        <v>0</v>
      </c>
    </row>
    <row r="1635" ht="15.75" customHeight="1">
      <c r="A1635" s="4">
        <v>2002.0</v>
      </c>
      <c r="B1635" s="4">
        <v>421.0</v>
      </c>
      <c r="C1635" s="4" t="s">
        <v>21</v>
      </c>
      <c r="D1635" s="5">
        <v>2280.921826893939</v>
      </c>
      <c r="E1635" s="5">
        <f t="shared" si="1"/>
        <v>0</v>
      </c>
      <c r="F1635" s="5">
        <f t="shared" si="2"/>
        <v>2280.921827</v>
      </c>
      <c r="G1635" s="5" t="s">
        <v>19</v>
      </c>
      <c r="H1635" s="5" t="s">
        <v>19</v>
      </c>
      <c r="I1635" s="5" t="s">
        <v>19</v>
      </c>
      <c r="J1635" s="5">
        <v>0.0</v>
      </c>
      <c r="K1635" s="5">
        <f t="shared" si="3"/>
        <v>0</v>
      </c>
      <c r="L1635" s="5">
        <f t="shared" si="4"/>
        <v>0</v>
      </c>
      <c r="M1635" s="5">
        <v>82928.42751613643</v>
      </c>
      <c r="N1635" s="5">
        <f t="shared" si="5"/>
        <v>0</v>
      </c>
      <c r="O1635" s="5">
        <f t="shared" si="6"/>
        <v>82928.42752</v>
      </c>
      <c r="P1635" s="5">
        <f t="shared" si="9"/>
        <v>85209.34934</v>
      </c>
      <c r="Q1635" s="5">
        <f t="shared" si="7"/>
        <v>85209.34934</v>
      </c>
      <c r="R1635" s="5">
        <f t="shared" si="8"/>
        <v>0</v>
      </c>
    </row>
    <row r="1636" ht="15.75" customHeight="1">
      <c r="A1636" s="4">
        <v>2002.0</v>
      </c>
      <c r="B1636" s="4">
        <v>422.0</v>
      </c>
      <c r="C1636" s="4" t="s">
        <v>21</v>
      </c>
      <c r="D1636" s="5" t="s">
        <v>19</v>
      </c>
      <c r="E1636" s="5" t="str">
        <f t="shared" si="1"/>
        <v/>
      </c>
      <c r="F1636" s="5" t="str">
        <f t="shared" si="2"/>
        <v/>
      </c>
      <c r="G1636" s="5" t="s">
        <v>19</v>
      </c>
      <c r="H1636" s="5" t="s">
        <v>19</v>
      </c>
      <c r="I1636" s="5" t="s">
        <v>19</v>
      </c>
      <c r="J1636" s="5">
        <v>262.7311424242424</v>
      </c>
      <c r="K1636" s="5">
        <f t="shared" si="3"/>
        <v>262.7311424</v>
      </c>
      <c r="L1636" s="5">
        <f t="shared" si="4"/>
        <v>0</v>
      </c>
      <c r="M1636" s="5">
        <v>101716.69558431825</v>
      </c>
      <c r="N1636" s="5">
        <f t="shared" si="5"/>
        <v>0</v>
      </c>
      <c r="O1636" s="5">
        <f t="shared" si="6"/>
        <v>101716.6956</v>
      </c>
      <c r="P1636" s="5">
        <f t="shared" si="9"/>
        <v>101979.4267</v>
      </c>
      <c r="Q1636" s="5">
        <f t="shared" si="7"/>
        <v>101716.6956</v>
      </c>
      <c r="R1636" s="5">
        <f t="shared" si="8"/>
        <v>262.7311424</v>
      </c>
    </row>
    <row r="1637" ht="15.75" customHeight="1">
      <c r="A1637" s="4">
        <v>2002.0</v>
      </c>
      <c r="B1637" s="4">
        <v>423.0</v>
      </c>
      <c r="C1637" s="4" t="s">
        <v>21</v>
      </c>
      <c r="D1637" s="5">
        <v>21188.47136590908</v>
      </c>
      <c r="E1637" s="5">
        <f t="shared" si="1"/>
        <v>0</v>
      </c>
      <c r="F1637" s="5">
        <f t="shared" si="2"/>
        <v>21188.47137</v>
      </c>
      <c r="G1637" s="5">
        <v>7526.586936969696</v>
      </c>
      <c r="H1637" s="5">
        <v>4409.091140121211</v>
      </c>
      <c r="I1637" s="5">
        <v>3117.495796848485</v>
      </c>
      <c r="J1637" s="5">
        <v>105495.14297068183</v>
      </c>
      <c r="K1637" s="5">
        <f t="shared" si="3"/>
        <v>105495.143</v>
      </c>
      <c r="L1637" s="5">
        <f t="shared" si="4"/>
        <v>0</v>
      </c>
      <c r="M1637" s="5">
        <v>272253.9552552274</v>
      </c>
      <c r="N1637" s="5">
        <f t="shared" si="5"/>
        <v>0</v>
      </c>
      <c r="O1637" s="5">
        <f t="shared" si="6"/>
        <v>272253.9553</v>
      </c>
      <c r="P1637" s="5">
        <f t="shared" si="9"/>
        <v>406464.1565</v>
      </c>
      <c r="Q1637" s="5">
        <f t="shared" si="7"/>
        <v>296559.9224</v>
      </c>
      <c r="R1637" s="5">
        <f t="shared" si="8"/>
        <v>109904.2341</v>
      </c>
    </row>
    <row r="1638" ht="15.75" customHeight="1">
      <c r="A1638" s="4">
        <v>2002.0</v>
      </c>
      <c r="B1638" s="4">
        <v>424.0</v>
      </c>
      <c r="C1638" s="4" t="s">
        <v>21</v>
      </c>
      <c r="D1638" s="5">
        <v>40979.74712575755</v>
      </c>
      <c r="E1638" s="5">
        <f t="shared" si="1"/>
        <v>0</v>
      </c>
      <c r="F1638" s="5">
        <f t="shared" si="2"/>
        <v>40979.74713</v>
      </c>
      <c r="G1638" s="5">
        <v>6417.031224242424</v>
      </c>
      <c r="H1638" s="5">
        <v>4146.905743030303</v>
      </c>
      <c r="I1638" s="5">
        <v>2270.1254812121215</v>
      </c>
      <c r="J1638" s="5">
        <v>1397.0223246212122</v>
      </c>
      <c r="K1638" s="5">
        <f t="shared" si="3"/>
        <v>1397.022325</v>
      </c>
      <c r="L1638" s="5">
        <f t="shared" si="4"/>
        <v>0</v>
      </c>
      <c r="M1638" s="5">
        <v>51590.170943181816</v>
      </c>
      <c r="N1638" s="5">
        <f t="shared" si="5"/>
        <v>0</v>
      </c>
      <c r="O1638" s="5">
        <f t="shared" si="6"/>
        <v>51590.17094</v>
      </c>
      <c r="P1638" s="5">
        <f t="shared" si="9"/>
        <v>100383.9716</v>
      </c>
      <c r="Q1638" s="5">
        <f t="shared" si="7"/>
        <v>94840.04355</v>
      </c>
      <c r="R1638" s="5">
        <f t="shared" si="8"/>
        <v>5543.928068</v>
      </c>
    </row>
    <row r="1639" ht="15.75" customHeight="1">
      <c r="A1639" s="4">
        <v>2002.0</v>
      </c>
      <c r="B1639" s="4">
        <v>425.0</v>
      </c>
      <c r="C1639" s="4" t="s">
        <v>21</v>
      </c>
      <c r="D1639" s="5">
        <v>12852.802380151512</v>
      </c>
      <c r="E1639" s="5">
        <f t="shared" si="1"/>
        <v>0</v>
      </c>
      <c r="F1639" s="5">
        <f t="shared" si="2"/>
        <v>12852.80238</v>
      </c>
      <c r="G1639" s="5" t="s">
        <v>19</v>
      </c>
      <c r="H1639" s="5" t="s">
        <v>19</v>
      </c>
      <c r="I1639" s="5" t="s">
        <v>19</v>
      </c>
      <c r="J1639" s="5">
        <v>0.0</v>
      </c>
      <c r="K1639" s="5">
        <f t="shared" si="3"/>
        <v>0</v>
      </c>
      <c r="L1639" s="5">
        <f t="shared" si="4"/>
        <v>0</v>
      </c>
      <c r="M1639" s="5">
        <v>170660.6761840909</v>
      </c>
      <c r="N1639" s="5">
        <f t="shared" si="5"/>
        <v>0</v>
      </c>
      <c r="O1639" s="5">
        <f t="shared" si="6"/>
        <v>170660.6762</v>
      </c>
      <c r="P1639" s="5">
        <f t="shared" si="9"/>
        <v>183513.4786</v>
      </c>
      <c r="Q1639" s="5">
        <f t="shared" si="7"/>
        <v>183513.4786</v>
      </c>
      <c r="R1639" s="5">
        <f t="shared" si="8"/>
        <v>0</v>
      </c>
    </row>
    <row r="1640" ht="15.75" customHeight="1">
      <c r="A1640" s="4">
        <v>2002.0</v>
      </c>
      <c r="B1640" s="4">
        <v>426.0</v>
      </c>
      <c r="C1640" s="4" t="s">
        <v>21</v>
      </c>
      <c r="D1640" s="5">
        <v>1683.6207053030298</v>
      </c>
      <c r="E1640" s="5">
        <f t="shared" si="1"/>
        <v>0</v>
      </c>
      <c r="F1640" s="5">
        <f t="shared" si="2"/>
        <v>1683.620705</v>
      </c>
      <c r="G1640" s="5" t="s">
        <v>19</v>
      </c>
      <c r="H1640" s="5" t="s">
        <v>19</v>
      </c>
      <c r="I1640" s="5" t="s">
        <v>19</v>
      </c>
      <c r="J1640" s="5">
        <v>0.0</v>
      </c>
      <c r="K1640" s="5">
        <f t="shared" si="3"/>
        <v>0</v>
      </c>
      <c r="L1640" s="5">
        <f t="shared" si="4"/>
        <v>0</v>
      </c>
      <c r="M1640" s="5">
        <v>191507.6098329546</v>
      </c>
      <c r="N1640" s="5">
        <f t="shared" si="5"/>
        <v>0</v>
      </c>
      <c r="O1640" s="5">
        <f t="shared" si="6"/>
        <v>191507.6098</v>
      </c>
      <c r="P1640" s="5">
        <f t="shared" si="9"/>
        <v>193191.2305</v>
      </c>
      <c r="Q1640" s="5">
        <f t="shared" si="7"/>
        <v>193191.2305</v>
      </c>
      <c r="R1640" s="5">
        <f t="shared" si="8"/>
        <v>0</v>
      </c>
    </row>
    <row r="1641" ht="15.75" customHeight="1">
      <c r="A1641" s="4">
        <v>2002.0</v>
      </c>
      <c r="B1641" s="4">
        <v>427.0</v>
      </c>
      <c r="C1641" s="4" t="s">
        <v>21</v>
      </c>
      <c r="D1641" s="5" t="s">
        <v>19</v>
      </c>
      <c r="E1641" s="5" t="str">
        <f t="shared" si="1"/>
        <v/>
      </c>
      <c r="F1641" s="5" t="str">
        <f t="shared" si="2"/>
        <v/>
      </c>
      <c r="G1641" s="5" t="s">
        <v>19</v>
      </c>
      <c r="H1641" s="5" t="s">
        <v>19</v>
      </c>
      <c r="I1641" s="5" t="s">
        <v>19</v>
      </c>
      <c r="J1641" s="5">
        <v>0.0</v>
      </c>
      <c r="K1641" s="5">
        <f t="shared" si="3"/>
        <v>0</v>
      </c>
      <c r="L1641" s="5">
        <f t="shared" si="4"/>
        <v>0</v>
      </c>
      <c r="M1641" s="5">
        <v>352631.6599193183</v>
      </c>
      <c r="N1641" s="5">
        <f t="shared" si="5"/>
        <v>0</v>
      </c>
      <c r="O1641" s="5">
        <f t="shared" si="6"/>
        <v>352631.6599</v>
      </c>
      <c r="P1641" s="5">
        <f t="shared" si="9"/>
        <v>352631.6599</v>
      </c>
      <c r="Q1641" s="5">
        <f t="shared" si="7"/>
        <v>352631.6599</v>
      </c>
      <c r="R1641" s="5">
        <f t="shared" si="8"/>
        <v>0</v>
      </c>
    </row>
    <row r="1642" ht="15.75" customHeight="1">
      <c r="A1642" s="4">
        <v>2002.0</v>
      </c>
      <c r="B1642" s="4">
        <v>428.0</v>
      </c>
      <c r="C1642" s="4" t="s">
        <v>21</v>
      </c>
      <c r="D1642" s="5">
        <v>13070.764894696966</v>
      </c>
      <c r="E1642" s="5">
        <f t="shared" si="1"/>
        <v>0</v>
      </c>
      <c r="F1642" s="5">
        <f t="shared" si="2"/>
        <v>13070.76489</v>
      </c>
      <c r="G1642" s="5" t="s">
        <v>19</v>
      </c>
      <c r="H1642" s="5" t="s">
        <v>19</v>
      </c>
      <c r="I1642" s="5" t="s">
        <v>19</v>
      </c>
      <c r="J1642" s="5">
        <v>0.0</v>
      </c>
      <c r="K1642" s="5">
        <f t="shared" si="3"/>
        <v>0</v>
      </c>
      <c r="L1642" s="5">
        <f t="shared" si="4"/>
        <v>0</v>
      </c>
      <c r="M1642" s="5">
        <v>163200.52717500005</v>
      </c>
      <c r="N1642" s="5">
        <f t="shared" si="5"/>
        <v>0</v>
      </c>
      <c r="O1642" s="5">
        <f t="shared" si="6"/>
        <v>163200.5272</v>
      </c>
      <c r="P1642" s="5">
        <f t="shared" si="9"/>
        <v>176271.2921</v>
      </c>
      <c r="Q1642" s="5">
        <f t="shared" si="7"/>
        <v>176271.2921</v>
      </c>
      <c r="R1642" s="5">
        <f t="shared" si="8"/>
        <v>0</v>
      </c>
    </row>
    <row r="1643" ht="15.75" customHeight="1">
      <c r="A1643" s="4">
        <v>2002.0</v>
      </c>
      <c r="B1643" s="4">
        <v>429.0</v>
      </c>
      <c r="C1643" s="4" t="s">
        <v>21</v>
      </c>
      <c r="D1643" s="5">
        <v>14297.502636818177</v>
      </c>
      <c r="E1643" s="5">
        <f t="shared" si="1"/>
        <v>0</v>
      </c>
      <c r="F1643" s="5">
        <f t="shared" si="2"/>
        <v>14297.50264</v>
      </c>
      <c r="G1643" s="5">
        <v>2697.032579393939</v>
      </c>
      <c r="H1643" s="5">
        <v>1932.8957231515149</v>
      </c>
      <c r="I1643" s="5">
        <v>764.1368562424243</v>
      </c>
      <c r="J1643" s="5">
        <v>368.83410378787886</v>
      </c>
      <c r="K1643" s="5">
        <f t="shared" si="3"/>
        <v>368.8341038</v>
      </c>
      <c r="L1643" s="5">
        <f t="shared" si="4"/>
        <v>0</v>
      </c>
      <c r="M1643" s="5">
        <v>34930.55044500003</v>
      </c>
      <c r="N1643" s="5">
        <f t="shared" si="5"/>
        <v>0</v>
      </c>
      <c r="O1643" s="5">
        <f t="shared" si="6"/>
        <v>34930.55045</v>
      </c>
      <c r="P1643" s="5">
        <f t="shared" si="9"/>
        <v>52293.91977</v>
      </c>
      <c r="Q1643" s="5">
        <f t="shared" si="7"/>
        <v>49992.18994</v>
      </c>
      <c r="R1643" s="5">
        <f t="shared" si="8"/>
        <v>2301.729827</v>
      </c>
    </row>
    <row r="1644" ht="15.75" customHeight="1">
      <c r="A1644" s="4">
        <v>2002.0</v>
      </c>
      <c r="B1644" s="4">
        <v>500.0</v>
      </c>
      <c r="C1644" s="4" t="s">
        <v>22</v>
      </c>
      <c r="D1644" s="5">
        <v>17618.404942499994</v>
      </c>
      <c r="E1644" s="5">
        <f t="shared" si="1"/>
        <v>0</v>
      </c>
      <c r="F1644" s="5">
        <f t="shared" si="2"/>
        <v>17618.40494</v>
      </c>
      <c r="G1644" s="5">
        <v>36705.67834242424</v>
      </c>
      <c r="H1644" s="5">
        <v>24645.067630757574</v>
      </c>
      <c r="I1644" s="5">
        <v>12060.610711666664</v>
      </c>
      <c r="J1644" s="5">
        <v>1439859.9460917425</v>
      </c>
      <c r="K1644" s="5">
        <f t="shared" si="3"/>
        <v>1439859.946</v>
      </c>
      <c r="L1644" s="5">
        <f t="shared" si="4"/>
        <v>0</v>
      </c>
      <c r="M1644" s="5">
        <v>50793.6472387121</v>
      </c>
      <c r="N1644" s="5">
        <f t="shared" si="5"/>
        <v>0</v>
      </c>
      <c r="O1644" s="5">
        <f t="shared" si="6"/>
        <v>50793.64724</v>
      </c>
      <c r="P1644" s="5">
        <f t="shared" si="9"/>
        <v>1544977.677</v>
      </c>
      <c r="Q1644" s="5">
        <f t="shared" si="7"/>
        <v>80472.66289</v>
      </c>
      <c r="R1644" s="5">
        <f t="shared" si="8"/>
        <v>1464505.014</v>
      </c>
    </row>
    <row r="1645" ht="15.75" customHeight="1">
      <c r="A1645" s="4">
        <v>2002.0</v>
      </c>
      <c r="B1645" s="4">
        <v>501.0</v>
      </c>
      <c r="C1645" s="4" t="s">
        <v>22</v>
      </c>
      <c r="D1645" s="5">
        <v>2031.562539545454</v>
      </c>
      <c r="E1645" s="5">
        <f t="shared" si="1"/>
        <v>0</v>
      </c>
      <c r="F1645" s="5">
        <f t="shared" si="2"/>
        <v>2031.56254</v>
      </c>
      <c r="G1645" s="5" t="s">
        <v>19</v>
      </c>
      <c r="H1645" s="5" t="s">
        <v>19</v>
      </c>
      <c r="I1645" s="5" t="s">
        <v>19</v>
      </c>
      <c r="J1645" s="5">
        <v>8616.684056060607</v>
      </c>
      <c r="K1645" s="5">
        <f t="shared" si="3"/>
        <v>8616.684056</v>
      </c>
      <c r="L1645" s="5">
        <f t="shared" si="4"/>
        <v>0</v>
      </c>
      <c r="M1645" s="5">
        <v>19704.1425560606</v>
      </c>
      <c r="N1645" s="5">
        <f t="shared" si="5"/>
        <v>0</v>
      </c>
      <c r="O1645" s="5">
        <f t="shared" si="6"/>
        <v>19704.14256</v>
      </c>
      <c r="P1645" s="5">
        <f t="shared" si="9"/>
        <v>30352.38915</v>
      </c>
      <c r="Q1645" s="5">
        <f t="shared" si="7"/>
        <v>21735.7051</v>
      </c>
      <c r="R1645" s="5">
        <f t="shared" si="8"/>
        <v>8616.684056</v>
      </c>
    </row>
    <row r="1646" ht="15.75" customHeight="1">
      <c r="A1646" s="4">
        <v>2002.0</v>
      </c>
      <c r="B1646" s="4">
        <v>502.0</v>
      </c>
      <c r="C1646" s="4" t="s">
        <v>22</v>
      </c>
      <c r="D1646" s="5" t="s">
        <v>19</v>
      </c>
      <c r="E1646" s="5" t="str">
        <f t="shared" si="1"/>
        <v/>
      </c>
      <c r="F1646" s="5" t="str">
        <f t="shared" si="2"/>
        <v/>
      </c>
      <c r="G1646" s="5" t="s">
        <v>19</v>
      </c>
      <c r="H1646" s="5" t="s">
        <v>19</v>
      </c>
      <c r="I1646" s="5" t="s">
        <v>19</v>
      </c>
      <c r="J1646" s="5">
        <v>0.0</v>
      </c>
      <c r="K1646" s="5">
        <f t="shared" si="3"/>
        <v>0</v>
      </c>
      <c r="L1646" s="5">
        <f t="shared" si="4"/>
        <v>0</v>
      </c>
      <c r="M1646" s="5">
        <v>15210.134025757572</v>
      </c>
      <c r="N1646" s="5">
        <f t="shared" si="5"/>
        <v>0</v>
      </c>
      <c r="O1646" s="5">
        <f t="shared" si="6"/>
        <v>15210.13403</v>
      </c>
      <c r="P1646" s="5">
        <f t="shared" si="9"/>
        <v>15210.13403</v>
      </c>
      <c r="Q1646" s="5">
        <f t="shared" si="7"/>
        <v>15210.13403</v>
      </c>
      <c r="R1646" s="5">
        <f t="shared" si="8"/>
        <v>0</v>
      </c>
    </row>
    <row r="1647" ht="15.75" customHeight="1">
      <c r="A1647" s="4">
        <v>2002.0</v>
      </c>
      <c r="B1647" s="4">
        <v>503.0</v>
      </c>
      <c r="C1647" s="4" t="s">
        <v>22</v>
      </c>
      <c r="D1647" s="5" t="s">
        <v>19</v>
      </c>
      <c r="E1647" s="5" t="str">
        <f t="shared" si="1"/>
        <v/>
      </c>
      <c r="F1647" s="5" t="str">
        <f t="shared" si="2"/>
        <v/>
      </c>
      <c r="G1647" s="5">
        <v>8253.850962121212</v>
      </c>
      <c r="H1647" s="5">
        <v>6080.719310606061</v>
      </c>
      <c r="I1647" s="5">
        <v>2173.131651515151</v>
      </c>
      <c r="J1647" s="5">
        <v>187117.10504242426</v>
      </c>
      <c r="K1647" s="5">
        <f t="shared" si="3"/>
        <v>187117.105</v>
      </c>
      <c r="L1647" s="5">
        <f t="shared" si="4"/>
        <v>0</v>
      </c>
      <c r="M1647" s="5">
        <v>14176.975363636357</v>
      </c>
      <c r="N1647" s="5">
        <f t="shared" si="5"/>
        <v>0</v>
      </c>
      <c r="O1647" s="5">
        <f t="shared" si="6"/>
        <v>14176.97536</v>
      </c>
      <c r="P1647" s="5">
        <f t="shared" si="9"/>
        <v>209547.9314</v>
      </c>
      <c r="Q1647" s="5">
        <f t="shared" si="7"/>
        <v>16350.10702</v>
      </c>
      <c r="R1647" s="5">
        <f t="shared" si="8"/>
        <v>193197.8244</v>
      </c>
    </row>
    <row r="1648" ht="15.75" customHeight="1">
      <c r="A1648" s="4">
        <v>2002.0</v>
      </c>
      <c r="B1648" s="4">
        <v>504.0</v>
      </c>
      <c r="C1648" s="4" t="s">
        <v>22</v>
      </c>
      <c r="D1648" s="5">
        <v>4332.776534999998</v>
      </c>
      <c r="E1648" s="5">
        <f t="shared" si="1"/>
        <v>0</v>
      </c>
      <c r="F1648" s="5">
        <f t="shared" si="2"/>
        <v>4332.776535</v>
      </c>
      <c r="G1648" s="5">
        <v>8370.606171969695</v>
      </c>
      <c r="H1648" s="5">
        <v>6344.19465121212</v>
      </c>
      <c r="I1648" s="5">
        <v>2026.411520757575</v>
      </c>
      <c r="J1648" s="5">
        <v>96698.98311977275</v>
      </c>
      <c r="K1648" s="5">
        <f t="shared" si="3"/>
        <v>96698.98312</v>
      </c>
      <c r="L1648" s="5">
        <f t="shared" si="4"/>
        <v>0</v>
      </c>
      <c r="M1648" s="5">
        <v>46286.20301280302</v>
      </c>
      <c r="N1648" s="5">
        <f t="shared" si="5"/>
        <v>0</v>
      </c>
      <c r="O1648" s="5">
        <f t="shared" si="6"/>
        <v>46286.20301</v>
      </c>
      <c r="P1648" s="5">
        <f t="shared" si="9"/>
        <v>155688.5688</v>
      </c>
      <c r="Q1648" s="5">
        <f t="shared" si="7"/>
        <v>52645.39107</v>
      </c>
      <c r="R1648" s="5">
        <f t="shared" si="8"/>
        <v>103043.1778</v>
      </c>
    </row>
    <row r="1649" ht="15.75" customHeight="1">
      <c r="A1649" s="4">
        <v>2002.0</v>
      </c>
      <c r="B1649" s="4">
        <v>505.0</v>
      </c>
      <c r="C1649" s="4" t="s">
        <v>22</v>
      </c>
      <c r="D1649" s="5">
        <v>8513.079995454544</v>
      </c>
      <c r="E1649" s="5">
        <f t="shared" si="1"/>
        <v>0</v>
      </c>
      <c r="F1649" s="5">
        <f t="shared" si="2"/>
        <v>8513.079995</v>
      </c>
      <c r="G1649" s="5">
        <v>6924.326318181817</v>
      </c>
      <c r="H1649" s="5">
        <v>2972.1962090909087</v>
      </c>
      <c r="I1649" s="5">
        <v>3952.1301090909087</v>
      </c>
      <c r="J1649" s="5">
        <v>3839.816376136364</v>
      </c>
      <c r="K1649" s="5">
        <f t="shared" si="3"/>
        <v>3839.816376</v>
      </c>
      <c r="L1649" s="5">
        <f t="shared" si="4"/>
        <v>0</v>
      </c>
      <c r="M1649" s="5">
        <v>22459.618404924237</v>
      </c>
      <c r="N1649" s="5">
        <f t="shared" si="5"/>
        <v>0</v>
      </c>
      <c r="O1649" s="5">
        <f t="shared" si="6"/>
        <v>22459.6184</v>
      </c>
      <c r="P1649" s="5">
        <f t="shared" si="9"/>
        <v>41736.84109</v>
      </c>
      <c r="Q1649" s="5">
        <f t="shared" si="7"/>
        <v>34924.82851</v>
      </c>
      <c r="R1649" s="5">
        <f t="shared" si="8"/>
        <v>6812.012585</v>
      </c>
    </row>
    <row r="1650" ht="15.75" customHeight="1">
      <c r="A1650" s="4">
        <v>2002.0</v>
      </c>
      <c r="B1650" s="4">
        <v>506.0</v>
      </c>
      <c r="C1650" s="4" t="s">
        <v>22</v>
      </c>
      <c r="D1650" s="5">
        <v>16694.389874999993</v>
      </c>
      <c r="E1650" s="5">
        <f t="shared" si="1"/>
        <v>0</v>
      </c>
      <c r="F1650" s="5">
        <f t="shared" si="2"/>
        <v>16694.38988</v>
      </c>
      <c r="G1650" s="5">
        <v>18184.792655303027</v>
      </c>
      <c r="H1650" s="5">
        <v>7706.51873560606</v>
      </c>
      <c r="I1650" s="5">
        <v>10478.273919696967</v>
      </c>
      <c r="J1650" s="5">
        <v>7820.975686363637</v>
      </c>
      <c r="K1650" s="5">
        <f t="shared" si="3"/>
        <v>7820.975686</v>
      </c>
      <c r="L1650" s="5">
        <f t="shared" si="4"/>
        <v>0</v>
      </c>
      <c r="M1650" s="5">
        <v>6349.524423484847</v>
      </c>
      <c r="N1650" s="5">
        <f t="shared" si="5"/>
        <v>0</v>
      </c>
      <c r="O1650" s="5">
        <f t="shared" si="6"/>
        <v>6349.524423</v>
      </c>
      <c r="P1650" s="5">
        <f t="shared" si="9"/>
        <v>49049.68264</v>
      </c>
      <c r="Q1650" s="5">
        <f t="shared" si="7"/>
        <v>33522.18822</v>
      </c>
      <c r="R1650" s="5">
        <f t="shared" si="8"/>
        <v>15527.49442</v>
      </c>
    </row>
    <row r="1651" ht="15.75" customHeight="1">
      <c r="A1651" s="4">
        <v>2002.0</v>
      </c>
      <c r="B1651" s="4">
        <v>507.0</v>
      </c>
      <c r="C1651" s="4" t="s">
        <v>22</v>
      </c>
      <c r="D1651" s="5" t="s">
        <v>19</v>
      </c>
      <c r="E1651" s="5" t="str">
        <f t="shared" si="1"/>
        <v/>
      </c>
      <c r="F1651" s="5" t="str">
        <f t="shared" si="2"/>
        <v/>
      </c>
      <c r="G1651" s="5" t="s">
        <v>19</v>
      </c>
      <c r="H1651" s="5" t="s">
        <v>19</v>
      </c>
      <c r="I1651" s="5" t="s">
        <v>19</v>
      </c>
      <c r="J1651" s="5">
        <v>0.0</v>
      </c>
      <c r="K1651" s="5">
        <f t="shared" si="3"/>
        <v>0</v>
      </c>
      <c r="L1651" s="5">
        <f t="shared" si="4"/>
        <v>0</v>
      </c>
      <c r="M1651" s="5">
        <v>0.0</v>
      </c>
      <c r="N1651" s="5">
        <f t="shared" si="5"/>
        <v>0</v>
      </c>
      <c r="O1651" s="5">
        <f t="shared" si="6"/>
        <v>0</v>
      </c>
      <c r="P1651" s="5">
        <f t="shared" si="9"/>
        <v>0</v>
      </c>
      <c r="Q1651" s="5">
        <f t="shared" si="7"/>
        <v>0</v>
      </c>
      <c r="R1651" s="5">
        <f t="shared" si="8"/>
        <v>0</v>
      </c>
    </row>
    <row r="1652" ht="15.75" customHeight="1">
      <c r="A1652" s="4">
        <v>2002.0</v>
      </c>
      <c r="B1652" s="4">
        <v>508.0</v>
      </c>
      <c r="C1652" s="4" t="s">
        <v>22</v>
      </c>
      <c r="D1652" s="5">
        <v>59606.38373931816</v>
      </c>
      <c r="E1652" s="5">
        <f t="shared" si="1"/>
        <v>0</v>
      </c>
      <c r="F1652" s="5">
        <f t="shared" si="2"/>
        <v>59606.38374</v>
      </c>
      <c r="G1652" s="5">
        <v>58209.55840833332</v>
      </c>
      <c r="H1652" s="5">
        <v>18027.67928621212</v>
      </c>
      <c r="I1652" s="5">
        <v>40181.8791221212</v>
      </c>
      <c r="J1652" s="5">
        <v>0.0</v>
      </c>
      <c r="K1652" s="5">
        <f t="shared" si="3"/>
        <v>0</v>
      </c>
      <c r="L1652" s="5">
        <f t="shared" si="4"/>
        <v>0</v>
      </c>
      <c r="M1652" s="5">
        <v>56506.366020454516</v>
      </c>
      <c r="N1652" s="5">
        <f t="shared" si="5"/>
        <v>0</v>
      </c>
      <c r="O1652" s="5">
        <f t="shared" si="6"/>
        <v>56506.36602</v>
      </c>
      <c r="P1652" s="5">
        <f t="shared" si="9"/>
        <v>174322.3082</v>
      </c>
      <c r="Q1652" s="5">
        <f t="shared" si="7"/>
        <v>156294.6289</v>
      </c>
      <c r="R1652" s="5">
        <f t="shared" si="8"/>
        <v>18027.67929</v>
      </c>
    </row>
    <row r="1653" ht="15.75" customHeight="1">
      <c r="A1653" s="4">
        <v>2002.0</v>
      </c>
      <c r="B1653" s="4">
        <v>520.0</v>
      </c>
      <c r="C1653" s="4" t="s">
        <v>22</v>
      </c>
      <c r="D1653" s="5">
        <v>19911.854105454542</v>
      </c>
      <c r="E1653" s="5">
        <f t="shared" si="1"/>
        <v>0</v>
      </c>
      <c r="F1653" s="5">
        <f t="shared" si="2"/>
        <v>19911.85411</v>
      </c>
      <c r="G1653" s="5">
        <v>6593.632371212119</v>
      </c>
      <c r="H1653" s="5">
        <v>4655.36091060606</v>
      </c>
      <c r="I1653" s="5">
        <v>1938.271460606059</v>
      </c>
      <c r="J1653" s="5">
        <v>7321.040493560606</v>
      </c>
      <c r="K1653" s="5">
        <f t="shared" si="3"/>
        <v>7321.040494</v>
      </c>
      <c r="L1653" s="5">
        <f t="shared" si="4"/>
        <v>0</v>
      </c>
      <c r="M1653" s="5">
        <v>196520.2132310606</v>
      </c>
      <c r="N1653" s="5">
        <f t="shared" si="5"/>
        <v>0</v>
      </c>
      <c r="O1653" s="5">
        <f t="shared" si="6"/>
        <v>196520.2132</v>
      </c>
      <c r="P1653" s="5">
        <f t="shared" si="9"/>
        <v>230346.7402</v>
      </c>
      <c r="Q1653" s="5">
        <f t="shared" si="7"/>
        <v>218370.3388</v>
      </c>
      <c r="R1653" s="5">
        <f t="shared" si="8"/>
        <v>11976.4014</v>
      </c>
    </row>
    <row r="1654" ht="15.75" customHeight="1">
      <c r="A1654" s="4">
        <v>2002.0</v>
      </c>
      <c r="B1654" s="4">
        <v>521.0</v>
      </c>
      <c r="C1654" s="4" t="s">
        <v>22</v>
      </c>
      <c r="D1654" s="5">
        <v>12946.093459090904</v>
      </c>
      <c r="E1654" s="5">
        <f t="shared" si="1"/>
        <v>0</v>
      </c>
      <c r="F1654" s="5">
        <f t="shared" si="2"/>
        <v>12946.09346</v>
      </c>
      <c r="G1654" s="5">
        <v>3590.3914242424235</v>
      </c>
      <c r="H1654" s="5">
        <v>1847.8367893939392</v>
      </c>
      <c r="I1654" s="5">
        <v>1742.5546348484843</v>
      </c>
      <c r="J1654" s="5">
        <v>0.0</v>
      </c>
      <c r="K1654" s="5">
        <f t="shared" si="3"/>
        <v>0</v>
      </c>
      <c r="L1654" s="5">
        <f t="shared" si="4"/>
        <v>0</v>
      </c>
      <c r="M1654" s="5">
        <v>17884.53240113636</v>
      </c>
      <c r="N1654" s="5">
        <f t="shared" si="5"/>
        <v>0</v>
      </c>
      <c r="O1654" s="5">
        <f t="shared" si="6"/>
        <v>17884.5324</v>
      </c>
      <c r="P1654" s="5">
        <f t="shared" si="9"/>
        <v>34421.01728</v>
      </c>
      <c r="Q1654" s="5">
        <f t="shared" si="7"/>
        <v>32573.1805</v>
      </c>
      <c r="R1654" s="5">
        <f t="shared" si="8"/>
        <v>1847.836789</v>
      </c>
    </row>
    <row r="1655" ht="15.75" customHeight="1">
      <c r="A1655" s="4">
        <v>2002.0</v>
      </c>
      <c r="B1655" s="4">
        <v>522.0</v>
      </c>
      <c r="C1655" s="4" t="s">
        <v>22</v>
      </c>
      <c r="D1655" s="5" t="s">
        <v>19</v>
      </c>
      <c r="E1655" s="5" t="str">
        <f t="shared" si="1"/>
        <v/>
      </c>
      <c r="F1655" s="5" t="str">
        <f t="shared" si="2"/>
        <v/>
      </c>
      <c r="G1655" s="5" t="s">
        <v>19</v>
      </c>
      <c r="H1655" s="5" t="s">
        <v>19</v>
      </c>
      <c r="I1655" s="5" t="s">
        <v>19</v>
      </c>
      <c r="J1655" s="5">
        <v>0.0</v>
      </c>
      <c r="K1655" s="5">
        <f t="shared" si="3"/>
        <v>0</v>
      </c>
      <c r="L1655" s="5">
        <f t="shared" si="4"/>
        <v>0</v>
      </c>
      <c r="M1655" s="5">
        <v>22567.33561969696</v>
      </c>
      <c r="N1655" s="5">
        <f t="shared" si="5"/>
        <v>0</v>
      </c>
      <c r="O1655" s="5">
        <f t="shared" si="6"/>
        <v>22567.33562</v>
      </c>
      <c r="P1655" s="5">
        <f t="shared" si="9"/>
        <v>22567.33562</v>
      </c>
      <c r="Q1655" s="5">
        <f t="shared" si="7"/>
        <v>22567.33562</v>
      </c>
      <c r="R1655" s="5">
        <f t="shared" si="8"/>
        <v>0</v>
      </c>
    </row>
    <row r="1656" ht="15.75" customHeight="1">
      <c r="A1656" s="4">
        <v>2002.0</v>
      </c>
      <c r="B1656" s="4">
        <v>523.0</v>
      </c>
      <c r="C1656" s="4" t="s">
        <v>22</v>
      </c>
      <c r="D1656" s="5" t="s">
        <v>19</v>
      </c>
      <c r="E1656" s="5" t="str">
        <f t="shared" si="1"/>
        <v/>
      </c>
      <c r="F1656" s="5" t="str">
        <f t="shared" si="2"/>
        <v/>
      </c>
      <c r="G1656" s="5">
        <v>6364.171265151514</v>
      </c>
      <c r="H1656" s="5">
        <v>4714.750843939393</v>
      </c>
      <c r="I1656" s="5">
        <v>1649.4204212121203</v>
      </c>
      <c r="J1656" s="5">
        <v>0.0</v>
      </c>
      <c r="K1656" s="5">
        <f t="shared" si="3"/>
        <v>0</v>
      </c>
      <c r="L1656" s="5">
        <f t="shared" si="4"/>
        <v>0</v>
      </c>
      <c r="M1656" s="5">
        <v>94962.56994393936</v>
      </c>
      <c r="N1656" s="5">
        <f t="shared" si="5"/>
        <v>0</v>
      </c>
      <c r="O1656" s="5">
        <f t="shared" si="6"/>
        <v>94962.56994</v>
      </c>
      <c r="P1656" s="5">
        <f t="shared" si="9"/>
        <v>101326.7412</v>
      </c>
      <c r="Q1656" s="5">
        <f t="shared" si="7"/>
        <v>96611.99037</v>
      </c>
      <c r="R1656" s="5">
        <f t="shared" si="8"/>
        <v>4714.750844</v>
      </c>
    </row>
    <row r="1657" ht="15.75" customHeight="1">
      <c r="A1657" s="4">
        <v>2002.0</v>
      </c>
      <c r="B1657" s="4">
        <v>524.0</v>
      </c>
      <c r="C1657" s="4" t="s">
        <v>22</v>
      </c>
      <c r="D1657" s="5">
        <v>3571.8229499999993</v>
      </c>
      <c r="E1657" s="5">
        <f t="shared" si="1"/>
        <v>0</v>
      </c>
      <c r="F1657" s="5">
        <f t="shared" si="2"/>
        <v>3571.82295</v>
      </c>
      <c r="G1657" s="5">
        <v>6202.19871969697</v>
      </c>
      <c r="H1657" s="5">
        <v>3601.189593939394</v>
      </c>
      <c r="I1657" s="5">
        <v>2601.0091257575764</v>
      </c>
      <c r="J1657" s="5">
        <v>806.1782166666667</v>
      </c>
      <c r="K1657" s="5">
        <f t="shared" si="3"/>
        <v>806.1782167</v>
      </c>
      <c r="L1657" s="5">
        <f t="shared" si="4"/>
        <v>0</v>
      </c>
      <c r="M1657" s="5">
        <v>164774.90761287877</v>
      </c>
      <c r="N1657" s="5">
        <f t="shared" si="5"/>
        <v>0</v>
      </c>
      <c r="O1657" s="5">
        <f t="shared" si="6"/>
        <v>164774.9076</v>
      </c>
      <c r="P1657" s="5">
        <f t="shared" si="9"/>
        <v>175355.1075</v>
      </c>
      <c r="Q1657" s="5">
        <f t="shared" si="7"/>
        <v>170947.7397</v>
      </c>
      <c r="R1657" s="5">
        <f t="shared" si="8"/>
        <v>4407.367811</v>
      </c>
    </row>
    <row r="1658" ht="15.75" customHeight="1">
      <c r="A1658" s="4">
        <v>2002.0</v>
      </c>
      <c r="B1658" s="4">
        <v>525.0</v>
      </c>
      <c r="C1658" s="4" t="s">
        <v>22</v>
      </c>
      <c r="D1658" s="5" t="s">
        <v>19</v>
      </c>
      <c r="E1658" s="5" t="str">
        <f t="shared" si="1"/>
        <v/>
      </c>
      <c r="F1658" s="5" t="str">
        <f t="shared" si="2"/>
        <v/>
      </c>
      <c r="G1658" s="5" t="s">
        <v>19</v>
      </c>
      <c r="H1658" s="5" t="s">
        <v>19</v>
      </c>
      <c r="I1658" s="5" t="s">
        <v>19</v>
      </c>
      <c r="J1658" s="5">
        <v>0.0</v>
      </c>
      <c r="K1658" s="5">
        <f t="shared" si="3"/>
        <v>0</v>
      </c>
      <c r="L1658" s="5">
        <f t="shared" si="4"/>
        <v>0</v>
      </c>
      <c r="M1658" s="5">
        <v>15133.689550757568</v>
      </c>
      <c r="N1658" s="5">
        <f t="shared" si="5"/>
        <v>0</v>
      </c>
      <c r="O1658" s="5">
        <f t="shared" si="6"/>
        <v>15133.68955</v>
      </c>
      <c r="P1658" s="5">
        <f t="shared" si="9"/>
        <v>15133.68955</v>
      </c>
      <c r="Q1658" s="5">
        <f t="shared" si="7"/>
        <v>15133.68955</v>
      </c>
      <c r="R1658" s="5">
        <f t="shared" si="8"/>
        <v>0</v>
      </c>
    </row>
    <row r="1659" ht="15.75" customHeight="1">
      <c r="A1659" s="4">
        <v>2002.0</v>
      </c>
      <c r="B1659" s="4">
        <v>526.0</v>
      </c>
      <c r="C1659" s="4" t="s">
        <v>22</v>
      </c>
      <c r="D1659" s="5" t="s">
        <v>19</v>
      </c>
      <c r="E1659" s="5" t="str">
        <f t="shared" si="1"/>
        <v/>
      </c>
      <c r="F1659" s="5" t="str">
        <f t="shared" si="2"/>
        <v/>
      </c>
      <c r="G1659" s="5" t="s">
        <v>19</v>
      </c>
      <c r="H1659" s="5" t="s">
        <v>19</v>
      </c>
      <c r="I1659" s="5" t="s">
        <v>19</v>
      </c>
      <c r="J1659" s="5">
        <v>0.0</v>
      </c>
      <c r="K1659" s="5">
        <f t="shared" si="3"/>
        <v>0</v>
      </c>
      <c r="L1659" s="5">
        <f t="shared" si="4"/>
        <v>0</v>
      </c>
      <c r="M1659" s="5">
        <v>0.0</v>
      </c>
      <c r="N1659" s="5">
        <f t="shared" si="5"/>
        <v>0</v>
      </c>
      <c r="O1659" s="5">
        <f t="shared" si="6"/>
        <v>0</v>
      </c>
      <c r="P1659" s="5">
        <f t="shared" si="9"/>
        <v>0</v>
      </c>
      <c r="Q1659" s="5">
        <f t="shared" si="7"/>
        <v>0</v>
      </c>
      <c r="R1659" s="5">
        <f t="shared" si="8"/>
        <v>0</v>
      </c>
    </row>
    <row r="1660" ht="15.75" customHeight="1">
      <c r="A1660" s="4">
        <v>2002.0</v>
      </c>
      <c r="B1660" s="4">
        <v>527.0</v>
      </c>
      <c r="C1660" s="4" t="s">
        <v>22</v>
      </c>
      <c r="D1660" s="5" t="s">
        <v>19</v>
      </c>
      <c r="E1660" s="5" t="str">
        <f t="shared" si="1"/>
        <v/>
      </c>
      <c r="F1660" s="5" t="str">
        <f t="shared" si="2"/>
        <v/>
      </c>
      <c r="G1660" s="5" t="s">
        <v>19</v>
      </c>
      <c r="H1660" s="5" t="s">
        <v>19</v>
      </c>
      <c r="I1660" s="5" t="s">
        <v>19</v>
      </c>
      <c r="J1660" s="5">
        <v>0.0</v>
      </c>
      <c r="K1660" s="5">
        <f t="shared" si="3"/>
        <v>0</v>
      </c>
      <c r="L1660" s="5">
        <f t="shared" si="4"/>
        <v>0</v>
      </c>
      <c r="M1660" s="5">
        <v>4408.298058333332</v>
      </c>
      <c r="N1660" s="5">
        <f t="shared" si="5"/>
        <v>0</v>
      </c>
      <c r="O1660" s="5">
        <f t="shared" si="6"/>
        <v>4408.298058</v>
      </c>
      <c r="P1660" s="5">
        <f t="shared" si="9"/>
        <v>4408.298058</v>
      </c>
      <c r="Q1660" s="5">
        <f t="shared" si="7"/>
        <v>4408.298058</v>
      </c>
      <c r="R1660" s="5">
        <f t="shared" si="8"/>
        <v>0</v>
      </c>
    </row>
    <row r="1661" ht="15.75" customHeight="1">
      <c r="A1661" s="4">
        <v>2002.0</v>
      </c>
      <c r="B1661" s="4">
        <v>528.0</v>
      </c>
      <c r="C1661" s="4" t="s">
        <v>22</v>
      </c>
      <c r="D1661" s="5" t="s">
        <v>19</v>
      </c>
      <c r="E1661" s="5" t="str">
        <f t="shared" si="1"/>
        <v/>
      </c>
      <c r="F1661" s="5" t="str">
        <f t="shared" si="2"/>
        <v/>
      </c>
      <c r="G1661" s="5">
        <v>4501.486992424241</v>
      </c>
      <c r="H1661" s="5">
        <v>1625.1245393939391</v>
      </c>
      <c r="I1661" s="5">
        <v>2876.3624530303023</v>
      </c>
      <c r="J1661" s="5">
        <v>0.0</v>
      </c>
      <c r="K1661" s="5">
        <f t="shared" si="3"/>
        <v>0</v>
      </c>
      <c r="L1661" s="5">
        <f t="shared" si="4"/>
        <v>0</v>
      </c>
      <c r="M1661" s="5">
        <v>10680.683057045451</v>
      </c>
      <c r="N1661" s="5">
        <f t="shared" si="5"/>
        <v>0</v>
      </c>
      <c r="O1661" s="5">
        <f t="shared" si="6"/>
        <v>10680.68306</v>
      </c>
      <c r="P1661" s="5">
        <f t="shared" si="9"/>
        <v>15182.17005</v>
      </c>
      <c r="Q1661" s="5">
        <f t="shared" si="7"/>
        <v>13557.04551</v>
      </c>
      <c r="R1661" s="5">
        <f t="shared" si="8"/>
        <v>1625.124539</v>
      </c>
    </row>
    <row r="1662" ht="15.75" customHeight="1">
      <c r="A1662" s="4">
        <v>2001.0</v>
      </c>
      <c r="B1662" s="4">
        <v>100.0</v>
      </c>
      <c r="C1662" s="4" t="s">
        <v>18</v>
      </c>
      <c r="D1662" s="5">
        <v>223.828030737463</v>
      </c>
      <c r="E1662" s="5">
        <f t="shared" si="1"/>
        <v>0</v>
      </c>
      <c r="F1662" s="5">
        <f t="shared" si="2"/>
        <v>223.8280307</v>
      </c>
      <c r="G1662" s="5">
        <v>2385.2338152212387</v>
      </c>
      <c r="H1662" s="5">
        <v>1635.006427185841</v>
      </c>
      <c r="I1662" s="5">
        <v>750.2273880353978</v>
      </c>
      <c r="J1662" s="5">
        <v>89946.07249946904</v>
      </c>
      <c r="K1662" s="5">
        <f t="shared" si="3"/>
        <v>89946.0725</v>
      </c>
      <c r="L1662" s="5">
        <f t="shared" si="4"/>
        <v>0</v>
      </c>
      <c r="M1662" s="5">
        <v>49743.319218820034</v>
      </c>
      <c r="N1662" s="5">
        <f t="shared" si="5"/>
        <v>0</v>
      </c>
      <c r="O1662" s="5">
        <f t="shared" si="6"/>
        <v>49743.31922</v>
      </c>
      <c r="P1662" s="5">
        <f t="shared" si="9"/>
        <v>142298.4536</v>
      </c>
      <c r="Q1662" s="5">
        <f t="shared" si="7"/>
        <v>50717.37464</v>
      </c>
      <c r="R1662" s="5">
        <f t="shared" si="8"/>
        <v>91581.07893</v>
      </c>
    </row>
    <row r="1663" ht="15.75" customHeight="1">
      <c r="A1663" s="4">
        <v>2001.0</v>
      </c>
      <c r="B1663" s="4">
        <v>101.0</v>
      </c>
      <c r="C1663" s="4" t="s">
        <v>18</v>
      </c>
      <c r="D1663" s="5">
        <v>11256.383868377572</v>
      </c>
      <c r="E1663" s="5">
        <f t="shared" si="1"/>
        <v>0</v>
      </c>
      <c r="F1663" s="5">
        <f t="shared" si="2"/>
        <v>11256.38387</v>
      </c>
      <c r="G1663" s="5">
        <v>11212.637592920355</v>
      </c>
      <c r="H1663" s="5">
        <v>5912.118003539823</v>
      </c>
      <c r="I1663" s="5">
        <v>5300.519589380532</v>
      </c>
      <c r="J1663" s="5">
        <v>617771.2370665488</v>
      </c>
      <c r="K1663" s="5">
        <f t="shared" si="3"/>
        <v>617771.2371</v>
      </c>
      <c r="L1663" s="5">
        <f t="shared" si="4"/>
        <v>0</v>
      </c>
      <c r="M1663" s="5">
        <v>214891.21510578156</v>
      </c>
      <c r="N1663" s="5">
        <f t="shared" si="5"/>
        <v>0</v>
      </c>
      <c r="O1663" s="5">
        <f t="shared" si="6"/>
        <v>214891.2151</v>
      </c>
      <c r="P1663" s="5">
        <f t="shared" si="9"/>
        <v>855131.4736</v>
      </c>
      <c r="Q1663" s="5">
        <f t="shared" si="7"/>
        <v>231448.1186</v>
      </c>
      <c r="R1663" s="5">
        <f t="shared" si="8"/>
        <v>623683.3551</v>
      </c>
    </row>
    <row r="1664" ht="15.75" customHeight="1">
      <c r="A1664" s="4">
        <v>2001.0</v>
      </c>
      <c r="B1664" s="4">
        <v>102.0</v>
      </c>
      <c r="C1664" s="4" t="s">
        <v>18</v>
      </c>
      <c r="D1664" s="5">
        <v>29574.181093569303</v>
      </c>
      <c r="E1664" s="5">
        <f t="shared" si="1"/>
        <v>0</v>
      </c>
      <c r="F1664" s="5">
        <f t="shared" si="2"/>
        <v>29574.18109</v>
      </c>
      <c r="G1664" s="5">
        <v>13842.510773805312</v>
      </c>
      <c r="H1664" s="5">
        <v>4819.395503575222</v>
      </c>
      <c r="I1664" s="5">
        <v>9023.11527023009</v>
      </c>
      <c r="J1664" s="5">
        <v>189266.47878359884</v>
      </c>
      <c r="K1664" s="5">
        <f t="shared" si="3"/>
        <v>189266.4788</v>
      </c>
      <c r="L1664" s="5">
        <f t="shared" si="4"/>
        <v>0</v>
      </c>
      <c r="M1664" s="5">
        <v>124401.09331651911</v>
      </c>
      <c r="N1664" s="5">
        <f t="shared" si="5"/>
        <v>0</v>
      </c>
      <c r="O1664" s="5">
        <f t="shared" si="6"/>
        <v>124401.0933</v>
      </c>
      <c r="P1664" s="5">
        <f t="shared" si="9"/>
        <v>357084.264</v>
      </c>
      <c r="Q1664" s="5">
        <f t="shared" si="7"/>
        <v>162998.3897</v>
      </c>
      <c r="R1664" s="5">
        <f t="shared" si="8"/>
        <v>194085.8743</v>
      </c>
    </row>
    <row r="1665" ht="15.75" customHeight="1">
      <c r="A1665" s="4">
        <v>2001.0</v>
      </c>
      <c r="B1665" s="4">
        <v>103.0</v>
      </c>
      <c r="C1665" s="4" t="s">
        <v>18</v>
      </c>
      <c r="D1665" s="5">
        <v>11848.445110973445</v>
      </c>
      <c r="E1665" s="5">
        <f t="shared" si="1"/>
        <v>0</v>
      </c>
      <c r="F1665" s="5">
        <f t="shared" si="2"/>
        <v>11848.44511</v>
      </c>
      <c r="G1665" s="5" t="s">
        <v>19</v>
      </c>
      <c r="H1665" s="5" t="s">
        <v>19</v>
      </c>
      <c r="I1665" s="5" t="s">
        <v>19</v>
      </c>
      <c r="J1665" s="5">
        <v>23676.13428542773</v>
      </c>
      <c r="K1665" s="5">
        <f t="shared" si="3"/>
        <v>23676.13429</v>
      </c>
      <c r="L1665" s="5">
        <f t="shared" si="4"/>
        <v>0</v>
      </c>
      <c r="M1665" s="5">
        <v>4821.600360176992</v>
      </c>
      <c r="N1665" s="5">
        <f t="shared" si="5"/>
        <v>0</v>
      </c>
      <c r="O1665" s="5">
        <f t="shared" si="6"/>
        <v>4821.60036</v>
      </c>
      <c r="P1665" s="5">
        <f t="shared" si="9"/>
        <v>40346.17976</v>
      </c>
      <c r="Q1665" s="5">
        <f t="shared" si="7"/>
        <v>16670.04547</v>
      </c>
      <c r="R1665" s="5">
        <f t="shared" si="8"/>
        <v>23676.13429</v>
      </c>
    </row>
    <row r="1666" ht="15.75" customHeight="1">
      <c r="A1666" s="4">
        <v>2001.0</v>
      </c>
      <c r="B1666" s="4">
        <v>104.0</v>
      </c>
      <c r="C1666" s="4" t="s">
        <v>18</v>
      </c>
      <c r="D1666" s="5">
        <v>13205.853813510315</v>
      </c>
      <c r="E1666" s="5">
        <f t="shared" si="1"/>
        <v>0</v>
      </c>
      <c r="F1666" s="5">
        <f t="shared" si="2"/>
        <v>13205.85381</v>
      </c>
      <c r="G1666" s="5" t="s">
        <v>19</v>
      </c>
      <c r="H1666" s="5" t="s">
        <v>19</v>
      </c>
      <c r="I1666" s="5" t="s">
        <v>19</v>
      </c>
      <c r="J1666" s="5">
        <v>14444.39600058997</v>
      </c>
      <c r="K1666" s="5">
        <f t="shared" si="3"/>
        <v>14444.396</v>
      </c>
      <c r="L1666" s="5">
        <f t="shared" si="4"/>
        <v>0</v>
      </c>
      <c r="M1666" s="5">
        <v>3762.1796893215324</v>
      </c>
      <c r="N1666" s="5">
        <f t="shared" si="5"/>
        <v>0</v>
      </c>
      <c r="O1666" s="5">
        <f t="shared" si="6"/>
        <v>3762.179689</v>
      </c>
      <c r="P1666" s="5">
        <f t="shared" si="9"/>
        <v>31412.4295</v>
      </c>
      <c r="Q1666" s="5">
        <f t="shared" si="7"/>
        <v>16968.0335</v>
      </c>
      <c r="R1666" s="5">
        <f t="shared" si="8"/>
        <v>14444.396</v>
      </c>
    </row>
    <row r="1667" ht="15.75" customHeight="1">
      <c r="A1667" s="4">
        <v>2001.0</v>
      </c>
      <c r="B1667" s="4">
        <v>105.0</v>
      </c>
      <c r="C1667" s="4" t="s">
        <v>18</v>
      </c>
      <c r="D1667" s="5">
        <v>24223.969133038332</v>
      </c>
      <c r="E1667" s="5">
        <f t="shared" si="1"/>
        <v>0</v>
      </c>
      <c r="F1667" s="5">
        <f t="shared" si="2"/>
        <v>24223.96913</v>
      </c>
      <c r="G1667" s="5">
        <v>2915.2857741592925</v>
      </c>
      <c r="H1667" s="5">
        <v>1239.5061193628321</v>
      </c>
      <c r="I1667" s="5">
        <v>1675.7796547964604</v>
      </c>
      <c r="J1667" s="5">
        <v>60608.36873958702</v>
      </c>
      <c r="K1667" s="5">
        <f t="shared" si="3"/>
        <v>60608.36874</v>
      </c>
      <c r="L1667" s="5">
        <f t="shared" si="4"/>
        <v>0</v>
      </c>
      <c r="M1667" s="5">
        <v>12912.759307787604</v>
      </c>
      <c r="N1667" s="5">
        <f t="shared" si="5"/>
        <v>0</v>
      </c>
      <c r="O1667" s="5">
        <f t="shared" si="6"/>
        <v>12912.75931</v>
      </c>
      <c r="P1667" s="5">
        <f t="shared" si="9"/>
        <v>100660.383</v>
      </c>
      <c r="Q1667" s="5">
        <f t="shared" si="7"/>
        <v>38812.5081</v>
      </c>
      <c r="R1667" s="5">
        <f t="shared" si="8"/>
        <v>61847.87486</v>
      </c>
    </row>
    <row r="1668" ht="15.75" customHeight="1">
      <c r="A1668" s="4">
        <v>2001.0</v>
      </c>
      <c r="B1668" s="4">
        <v>106.0</v>
      </c>
      <c r="C1668" s="4" t="s">
        <v>18</v>
      </c>
      <c r="D1668" s="5">
        <v>20223.94561598819</v>
      </c>
      <c r="E1668" s="5">
        <f t="shared" si="1"/>
        <v>0</v>
      </c>
      <c r="F1668" s="5">
        <f t="shared" si="2"/>
        <v>20223.94562</v>
      </c>
      <c r="G1668" s="5">
        <v>3119.151912212389</v>
      </c>
      <c r="H1668" s="5">
        <v>1414.8309980884956</v>
      </c>
      <c r="I1668" s="5">
        <v>1704.3209141238935</v>
      </c>
      <c r="J1668" s="5">
        <v>69570.75996920354</v>
      </c>
      <c r="K1668" s="5">
        <f t="shared" si="3"/>
        <v>69570.75997</v>
      </c>
      <c r="L1668" s="5">
        <f t="shared" si="4"/>
        <v>0</v>
      </c>
      <c r="M1668" s="5">
        <v>164044.7289406489</v>
      </c>
      <c r="N1668" s="5">
        <f t="shared" si="5"/>
        <v>0</v>
      </c>
      <c r="O1668" s="5">
        <f t="shared" si="6"/>
        <v>164044.7289</v>
      </c>
      <c r="P1668" s="5">
        <f t="shared" si="9"/>
        <v>256958.5864</v>
      </c>
      <c r="Q1668" s="5">
        <f t="shared" si="7"/>
        <v>185972.9955</v>
      </c>
      <c r="R1668" s="5">
        <f t="shared" si="8"/>
        <v>70985.59097</v>
      </c>
    </row>
    <row r="1669" ht="15.75" customHeight="1">
      <c r="A1669" s="4">
        <v>2001.0</v>
      </c>
      <c r="B1669" s="4">
        <v>107.0</v>
      </c>
      <c r="C1669" s="4" t="s">
        <v>18</v>
      </c>
      <c r="D1669" s="5">
        <v>12974.805523716808</v>
      </c>
      <c r="E1669" s="5">
        <f t="shared" si="1"/>
        <v>0</v>
      </c>
      <c r="F1669" s="5">
        <f t="shared" si="2"/>
        <v>12974.80552</v>
      </c>
      <c r="G1669" s="5">
        <v>2065.8435322713863</v>
      </c>
      <c r="H1669" s="5">
        <v>1444.7313650029498</v>
      </c>
      <c r="I1669" s="5">
        <v>621.1121672684365</v>
      </c>
      <c r="J1669" s="5">
        <v>9231.738284837758</v>
      </c>
      <c r="K1669" s="5">
        <f t="shared" si="3"/>
        <v>9231.738285</v>
      </c>
      <c r="L1669" s="5">
        <f t="shared" si="4"/>
        <v>0</v>
      </c>
      <c r="M1669" s="5">
        <v>63521.493975870195</v>
      </c>
      <c r="N1669" s="5">
        <f t="shared" si="5"/>
        <v>0</v>
      </c>
      <c r="O1669" s="5">
        <f t="shared" si="6"/>
        <v>63521.49398</v>
      </c>
      <c r="P1669" s="5">
        <f t="shared" si="9"/>
        <v>87793.88132</v>
      </c>
      <c r="Q1669" s="5">
        <f t="shared" si="7"/>
        <v>77117.41167</v>
      </c>
      <c r="R1669" s="5">
        <f t="shared" si="8"/>
        <v>10676.46965</v>
      </c>
    </row>
    <row r="1670" ht="15.75" customHeight="1">
      <c r="A1670" s="4">
        <v>2001.0</v>
      </c>
      <c r="B1670" s="4">
        <v>108.0</v>
      </c>
      <c r="C1670" s="4" t="s">
        <v>18</v>
      </c>
      <c r="D1670" s="5">
        <v>17408.044584129784</v>
      </c>
      <c r="E1670" s="5">
        <f t="shared" si="1"/>
        <v>0</v>
      </c>
      <c r="F1670" s="5">
        <f t="shared" si="2"/>
        <v>17408.04458</v>
      </c>
      <c r="G1670" s="5">
        <v>2113.412297817109</v>
      </c>
      <c r="H1670" s="5">
        <v>1295.2295304306783</v>
      </c>
      <c r="I1670" s="5">
        <v>818.1827673864307</v>
      </c>
      <c r="J1670" s="5">
        <v>11164.699504660768</v>
      </c>
      <c r="K1670" s="5">
        <f t="shared" si="3"/>
        <v>11164.6995</v>
      </c>
      <c r="L1670" s="5">
        <f t="shared" si="4"/>
        <v>0</v>
      </c>
      <c r="M1670" s="5">
        <v>38614.64714489675</v>
      </c>
      <c r="N1670" s="5">
        <f t="shared" si="5"/>
        <v>0</v>
      </c>
      <c r="O1670" s="5">
        <f t="shared" si="6"/>
        <v>38614.64714</v>
      </c>
      <c r="P1670" s="5">
        <f t="shared" si="9"/>
        <v>69300.80353</v>
      </c>
      <c r="Q1670" s="5">
        <f t="shared" si="7"/>
        <v>56840.8745</v>
      </c>
      <c r="R1670" s="5">
        <f t="shared" si="8"/>
        <v>12459.92904</v>
      </c>
    </row>
    <row r="1671" ht="15.75" customHeight="1">
      <c r="A1671" s="4">
        <v>2001.0</v>
      </c>
      <c r="B1671" s="4">
        <v>120.0</v>
      </c>
      <c r="C1671" s="4" t="s">
        <v>18</v>
      </c>
      <c r="D1671" s="5">
        <v>17408.044584129784</v>
      </c>
      <c r="E1671" s="5">
        <f t="shared" si="1"/>
        <v>0</v>
      </c>
      <c r="F1671" s="5">
        <f t="shared" si="2"/>
        <v>17408.04458</v>
      </c>
      <c r="G1671" s="5" t="s">
        <v>19</v>
      </c>
      <c r="H1671" s="5" t="s">
        <v>19</v>
      </c>
      <c r="I1671" s="5" t="s">
        <v>19</v>
      </c>
      <c r="J1671" s="5">
        <v>0.0</v>
      </c>
      <c r="K1671" s="5">
        <f t="shared" si="3"/>
        <v>0</v>
      </c>
      <c r="L1671" s="5">
        <f t="shared" si="4"/>
        <v>0</v>
      </c>
      <c r="M1671" s="5">
        <v>174568.56120607664</v>
      </c>
      <c r="N1671" s="5">
        <f t="shared" si="5"/>
        <v>0</v>
      </c>
      <c r="O1671" s="5">
        <f t="shared" si="6"/>
        <v>174568.5612</v>
      </c>
      <c r="P1671" s="5">
        <f t="shared" si="9"/>
        <v>191976.6058</v>
      </c>
      <c r="Q1671" s="5">
        <f t="shared" si="7"/>
        <v>191976.6058</v>
      </c>
      <c r="R1671" s="5">
        <f t="shared" si="8"/>
        <v>0</v>
      </c>
    </row>
    <row r="1672" ht="15.75" customHeight="1">
      <c r="A1672" s="4">
        <v>2001.0</v>
      </c>
      <c r="B1672" s="4">
        <v>121.0</v>
      </c>
      <c r="C1672" s="4" t="s">
        <v>18</v>
      </c>
      <c r="D1672" s="5">
        <v>65227.82031233034</v>
      </c>
      <c r="E1672" s="5">
        <f t="shared" si="1"/>
        <v>0</v>
      </c>
      <c r="F1672" s="5">
        <f t="shared" si="2"/>
        <v>65227.82031</v>
      </c>
      <c r="G1672" s="5">
        <v>20590.47994336283</v>
      </c>
      <c r="H1672" s="5">
        <v>7612.361594902653</v>
      </c>
      <c r="I1672" s="5">
        <v>12978.118348460175</v>
      </c>
      <c r="J1672" s="5">
        <v>31386.85390548673</v>
      </c>
      <c r="K1672" s="5">
        <f t="shared" si="3"/>
        <v>31386.85391</v>
      </c>
      <c r="L1672" s="5">
        <f t="shared" si="4"/>
        <v>0</v>
      </c>
      <c r="M1672" s="5">
        <v>1671132.4486217694</v>
      </c>
      <c r="N1672" s="5">
        <f t="shared" si="5"/>
        <v>0</v>
      </c>
      <c r="O1672" s="5">
        <f t="shared" si="6"/>
        <v>1671132.449</v>
      </c>
      <c r="P1672" s="5">
        <f t="shared" si="9"/>
        <v>1788337.603</v>
      </c>
      <c r="Q1672" s="5">
        <f t="shared" si="7"/>
        <v>1749338.387</v>
      </c>
      <c r="R1672" s="5">
        <f t="shared" si="8"/>
        <v>38999.2155</v>
      </c>
    </row>
    <row r="1673" ht="15.75" customHeight="1">
      <c r="A1673" s="4">
        <v>2001.0</v>
      </c>
      <c r="B1673" s="4">
        <v>122.0</v>
      </c>
      <c r="C1673" s="4" t="s">
        <v>18</v>
      </c>
      <c r="D1673" s="5">
        <v>51603.19147356929</v>
      </c>
      <c r="E1673" s="5">
        <f t="shared" si="1"/>
        <v>0</v>
      </c>
      <c r="F1673" s="5">
        <f t="shared" si="2"/>
        <v>51603.19147</v>
      </c>
      <c r="G1673" s="5">
        <v>16547.1348719764</v>
      </c>
      <c r="H1673" s="5">
        <v>5955.6094463244835</v>
      </c>
      <c r="I1673" s="5">
        <v>10591.525425651915</v>
      </c>
      <c r="J1673" s="5">
        <v>1352.0165909144544</v>
      </c>
      <c r="K1673" s="5">
        <f t="shared" si="3"/>
        <v>1352.016591</v>
      </c>
      <c r="L1673" s="5">
        <f t="shared" si="4"/>
        <v>0</v>
      </c>
      <c r="M1673" s="5">
        <v>292453.36149144534</v>
      </c>
      <c r="N1673" s="5">
        <f t="shared" si="5"/>
        <v>0</v>
      </c>
      <c r="O1673" s="5">
        <f t="shared" si="6"/>
        <v>292453.3615</v>
      </c>
      <c r="P1673" s="5">
        <f t="shared" si="9"/>
        <v>361955.7044</v>
      </c>
      <c r="Q1673" s="5">
        <f t="shared" si="7"/>
        <v>354648.0784</v>
      </c>
      <c r="R1673" s="5">
        <f t="shared" si="8"/>
        <v>7307.626037</v>
      </c>
    </row>
    <row r="1674" ht="15.75" customHeight="1">
      <c r="A1674" s="4">
        <v>2001.0</v>
      </c>
      <c r="B1674" s="4">
        <v>123.0</v>
      </c>
      <c r="C1674" s="4" t="s">
        <v>18</v>
      </c>
      <c r="D1674" s="5">
        <v>23379.198823480812</v>
      </c>
      <c r="E1674" s="5">
        <f t="shared" si="1"/>
        <v>0</v>
      </c>
      <c r="F1674" s="5">
        <f t="shared" si="2"/>
        <v>23379.19882</v>
      </c>
      <c r="G1674" s="5" t="s">
        <v>19</v>
      </c>
      <c r="H1674" s="5" t="s">
        <v>19</v>
      </c>
      <c r="I1674" s="5" t="s">
        <v>19</v>
      </c>
      <c r="J1674" s="5">
        <v>0.0</v>
      </c>
      <c r="K1674" s="5">
        <f t="shared" si="3"/>
        <v>0</v>
      </c>
      <c r="L1674" s="5">
        <f t="shared" si="4"/>
        <v>0</v>
      </c>
      <c r="M1674" s="5">
        <v>100220.81506053096</v>
      </c>
      <c r="N1674" s="5">
        <f t="shared" si="5"/>
        <v>0</v>
      </c>
      <c r="O1674" s="5">
        <f t="shared" si="6"/>
        <v>100220.8151</v>
      </c>
      <c r="P1674" s="5">
        <f t="shared" si="9"/>
        <v>123600.0139</v>
      </c>
      <c r="Q1674" s="5">
        <f t="shared" si="7"/>
        <v>123600.0139</v>
      </c>
      <c r="R1674" s="5">
        <f t="shared" si="8"/>
        <v>0</v>
      </c>
    </row>
    <row r="1675" ht="15.75" customHeight="1">
      <c r="A1675" s="4">
        <v>2001.0</v>
      </c>
      <c r="B1675" s="4">
        <v>124.0</v>
      </c>
      <c r="C1675" s="4" t="s">
        <v>18</v>
      </c>
      <c r="D1675" s="5" t="s">
        <v>19</v>
      </c>
      <c r="E1675" s="5" t="str">
        <f t="shared" si="1"/>
        <v/>
      </c>
      <c r="F1675" s="5" t="str">
        <f t="shared" si="2"/>
        <v/>
      </c>
      <c r="G1675" s="5" t="s">
        <v>19</v>
      </c>
      <c r="H1675" s="5" t="s">
        <v>19</v>
      </c>
      <c r="I1675" s="5" t="s">
        <v>19</v>
      </c>
      <c r="J1675" s="5">
        <v>0.0</v>
      </c>
      <c r="K1675" s="5">
        <f t="shared" si="3"/>
        <v>0</v>
      </c>
      <c r="L1675" s="5">
        <f t="shared" si="4"/>
        <v>0</v>
      </c>
      <c r="M1675" s="5">
        <v>131931.15873109142</v>
      </c>
      <c r="N1675" s="5">
        <f t="shared" si="5"/>
        <v>0</v>
      </c>
      <c r="O1675" s="5">
        <f t="shared" si="6"/>
        <v>131931.1587</v>
      </c>
      <c r="P1675" s="5">
        <f t="shared" si="9"/>
        <v>131931.1587</v>
      </c>
      <c r="Q1675" s="5">
        <f t="shared" si="7"/>
        <v>131931.1587</v>
      </c>
      <c r="R1675" s="5">
        <f t="shared" si="8"/>
        <v>0</v>
      </c>
    </row>
    <row r="1676" ht="15.75" customHeight="1">
      <c r="A1676" s="4">
        <v>2001.0</v>
      </c>
      <c r="B1676" s="4">
        <v>125.0</v>
      </c>
      <c r="C1676" s="4" t="s">
        <v>18</v>
      </c>
      <c r="D1676" s="5">
        <v>24642.74415828907</v>
      </c>
      <c r="E1676" s="5">
        <f t="shared" si="1"/>
        <v>0</v>
      </c>
      <c r="F1676" s="5">
        <f t="shared" si="2"/>
        <v>24642.74416</v>
      </c>
      <c r="G1676" s="5" t="s">
        <v>19</v>
      </c>
      <c r="H1676" s="5" t="s">
        <v>19</v>
      </c>
      <c r="I1676" s="5" t="s">
        <v>19</v>
      </c>
      <c r="J1676" s="5">
        <v>6121.043862772862</v>
      </c>
      <c r="K1676" s="5">
        <f t="shared" si="3"/>
        <v>6121.043863</v>
      </c>
      <c r="L1676" s="5">
        <f t="shared" si="4"/>
        <v>0</v>
      </c>
      <c r="M1676" s="5">
        <v>449664.16140088486</v>
      </c>
      <c r="N1676" s="5">
        <f t="shared" si="5"/>
        <v>0</v>
      </c>
      <c r="O1676" s="5">
        <f t="shared" si="6"/>
        <v>449664.1614</v>
      </c>
      <c r="P1676" s="5">
        <f t="shared" si="9"/>
        <v>480427.9494</v>
      </c>
      <c r="Q1676" s="5">
        <f t="shared" si="7"/>
        <v>474306.9056</v>
      </c>
      <c r="R1676" s="5">
        <f t="shared" si="8"/>
        <v>6121.043863</v>
      </c>
    </row>
    <row r="1677" ht="15.75" customHeight="1">
      <c r="A1677" s="4">
        <v>2001.0</v>
      </c>
      <c r="B1677" s="4">
        <v>126.0</v>
      </c>
      <c r="C1677" s="4" t="s">
        <v>18</v>
      </c>
      <c r="D1677" s="5">
        <v>55639.31628589967</v>
      </c>
      <c r="E1677" s="5">
        <f t="shared" si="1"/>
        <v>0</v>
      </c>
      <c r="F1677" s="5">
        <f t="shared" si="2"/>
        <v>55639.31629</v>
      </c>
      <c r="G1677" s="5">
        <v>1617.3380285545722</v>
      </c>
      <c r="H1677" s="5">
        <v>690.4266542064897</v>
      </c>
      <c r="I1677" s="5">
        <v>926.9113743480825</v>
      </c>
      <c r="J1677" s="5">
        <v>723.5401287315635</v>
      </c>
      <c r="K1677" s="5">
        <f t="shared" si="3"/>
        <v>723.5401287</v>
      </c>
      <c r="L1677" s="5">
        <f t="shared" si="4"/>
        <v>0</v>
      </c>
      <c r="M1677" s="5">
        <v>1182865.0521478462</v>
      </c>
      <c r="N1677" s="5">
        <f t="shared" si="5"/>
        <v>0</v>
      </c>
      <c r="O1677" s="5">
        <f t="shared" si="6"/>
        <v>1182865.052</v>
      </c>
      <c r="P1677" s="5">
        <f t="shared" si="9"/>
        <v>1240845.247</v>
      </c>
      <c r="Q1677" s="5">
        <f t="shared" si="7"/>
        <v>1239431.28</v>
      </c>
      <c r="R1677" s="5">
        <f t="shared" si="8"/>
        <v>1413.966783</v>
      </c>
    </row>
    <row r="1678" ht="15.75" customHeight="1">
      <c r="A1678" s="4">
        <v>2001.0</v>
      </c>
      <c r="B1678" s="4">
        <v>127.0</v>
      </c>
      <c r="C1678" s="4" t="s">
        <v>18</v>
      </c>
      <c r="D1678" s="5">
        <v>3133.5924303244815</v>
      </c>
      <c r="E1678" s="5">
        <f t="shared" si="1"/>
        <v>0</v>
      </c>
      <c r="F1678" s="5">
        <f t="shared" si="2"/>
        <v>3133.59243</v>
      </c>
      <c r="G1678" s="5" t="s">
        <v>19</v>
      </c>
      <c r="H1678" s="5" t="s">
        <v>19</v>
      </c>
      <c r="I1678" s="5" t="s">
        <v>19</v>
      </c>
      <c r="J1678" s="5">
        <v>0.0</v>
      </c>
      <c r="K1678" s="5">
        <f t="shared" si="3"/>
        <v>0</v>
      </c>
      <c r="L1678" s="5">
        <f t="shared" si="4"/>
        <v>0</v>
      </c>
      <c r="M1678" s="5">
        <v>176457.25909864303</v>
      </c>
      <c r="N1678" s="5">
        <f t="shared" si="5"/>
        <v>0</v>
      </c>
      <c r="O1678" s="5">
        <f t="shared" si="6"/>
        <v>176457.2591</v>
      </c>
      <c r="P1678" s="5">
        <f t="shared" si="9"/>
        <v>179590.8515</v>
      </c>
      <c r="Q1678" s="5">
        <f t="shared" si="7"/>
        <v>179590.8515</v>
      </c>
      <c r="R1678" s="5">
        <f t="shared" si="8"/>
        <v>0</v>
      </c>
    </row>
    <row r="1679" ht="15.75" customHeight="1">
      <c r="A1679" s="4">
        <v>2001.0</v>
      </c>
      <c r="B1679" s="4">
        <v>128.0</v>
      </c>
      <c r="C1679" s="4" t="s">
        <v>18</v>
      </c>
      <c r="D1679" s="5">
        <v>2447.6678199999988</v>
      </c>
      <c r="E1679" s="5">
        <f t="shared" si="1"/>
        <v>0</v>
      </c>
      <c r="F1679" s="5">
        <f t="shared" si="2"/>
        <v>2447.66782</v>
      </c>
      <c r="G1679" s="5" t="s">
        <v>19</v>
      </c>
      <c r="H1679" s="5" t="s">
        <v>19</v>
      </c>
      <c r="I1679" s="5" t="s">
        <v>19</v>
      </c>
      <c r="J1679" s="5">
        <v>0.0</v>
      </c>
      <c r="K1679" s="5">
        <f t="shared" si="3"/>
        <v>0</v>
      </c>
      <c r="L1679" s="5">
        <f t="shared" si="4"/>
        <v>0</v>
      </c>
      <c r="M1679" s="5">
        <v>25741.830088613562</v>
      </c>
      <c r="N1679" s="5">
        <f t="shared" si="5"/>
        <v>0</v>
      </c>
      <c r="O1679" s="5">
        <f t="shared" si="6"/>
        <v>25741.83009</v>
      </c>
      <c r="P1679" s="5">
        <f t="shared" si="9"/>
        <v>28189.49791</v>
      </c>
      <c r="Q1679" s="5">
        <f t="shared" si="7"/>
        <v>28189.49791</v>
      </c>
      <c r="R1679" s="5">
        <f t="shared" si="8"/>
        <v>0</v>
      </c>
    </row>
    <row r="1680" ht="15.75" customHeight="1">
      <c r="A1680" s="4">
        <v>2001.0</v>
      </c>
      <c r="B1680" s="4">
        <v>300.0</v>
      </c>
      <c r="C1680" s="4" t="s">
        <v>20</v>
      </c>
      <c r="D1680" s="5">
        <v>7032.4769221828865</v>
      </c>
      <c r="E1680" s="5">
        <f t="shared" si="1"/>
        <v>0</v>
      </c>
      <c r="F1680" s="5">
        <f t="shared" si="2"/>
        <v>7032.476922</v>
      </c>
      <c r="G1680" s="5">
        <v>13032.290604129794</v>
      </c>
      <c r="H1680" s="5">
        <v>6036.284299941003</v>
      </c>
      <c r="I1680" s="5">
        <v>6996.006304188791</v>
      </c>
      <c r="J1680" s="5">
        <v>179292.512640708</v>
      </c>
      <c r="K1680" s="5">
        <f t="shared" si="3"/>
        <v>179292.5126</v>
      </c>
      <c r="L1680" s="5">
        <f t="shared" si="4"/>
        <v>0</v>
      </c>
      <c r="M1680" s="5">
        <v>1736.1306794690258</v>
      </c>
      <c r="N1680" s="5">
        <f t="shared" si="5"/>
        <v>0</v>
      </c>
      <c r="O1680" s="5">
        <f t="shared" si="6"/>
        <v>1736.130679</v>
      </c>
      <c r="P1680" s="5">
        <f t="shared" si="9"/>
        <v>201093.4108</v>
      </c>
      <c r="Q1680" s="5">
        <f t="shared" si="7"/>
        <v>15764.61391</v>
      </c>
      <c r="R1680" s="5">
        <f t="shared" si="8"/>
        <v>185328.7969</v>
      </c>
    </row>
    <row r="1681" ht="15.75" customHeight="1">
      <c r="A1681" s="4">
        <v>2001.0</v>
      </c>
      <c r="B1681" s="4">
        <v>301.0</v>
      </c>
      <c r="C1681" s="4" t="s">
        <v>20</v>
      </c>
      <c r="D1681" s="5">
        <v>7326.993320353978</v>
      </c>
      <c r="E1681" s="5">
        <f t="shared" si="1"/>
        <v>0</v>
      </c>
      <c r="F1681" s="5">
        <f t="shared" si="2"/>
        <v>7326.99332</v>
      </c>
      <c r="G1681" s="5">
        <v>2759.8563100294987</v>
      </c>
      <c r="H1681" s="5">
        <v>1684.7578899705013</v>
      </c>
      <c r="I1681" s="5">
        <v>1075.0984200589974</v>
      </c>
      <c r="J1681" s="5">
        <v>30057.40293238938</v>
      </c>
      <c r="K1681" s="5">
        <f t="shared" si="3"/>
        <v>30057.40293</v>
      </c>
      <c r="L1681" s="5">
        <f t="shared" si="4"/>
        <v>0</v>
      </c>
      <c r="M1681" s="5">
        <v>760.4539339823004</v>
      </c>
      <c r="N1681" s="5">
        <f t="shared" si="5"/>
        <v>0</v>
      </c>
      <c r="O1681" s="5">
        <f t="shared" si="6"/>
        <v>760.453934</v>
      </c>
      <c r="P1681" s="5">
        <f t="shared" si="9"/>
        <v>40904.7065</v>
      </c>
      <c r="Q1681" s="5">
        <f t="shared" si="7"/>
        <v>9162.545674</v>
      </c>
      <c r="R1681" s="5">
        <f t="shared" si="8"/>
        <v>31742.16082</v>
      </c>
    </row>
    <row r="1682" ht="15.75" customHeight="1">
      <c r="A1682" s="4">
        <v>2001.0</v>
      </c>
      <c r="B1682" s="4">
        <v>302.0</v>
      </c>
      <c r="C1682" s="4" t="s">
        <v>20</v>
      </c>
      <c r="D1682" s="5">
        <v>10358.357223480822</v>
      </c>
      <c r="E1682" s="5">
        <f t="shared" si="1"/>
        <v>0</v>
      </c>
      <c r="F1682" s="5">
        <f t="shared" si="2"/>
        <v>10358.35722</v>
      </c>
      <c r="G1682" s="5">
        <v>11393.421061356934</v>
      </c>
      <c r="H1682" s="5">
        <v>7502.089218997052</v>
      </c>
      <c r="I1682" s="5">
        <v>3891.331842359882</v>
      </c>
      <c r="J1682" s="5">
        <v>151588.8772283186</v>
      </c>
      <c r="K1682" s="5">
        <f t="shared" si="3"/>
        <v>151588.8772</v>
      </c>
      <c r="L1682" s="5">
        <f t="shared" si="4"/>
        <v>0</v>
      </c>
      <c r="M1682" s="5">
        <v>7268.381805663714</v>
      </c>
      <c r="N1682" s="5">
        <f t="shared" si="5"/>
        <v>0</v>
      </c>
      <c r="O1682" s="5">
        <f t="shared" si="6"/>
        <v>7268.381806</v>
      </c>
      <c r="P1682" s="5">
        <f t="shared" si="9"/>
        <v>180609.0373</v>
      </c>
      <c r="Q1682" s="5">
        <f t="shared" si="7"/>
        <v>21518.07087</v>
      </c>
      <c r="R1682" s="5">
        <f t="shared" si="8"/>
        <v>159090.9664</v>
      </c>
    </row>
    <row r="1683" ht="15.75" customHeight="1">
      <c r="A1683" s="4">
        <v>2001.0</v>
      </c>
      <c r="B1683" s="4">
        <v>303.0</v>
      </c>
      <c r="C1683" s="4" t="s">
        <v>20</v>
      </c>
      <c r="D1683" s="5">
        <v>28718.94048507373</v>
      </c>
      <c r="E1683" s="5">
        <f t="shared" si="1"/>
        <v>0</v>
      </c>
      <c r="F1683" s="5">
        <f t="shared" si="2"/>
        <v>28718.94049</v>
      </c>
      <c r="G1683" s="5">
        <v>6267.037131563421</v>
      </c>
      <c r="H1683" s="5">
        <v>4105.040430737463</v>
      </c>
      <c r="I1683" s="5">
        <v>2161.996700825958</v>
      </c>
      <c r="J1683" s="5">
        <v>6457.238329203541</v>
      </c>
      <c r="K1683" s="5">
        <f t="shared" si="3"/>
        <v>6457.238329</v>
      </c>
      <c r="L1683" s="5">
        <f t="shared" si="4"/>
        <v>0</v>
      </c>
      <c r="M1683" s="5">
        <v>13893.144917876103</v>
      </c>
      <c r="N1683" s="5">
        <f t="shared" si="5"/>
        <v>0</v>
      </c>
      <c r="O1683" s="5">
        <f t="shared" si="6"/>
        <v>13893.14492</v>
      </c>
      <c r="P1683" s="5">
        <f t="shared" si="9"/>
        <v>55336.36086</v>
      </c>
      <c r="Q1683" s="5">
        <f t="shared" si="7"/>
        <v>44774.0821</v>
      </c>
      <c r="R1683" s="5">
        <f t="shared" si="8"/>
        <v>10562.27876</v>
      </c>
    </row>
    <row r="1684" ht="15.75" customHeight="1">
      <c r="A1684" s="4">
        <v>2001.0</v>
      </c>
      <c r="B1684" s="4">
        <v>304.0</v>
      </c>
      <c r="C1684" s="4" t="s">
        <v>20</v>
      </c>
      <c r="D1684" s="5">
        <v>5832.8613491445385</v>
      </c>
      <c r="E1684" s="5">
        <f t="shared" si="1"/>
        <v>0</v>
      </c>
      <c r="F1684" s="5">
        <f t="shared" si="2"/>
        <v>5832.861349</v>
      </c>
      <c r="G1684" s="5" t="s">
        <v>19</v>
      </c>
      <c r="H1684" s="5" t="s">
        <v>19</v>
      </c>
      <c r="I1684" s="5" t="s">
        <v>19</v>
      </c>
      <c r="J1684" s="5">
        <v>489.50032495575226</v>
      </c>
      <c r="K1684" s="5">
        <f t="shared" si="3"/>
        <v>489.500325</v>
      </c>
      <c r="L1684" s="5">
        <f t="shared" si="4"/>
        <v>0</v>
      </c>
      <c r="M1684" s="5">
        <v>614.9223185840706</v>
      </c>
      <c r="N1684" s="5">
        <f t="shared" si="5"/>
        <v>0</v>
      </c>
      <c r="O1684" s="5">
        <f t="shared" si="6"/>
        <v>614.9223186</v>
      </c>
      <c r="P1684" s="5">
        <f t="shared" si="9"/>
        <v>6937.283993</v>
      </c>
      <c r="Q1684" s="5">
        <f t="shared" si="7"/>
        <v>6447.783668</v>
      </c>
      <c r="R1684" s="5">
        <f t="shared" si="8"/>
        <v>489.500325</v>
      </c>
    </row>
    <row r="1685" ht="15.75" customHeight="1">
      <c r="A1685" s="4">
        <v>2001.0</v>
      </c>
      <c r="B1685" s="4">
        <v>305.0</v>
      </c>
      <c r="C1685" s="4" t="s">
        <v>20</v>
      </c>
      <c r="D1685" s="5">
        <v>58802.71305923301</v>
      </c>
      <c r="E1685" s="5">
        <f t="shared" si="1"/>
        <v>0</v>
      </c>
      <c r="F1685" s="5">
        <f t="shared" si="2"/>
        <v>58802.71306</v>
      </c>
      <c r="G1685" s="5">
        <v>14710.493015929205</v>
      </c>
      <c r="H1685" s="5">
        <v>7134.98244141593</v>
      </c>
      <c r="I1685" s="5">
        <v>7575.510574513275</v>
      </c>
      <c r="J1685" s="5">
        <v>24870.782467964604</v>
      </c>
      <c r="K1685" s="5">
        <f t="shared" si="3"/>
        <v>24870.78247</v>
      </c>
      <c r="L1685" s="5">
        <f t="shared" si="4"/>
        <v>0</v>
      </c>
      <c r="M1685" s="5">
        <v>5169.446958230084</v>
      </c>
      <c r="N1685" s="5">
        <f t="shared" si="5"/>
        <v>0</v>
      </c>
      <c r="O1685" s="5">
        <f t="shared" si="6"/>
        <v>5169.446958</v>
      </c>
      <c r="P1685" s="5">
        <f t="shared" si="9"/>
        <v>103553.4355</v>
      </c>
      <c r="Q1685" s="5">
        <f t="shared" si="7"/>
        <v>71547.67059</v>
      </c>
      <c r="R1685" s="5">
        <f t="shared" si="8"/>
        <v>32005.76491</v>
      </c>
    </row>
    <row r="1686" ht="15.75" customHeight="1">
      <c r="A1686" s="4">
        <v>2001.0</v>
      </c>
      <c r="B1686" s="4">
        <v>306.0</v>
      </c>
      <c r="C1686" s="4" t="s">
        <v>20</v>
      </c>
      <c r="D1686" s="5" t="s">
        <v>19</v>
      </c>
      <c r="E1686" s="5" t="str">
        <f t="shared" si="1"/>
        <v/>
      </c>
      <c r="F1686" s="5" t="str">
        <f t="shared" si="2"/>
        <v/>
      </c>
      <c r="G1686" s="5" t="s">
        <v>19</v>
      </c>
      <c r="H1686" s="5" t="s">
        <v>19</v>
      </c>
      <c r="I1686" s="5" t="s">
        <v>19</v>
      </c>
      <c r="J1686" s="5">
        <v>0.0</v>
      </c>
      <c r="K1686" s="5">
        <f t="shared" si="3"/>
        <v>0</v>
      </c>
      <c r="L1686" s="5">
        <f t="shared" si="4"/>
        <v>0</v>
      </c>
      <c r="M1686" s="5">
        <v>11164.939564424774</v>
      </c>
      <c r="N1686" s="5">
        <f t="shared" si="5"/>
        <v>0</v>
      </c>
      <c r="O1686" s="5">
        <f t="shared" si="6"/>
        <v>11164.93956</v>
      </c>
      <c r="P1686" s="5">
        <f t="shared" si="9"/>
        <v>11164.93956</v>
      </c>
      <c r="Q1686" s="5">
        <f t="shared" si="7"/>
        <v>11164.93956</v>
      </c>
      <c r="R1686" s="5">
        <f t="shared" si="8"/>
        <v>0</v>
      </c>
    </row>
    <row r="1687" ht="15.75" customHeight="1">
      <c r="A1687" s="4">
        <v>2001.0</v>
      </c>
      <c r="B1687" s="4">
        <v>307.0</v>
      </c>
      <c r="C1687" s="4" t="s">
        <v>20</v>
      </c>
      <c r="D1687" s="5" t="s">
        <v>19</v>
      </c>
      <c r="E1687" s="5" t="str">
        <f t="shared" si="1"/>
        <v/>
      </c>
      <c r="F1687" s="5" t="str">
        <f t="shared" si="2"/>
        <v/>
      </c>
      <c r="G1687" s="5" t="s">
        <v>19</v>
      </c>
      <c r="H1687" s="5" t="s">
        <v>19</v>
      </c>
      <c r="I1687" s="5" t="s">
        <v>19</v>
      </c>
      <c r="J1687" s="5">
        <v>0.0</v>
      </c>
      <c r="K1687" s="5">
        <f t="shared" si="3"/>
        <v>0</v>
      </c>
      <c r="L1687" s="5">
        <f t="shared" si="4"/>
        <v>0</v>
      </c>
      <c r="M1687" s="5">
        <v>799.3990141592917</v>
      </c>
      <c r="N1687" s="5">
        <f t="shared" si="5"/>
        <v>0</v>
      </c>
      <c r="O1687" s="5">
        <f t="shared" si="6"/>
        <v>799.3990142</v>
      </c>
      <c r="P1687" s="5">
        <f t="shared" si="9"/>
        <v>799.3990142</v>
      </c>
      <c r="Q1687" s="5">
        <f t="shared" si="7"/>
        <v>799.3990142</v>
      </c>
      <c r="R1687" s="5">
        <f t="shared" si="8"/>
        <v>0</v>
      </c>
    </row>
    <row r="1688" ht="15.75" customHeight="1">
      <c r="A1688" s="4">
        <v>2001.0</v>
      </c>
      <c r="B1688" s="4">
        <v>308.0</v>
      </c>
      <c r="C1688" s="4" t="s">
        <v>20</v>
      </c>
      <c r="D1688" s="5">
        <v>13224.504610560467</v>
      </c>
      <c r="E1688" s="5">
        <f t="shared" si="1"/>
        <v>0</v>
      </c>
      <c r="F1688" s="5">
        <f t="shared" si="2"/>
        <v>13224.50461</v>
      </c>
      <c r="G1688" s="5">
        <v>25854.805906784663</v>
      </c>
      <c r="H1688" s="5">
        <v>10941.093067551623</v>
      </c>
      <c r="I1688" s="5">
        <v>14913.71283923304</v>
      </c>
      <c r="J1688" s="5">
        <v>25053.043227256636</v>
      </c>
      <c r="K1688" s="5">
        <f t="shared" si="3"/>
        <v>25053.04323</v>
      </c>
      <c r="L1688" s="5">
        <f t="shared" si="4"/>
        <v>0</v>
      </c>
      <c r="M1688" s="5">
        <v>19021.59705486725</v>
      </c>
      <c r="N1688" s="5">
        <f t="shared" si="5"/>
        <v>0</v>
      </c>
      <c r="O1688" s="5">
        <f t="shared" si="6"/>
        <v>19021.59705</v>
      </c>
      <c r="P1688" s="5">
        <f t="shared" si="9"/>
        <v>83153.9508</v>
      </c>
      <c r="Q1688" s="5">
        <f t="shared" si="7"/>
        <v>47159.8145</v>
      </c>
      <c r="R1688" s="5">
        <f t="shared" si="8"/>
        <v>35994.13629</v>
      </c>
    </row>
    <row r="1689" ht="15.75" customHeight="1">
      <c r="A1689" s="4">
        <v>2001.0</v>
      </c>
      <c r="B1689" s="4">
        <v>309.0</v>
      </c>
      <c r="C1689" s="4" t="s">
        <v>20</v>
      </c>
      <c r="D1689" s="5" t="s">
        <v>19</v>
      </c>
      <c r="E1689" s="5" t="str">
        <f t="shared" si="1"/>
        <v/>
      </c>
      <c r="F1689" s="5" t="str">
        <f t="shared" si="2"/>
        <v/>
      </c>
      <c r="G1689" s="5">
        <v>1271.7627651917403</v>
      </c>
      <c r="H1689" s="5">
        <v>454.95018507374635</v>
      </c>
      <c r="I1689" s="5">
        <v>816.812580117994</v>
      </c>
      <c r="J1689" s="5">
        <v>4577.348783362831</v>
      </c>
      <c r="K1689" s="5">
        <f t="shared" si="3"/>
        <v>4577.348783</v>
      </c>
      <c r="L1689" s="5">
        <f t="shared" si="4"/>
        <v>0</v>
      </c>
      <c r="M1689" s="5">
        <v>713.3098895575217</v>
      </c>
      <c r="N1689" s="5">
        <f t="shared" si="5"/>
        <v>0</v>
      </c>
      <c r="O1689" s="5">
        <f t="shared" si="6"/>
        <v>713.3098896</v>
      </c>
      <c r="P1689" s="5">
        <f t="shared" si="9"/>
        <v>6562.421438</v>
      </c>
      <c r="Q1689" s="5">
        <f t="shared" si="7"/>
        <v>1530.12247</v>
      </c>
      <c r="R1689" s="5">
        <f t="shared" si="8"/>
        <v>5032.298968</v>
      </c>
    </row>
    <row r="1690" ht="15.75" customHeight="1">
      <c r="A1690" s="4">
        <v>2001.0</v>
      </c>
      <c r="B1690" s="4">
        <v>310.0</v>
      </c>
      <c r="C1690" s="4" t="s">
        <v>20</v>
      </c>
      <c r="D1690" s="5" t="s">
        <v>19</v>
      </c>
      <c r="E1690" s="5" t="str">
        <f t="shared" si="1"/>
        <v/>
      </c>
      <c r="F1690" s="5" t="str">
        <f t="shared" si="2"/>
        <v/>
      </c>
      <c r="G1690" s="5" t="s">
        <v>19</v>
      </c>
      <c r="H1690" s="5" t="s">
        <v>19</v>
      </c>
      <c r="I1690" s="5" t="s">
        <v>19</v>
      </c>
      <c r="J1690" s="5">
        <v>13393.562082831857</v>
      </c>
      <c r="K1690" s="5">
        <f t="shared" si="3"/>
        <v>13393.56208</v>
      </c>
      <c r="L1690" s="5">
        <f t="shared" si="4"/>
        <v>0</v>
      </c>
      <c r="M1690" s="5">
        <v>559.5793099115042</v>
      </c>
      <c r="N1690" s="5">
        <f t="shared" si="5"/>
        <v>0</v>
      </c>
      <c r="O1690" s="5">
        <f t="shared" si="6"/>
        <v>559.5793099</v>
      </c>
      <c r="P1690" s="5">
        <f t="shared" si="9"/>
        <v>13953.14139</v>
      </c>
      <c r="Q1690" s="5">
        <f t="shared" si="7"/>
        <v>559.5793099</v>
      </c>
      <c r="R1690" s="5">
        <f t="shared" si="8"/>
        <v>13393.56208</v>
      </c>
    </row>
    <row r="1691" ht="15.75" customHeight="1">
      <c r="A1691" s="4">
        <v>2001.0</v>
      </c>
      <c r="B1691" s="4">
        <v>311.0</v>
      </c>
      <c r="C1691" s="4" t="s">
        <v>20</v>
      </c>
      <c r="D1691" s="5" t="s">
        <v>19</v>
      </c>
      <c r="E1691" s="5" t="str">
        <f t="shared" si="1"/>
        <v/>
      </c>
      <c r="F1691" s="5" t="str">
        <f t="shared" si="2"/>
        <v/>
      </c>
      <c r="G1691" s="5" t="s">
        <v>19</v>
      </c>
      <c r="H1691" s="5" t="s">
        <v>19</v>
      </c>
      <c r="I1691" s="5" t="s">
        <v>19</v>
      </c>
      <c r="J1691" s="5">
        <v>0.0</v>
      </c>
      <c r="K1691" s="5">
        <f t="shared" si="3"/>
        <v>0</v>
      </c>
      <c r="L1691" s="5">
        <f t="shared" si="4"/>
        <v>0</v>
      </c>
      <c r="M1691" s="5">
        <v>932.6321831858404</v>
      </c>
      <c r="N1691" s="5">
        <f t="shared" si="5"/>
        <v>0</v>
      </c>
      <c r="O1691" s="5">
        <f t="shared" si="6"/>
        <v>932.6321832</v>
      </c>
      <c r="P1691" s="5">
        <f t="shared" si="9"/>
        <v>932.6321832</v>
      </c>
      <c r="Q1691" s="5">
        <f t="shared" si="7"/>
        <v>932.6321832</v>
      </c>
      <c r="R1691" s="5">
        <f t="shared" si="8"/>
        <v>0</v>
      </c>
    </row>
    <row r="1692" ht="15.75" customHeight="1">
      <c r="A1692" s="4">
        <v>2001.0</v>
      </c>
      <c r="B1692" s="4">
        <v>312.0</v>
      </c>
      <c r="C1692" s="4" t="s">
        <v>20</v>
      </c>
      <c r="D1692" s="5" t="s">
        <v>19</v>
      </c>
      <c r="E1692" s="5" t="str">
        <f t="shared" si="1"/>
        <v/>
      </c>
      <c r="F1692" s="5" t="str">
        <f t="shared" si="2"/>
        <v/>
      </c>
      <c r="G1692" s="5" t="s">
        <v>19</v>
      </c>
      <c r="H1692" s="5" t="s">
        <v>19</v>
      </c>
      <c r="I1692" s="5" t="s">
        <v>19</v>
      </c>
      <c r="J1692" s="5">
        <v>0.0</v>
      </c>
      <c r="K1692" s="5">
        <f t="shared" si="3"/>
        <v>0</v>
      </c>
      <c r="L1692" s="5">
        <f t="shared" si="4"/>
        <v>0</v>
      </c>
      <c r="M1692" s="5">
        <v>3591.023356067255</v>
      </c>
      <c r="N1692" s="5">
        <f t="shared" si="5"/>
        <v>0</v>
      </c>
      <c r="O1692" s="5">
        <f t="shared" si="6"/>
        <v>3591.023356</v>
      </c>
      <c r="P1692" s="5">
        <f t="shared" si="9"/>
        <v>3591.023356</v>
      </c>
      <c r="Q1692" s="5">
        <f t="shared" si="7"/>
        <v>3591.023356</v>
      </c>
      <c r="R1692" s="5">
        <f t="shared" si="8"/>
        <v>0</v>
      </c>
    </row>
    <row r="1693" ht="15.75" customHeight="1">
      <c r="A1693" s="4">
        <v>2001.0</v>
      </c>
      <c r="B1693" s="4">
        <v>313.0</v>
      </c>
      <c r="C1693" s="4" t="s">
        <v>20</v>
      </c>
      <c r="D1693" s="5">
        <v>46752.1077118218</v>
      </c>
      <c r="E1693" s="5">
        <f t="shared" si="1"/>
        <v>0</v>
      </c>
      <c r="F1693" s="5">
        <f t="shared" si="2"/>
        <v>46752.10771</v>
      </c>
      <c r="G1693" s="5">
        <v>10246.212381415928</v>
      </c>
      <c r="H1693" s="5">
        <v>7229.381327079645</v>
      </c>
      <c r="I1693" s="5">
        <v>3016.8310543362823</v>
      </c>
      <c r="J1693" s="5">
        <v>2593.3102322123896</v>
      </c>
      <c r="K1693" s="5">
        <f t="shared" si="3"/>
        <v>2593.310232</v>
      </c>
      <c r="L1693" s="5">
        <f t="shared" si="4"/>
        <v>0</v>
      </c>
      <c r="M1693" s="5">
        <v>1922.6571161061938</v>
      </c>
      <c r="N1693" s="5">
        <f t="shared" si="5"/>
        <v>0</v>
      </c>
      <c r="O1693" s="5">
        <f t="shared" si="6"/>
        <v>1922.657116</v>
      </c>
      <c r="P1693" s="5">
        <f t="shared" si="9"/>
        <v>61514.28744</v>
      </c>
      <c r="Q1693" s="5">
        <f t="shared" si="7"/>
        <v>51691.59588</v>
      </c>
      <c r="R1693" s="5">
        <f t="shared" si="8"/>
        <v>9822.691559</v>
      </c>
    </row>
    <row r="1694" ht="15.75" customHeight="1">
      <c r="A1694" s="4">
        <v>2001.0</v>
      </c>
      <c r="B1694" s="4">
        <v>314.0</v>
      </c>
      <c r="C1694" s="4" t="s">
        <v>20</v>
      </c>
      <c r="D1694" s="5" t="s">
        <v>19</v>
      </c>
      <c r="E1694" s="5" t="str">
        <f t="shared" si="1"/>
        <v/>
      </c>
      <c r="F1694" s="5" t="str">
        <f t="shared" si="2"/>
        <v/>
      </c>
      <c r="G1694" s="5" t="s">
        <v>19</v>
      </c>
      <c r="H1694" s="5" t="s">
        <v>19</v>
      </c>
      <c r="I1694" s="5" t="s">
        <v>19</v>
      </c>
      <c r="J1694" s="5">
        <v>0.0</v>
      </c>
      <c r="K1694" s="5">
        <f t="shared" si="3"/>
        <v>0</v>
      </c>
      <c r="L1694" s="5">
        <f t="shared" si="4"/>
        <v>0</v>
      </c>
      <c r="M1694" s="5">
        <v>3248.8395831858397</v>
      </c>
      <c r="N1694" s="5">
        <f t="shared" si="5"/>
        <v>0</v>
      </c>
      <c r="O1694" s="5">
        <f t="shared" si="6"/>
        <v>3248.839583</v>
      </c>
      <c r="P1694" s="5">
        <f t="shared" si="9"/>
        <v>3248.839583</v>
      </c>
      <c r="Q1694" s="5">
        <f t="shared" si="7"/>
        <v>3248.839583</v>
      </c>
      <c r="R1694" s="5">
        <f t="shared" si="8"/>
        <v>0</v>
      </c>
    </row>
    <row r="1695" ht="15.75" customHeight="1">
      <c r="A1695" s="4">
        <v>2001.0</v>
      </c>
      <c r="B1695" s="4">
        <v>320.0</v>
      </c>
      <c r="C1695" s="4" t="s">
        <v>20</v>
      </c>
      <c r="D1695" s="5">
        <v>96486.44537156337</v>
      </c>
      <c r="E1695" s="5">
        <f t="shared" si="1"/>
        <v>0</v>
      </c>
      <c r="F1695" s="5">
        <f t="shared" si="2"/>
        <v>96486.44537</v>
      </c>
      <c r="G1695" s="5">
        <v>45809.681459587024</v>
      </c>
      <c r="H1695" s="5">
        <v>29839.225539174047</v>
      </c>
      <c r="I1695" s="5">
        <v>15970.455920412976</v>
      </c>
      <c r="J1695" s="5">
        <v>50715.358135575225</v>
      </c>
      <c r="K1695" s="5">
        <f t="shared" si="3"/>
        <v>50715.35814</v>
      </c>
      <c r="L1695" s="5">
        <f t="shared" si="4"/>
        <v>0</v>
      </c>
      <c r="M1695" s="5">
        <v>68508.49551345129</v>
      </c>
      <c r="N1695" s="5">
        <f t="shared" si="5"/>
        <v>0</v>
      </c>
      <c r="O1695" s="5">
        <f t="shared" si="6"/>
        <v>68508.49551</v>
      </c>
      <c r="P1695" s="5">
        <f t="shared" si="9"/>
        <v>261519.9805</v>
      </c>
      <c r="Q1695" s="5">
        <f t="shared" si="7"/>
        <v>180965.3968</v>
      </c>
      <c r="R1695" s="5">
        <f t="shared" si="8"/>
        <v>80554.58367</v>
      </c>
    </row>
    <row r="1696" ht="15.75" customHeight="1">
      <c r="A1696" s="4">
        <v>2001.0</v>
      </c>
      <c r="B1696" s="4">
        <v>321.0</v>
      </c>
      <c r="C1696" s="4" t="s">
        <v>20</v>
      </c>
      <c r="D1696" s="5">
        <v>79002.22797769908</v>
      </c>
      <c r="E1696" s="5">
        <f t="shared" si="1"/>
        <v>0</v>
      </c>
      <c r="F1696" s="5">
        <f t="shared" si="2"/>
        <v>79002.22798</v>
      </c>
      <c r="G1696" s="5">
        <v>10842.76089498525</v>
      </c>
      <c r="H1696" s="5">
        <v>6766.56456820059</v>
      </c>
      <c r="I1696" s="5">
        <v>4076.1963267846595</v>
      </c>
      <c r="J1696" s="5">
        <v>7727.856193982301</v>
      </c>
      <c r="K1696" s="5">
        <f t="shared" si="3"/>
        <v>7727.856194</v>
      </c>
      <c r="L1696" s="5">
        <f t="shared" si="4"/>
        <v>0</v>
      </c>
      <c r="M1696" s="5">
        <v>12503.420477876105</v>
      </c>
      <c r="N1696" s="5">
        <f t="shared" si="5"/>
        <v>0</v>
      </c>
      <c r="O1696" s="5">
        <f t="shared" si="6"/>
        <v>12503.42048</v>
      </c>
      <c r="P1696" s="5">
        <f t="shared" si="9"/>
        <v>110076.2655</v>
      </c>
      <c r="Q1696" s="5">
        <f t="shared" si="7"/>
        <v>95581.84478</v>
      </c>
      <c r="R1696" s="5">
        <f t="shared" si="8"/>
        <v>14494.42076</v>
      </c>
    </row>
    <row r="1697" ht="15.75" customHeight="1">
      <c r="A1697" s="4">
        <v>2001.0</v>
      </c>
      <c r="B1697" s="4">
        <v>322.0</v>
      </c>
      <c r="C1697" s="4" t="s">
        <v>20</v>
      </c>
      <c r="D1697" s="5">
        <v>8483.508932684363</v>
      </c>
      <c r="E1697" s="5">
        <f t="shared" si="1"/>
        <v>0</v>
      </c>
      <c r="F1697" s="5">
        <f t="shared" si="2"/>
        <v>8483.508933</v>
      </c>
      <c r="G1697" s="5" t="s">
        <v>19</v>
      </c>
      <c r="H1697" s="5" t="s">
        <v>19</v>
      </c>
      <c r="I1697" s="5" t="s">
        <v>19</v>
      </c>
      <c r="J1697" s="5">
        <v>0.0</v>
      </c>
      <c r="K1697" s="5">
        <f t="shared" si="3"/>
        <v>0</v>
      </c>
      <c r="L1697" s="5">
        <f t="shared" si="4"/>
        <v>0</v>
      </c>
      <c r="M1697" s="5">
        <v>11496.997616460176</v>
      </c>
      <c r="N1697" s="5">
        <f t="shared" si="5"/>
        <v>0</v>
      </c>
      <c r="O1697" s="5">
        <f t="shared" si="6"/>
        <v>11496.99762</v>
      </c>
      <c r="P1697" s="5">
        <f t="shared" si="9"/>
        <v>19980.50655</v>
      </c>
      <c r="Q1697" s="5">
        <f t="shared" si="7"/>
        <v>19980.50655</v>
      </c>
      <c r="R1697" s="5">
        <f t="shared" si="8"/>
        <v>0</v>
      </c>
    </row>
    <row r="1698" ht="15.75" customHeight="1">
      <c r="A1698" s="4">
        <v>2001.0</v>
      </c>
      <c r="B1698" s="4">
        <v>323.0</v>
      </c>
      <c r="C1698" s="4" t="s">
        <v>20</v>
      </c>
      <c r="D1698" s="5">
        <v>4482.3959136283165</v>
      </c>
      <c r="E1698" s="5">
        <f t="shared" si="1"/>
        <v>0</v>
      </c>
      <c r="F1698" s="5">
        <f t="shared" si="2"/>
        <v>4482.395914</v>
      </c>
      <c r="G1698" s="5" t="s">
        <v>19</v>
      </c>
      <c r="H1698" s="5" t="s">
        <v>19</v>
      </c>
      <c r="I1698" s="5" t="s">
        <v>19</v>
      </c>
      <c r="J1698" s="5">
        <v>0.0</v>
      </c>
      <c r="K1698" s="5">
        <f t="shared" si="3"/>
        <v>0</v>
      </c>
      <c r="L1698" s="5">
        <f t="shared" si="4"/>
        <v>0</v>
      </c>
      <c r="M1698" s="5">
        <v>168568.65519345133</v>
      </c>
      <c r="N1698" s="5">
        <f t="shared" si="5"/>
        <v>0</v>
      </c>
      <c r="O1698" s="5">
        <f t="shared" si="6"/>
        <v>168568.6552</v>
      </c>
      <c r="P1698" s="5">
        <f t="shared" si="9"/>
        <v>173051.0511</v>
      </c>
      <c r="Q1698" s="5">
        <f t="shared" si="7"/>
        <v>173051.0511</v>
      </c>
      <c r="R1698" s="5">
        <f t="shared" si="8"/>
        <v>0</v>
      </c>
    </row>
    <row r="1699" ht="15.75" customHeight="1">
      <c r="A1699" s="4">
        <v>2001.0</v>
      </c>
      <c r="B1699" s="4">
        <v>324.0</v>
      </c>
      <c r="C1699" s="4" t="s">
        <v>20</v>
      </c>
      <c r="D1699" s="5">
        <v>7865.742829203535</v>
      </c>
      <c r="E1699" s="5">
        <f t="shared" si="1"/>
        <v>0</v>
      </c>
      <c r="F1699" s="5">
        <f t="shared" si="2"/>
        <v>7865.742829</v>
      </c>
      <c r="G1699" s="5" t="s">
        <v>19</v>
      </c>
      <c r="H1699" s="5" t="s">
        <v>19</v>
      </c>
      <c r="I1699" s="5" t="s">
        <v>19</v>
      </c>
      <c r="J1699" s="5">
        <v>0.0</v>
      </c>
      <c r="K1699" s="5">
        <f t="shared" si="3"/>
        <v>0</v>
      </c>
      <c r="L1699" s="5">
        <f t="shared" si="4"/>
        <v>0</v>
      </c>
      <c r="M1699" s="5">
        <v>9810.060722477872</v>
      </c>
      <c r="N1699" s="5">
        <f t="shared" si="5"/>
        <v>0</v>
      </c>
      <c r="O1699" s="5">
        <f t="shared" si="6"/>
        <v>9810.060722</v>
      </c>
      <c r="P1699" s="5">
        <f t="shared" si="9"/>
        <v>17675.80355</v>
      </c>
      <c r="Q1699" s="5">
        <f t="shared" si="7"/>
        <v>17675.80355</v>
      </c>
      <c r="R1699" s="5">
        <f t="shared" si="8"/>
        <v>0</v>
      </c>
    </row>
    <row r="1700" ht="15.75" customHeight="1">
      <c r="A1700" s="4">
        <v>2001.0</v>
      </c>
      <c r="B1700" s="4">
        <v>325.0</v>
      </c>
      <c r="C1700" s="4" t="s">
        <v>20</v>
      </c>
      <c r="D1700" s="5">
        <v>4187.879515457224</v>
      </c>
      <c r="E1700" s="5">
        <f t="shared" si="1"/>
        <v>0</v>
      </c>
      <c r="F1700" s="5">
        <f t="shared" si="2"/>
        <v>4187.879515</v>
      </c>
      <c r="G1700" s="5" t="s">
        <v>19</v>
      </c>
      <c r="H1700" s="5" t="s">
        <v>19</v>
      </c>
      <c r="I1700" s="5" t="s">
        <v>19</v>
      </c>
      <c r="J1700" s="5">
        <v>0.0</v>
      </c>
      <c r="K1700" s="5">
        <f t="shared" si="3"/>
        <v>0</v>
      </c>
      <c r="L1700" s="5">
        <f t="shared" si="4"/>
        <v>0</v>
      </c>
      <c r="M1700" s="5">
        <v>5903.254258407078</v>
      </c>
      <c r="N1700" s="5">
        <f t="shared" si="5"/>
        <v>0</v>
      </c>
      <c r="O1700" s="5">
        <f t="shared" si="6"/>
        <v>5903.254258</v>
      </c>
      <c r="P1700" s="5">
        <f t="shared" si="9"/>
        <v>10091.13377</v>
      </c>
      <c r="Q1700" s="5">
        <f t="shared" si="7"/>
        <v>10091.13377</v>
      </c>
      <c r="R1700" s="5">
        <f t="shared" si="8"/>
        <v>0</v>
      </c>
    </row>
    <row r="1701" ht="15.75" customHeight="1">
      <c r="A1701" s="4">
        <v>2001.0</v>
      </c>
      <c r="B1701" s="4">
        <v>326.0</v>
      </c>
      <c r="C1701" s="4" t="s">
        <v>20</v>
      </c>
      <c r="D1701" s="5">
        <v>14970.05301923303</v>
      </c>
      <c r="E1701" s="5">
        <f t="shared" si="1"/>
        <v>0</v>
      </c>
      <c r="F1701" s="5">
        <f t="shared" si="2"/>
        <v>14970.05302</v>
      </c>
      <c r="G1701" s="5" t="s">
        <v>19</v>
      </c>
      <c r="H1701" s="5" t="s">
        <v>19</v>
      </c>
      <c r="I1701" s="5" t="s">
        <v>19</v>
      </c>
      <c r="J1701" s="5">
        <v>0.0</v>
      </c>
      <c r="K1701" s="5">
        <f t="shared" si="3"/>
        <v>0</v>
      </c>
      <c r="L1701" s="5">
        <f t="shared" si="4"/>
        <v>0</v>
      </c>
      <c r="M1701" s="5">
        <v>99453.43632566367</v>
      </c>
      <c r="N1701" s="5">
        <f t="shared" si="5"/>
        <v>0</v>
      </c>
      <c r="O1701" s="5">
        <f t="shared" si="6"/>
        <v>99453.43633</v>
      </c>
      <c r="P1701" s="5">
        <f t="shared" si="9"/>
        <v>114423.4893</v>
      </c>
      <c r="Q1701" s="5">
        <f t="shared" si="7"/>
        <v>114423.4893</v>
      </c>
      <c r="R1701" s="5">
        <f t="shared" si="8"/>
        <v>0</v>
      </c>
    </row>
    <row r="1702" ht="15.75" customHeight="1">
      <c r="A1702" s="4">
        <v>2001.0</v>
      </c>
      <c r="B1702" s="4">
        <v>327.0</v>
      </c>
      <c r="C1702" s="4" t="s">
        <v>20</v>
      </c>
      <c r="D1702" s="5">
        <v>191371.0088701474</v>
      </c>
      <c r="E1702" s="5">
        <f t="shared" si="1"/>
        <v>0</v>
      </c>
      <c r="F1702" s="5">
        <f t="shared" si="2"/>
        <v>191371.0089</v>
      </c>
      <c r="G1702" s="5">
        <v>13314.176165486726</v>
      </c>
      <c r="H1702" s="5">
        <v>5164.40570318584</v>
      </c>
      <c r="I1702" s="5">
        <v>8149.770462300886</v>
      </c>
      <c r="J1702" s="5">
        <v>166.63840849557522</v>
      </c>
      <c r="K1702" s="5">
        <f t="shared" si="3"/>
        <v>166.6384085</v>
      </c>
      <c r="L1702" s="5">
        <f t="shared" si="4"/>
        <v>0</v>
      </c>
      <c r="M1702" s="5">
        <v>71226.4521615929</v>
      </c>
      <c r="N1702" s="5">
        <f t="shared" si="5"/>
        <v>0</v>
      </c>
      <c r="O1702" s="5">
        <f t="shared" si="6"/>
        <v>71226.45216</v>
      </c>
      <c r="P1702" s="5">
        <f t="shared" si="9"/>
        <v>276078.2756</v>
      </c>
      <c r="Q1702" s="5">
        <f t="shared" si="7"/>
        <v>270747.2315</v>
      </c>
      <c r="R1702" s="5">
        <f t="shared" si="8"/>
        <v>5331.044112</v>
      </c>
    </row>
    <row r="1703" ht="15.75" customHeight="1">
      <c r="A1703" s="4">
        <v>2001.0</v>
      </c>
      <c r="B1703" s="4">
        <v>328.0</v>
      </c>
      <c r="C1703" s="4" t="s">
        <v>20</v>
      </c>
      <c r="D1703" s="5">
        <v>3828.066676813567</v>
      </c>
      <c r="E1703" s="5">
        <f t="shared" si="1"/>
        <v>0</v>
      </c>
      <c r="F1703" s="5">
        <f t="shared" si="2"/>
        <v>3828.066677</v>
      </c>
      <c r="G1703" s="5" t="s">
        <v>19</v>
      </c>
      <c r="H1703" s="5" t="s">
        <v>19</v>
      </c>
      <c r="I1703" s="5" t="s">
        <v>19</v>
      </c>
      <c r="J1703" s="5">
        <v>249.95761274336286</v>
      </c>
      <c r="K1703" s="5">
        <f t="shared" si="3"/>
        <v>249.9576127</v>
      </c>
      <c r="L1703" s="5">
        <f t="shared" si="4"/>
        <v>0</v>
      </c>
      <c r="M1703" s="5">
        <v>94042.11992212388</v>
      </c>
      <c r="N1703" s="5">
        <f t="shared" si="5"/>
        <v>0</v>
      </c>
      <c r="O1703" s="5">
        <f t="shared" si="6"/>
        <v>94042.11992</v>
      </c>
      <c r="P1703" s="5">
        <f t="shared" si="9"/>
        <v>98120.14421</v>
      </c>
      <c r="Q1703" s="5">
        <f t="shared" si="7"/>
        <v>97870.1866</v>
      </c>
      <c r="R1703" s="5">
        <f t="shared" si="8"/>
        <v>249.9576127</v>
      </c>
    </row>
    <row r="1704" ht="15.75" customHeight="1">
      <c r="A1704" s="4">
        <v>2001.0</v>
      </c>
      <c r="B1704" s="4">
        <v>331.0</v>
      </c>
      <c r="C1704" s="4" t="s">
        <v>20</v>
      </c>
      <c r="D1704" s="5">
        <v>258154.03882079927</v>
      </c>
      <c r="E1704" s="5">
        <f t="shared" si="1"/>
        <v>0</v>
      </c>
      <c r="F1704" s="5">
        <f t="shared" si="2"/>
        <v>258154.0388</v>
      </c>
      <c r="G1704" s="5">
        <v>174028.14789840113</v>
      </c>
      <c r="H1704" s="5">
        <v>40910.09085260058</v>
      </c>
      <c r="I1704" s="5">
        <v>133118.05704580055</v>
      </c>
      <c r="J1704" s="5">
        <v>5837.55174761062</v>
      </c>
      <c r="K1704" s="5">
        <f t="shared" si="3"/>
        <v>5837.551748</v>
      </c>
      <c r="L1704" s="5">
        <f t="shared" si="4"/>
        <v>0</v>
      </c>
      <c r="M1704" s="5">
        <v>115766.79250502301</v>
      </c>
      <c r="N1704" s="5">
        <f t="shared" si="5"/>
        <v>0</v>
      </c>
      <c r="O1704" s="5">
        <f t="shared" si="6"/>
        <v>115766.7925</v>
      </c>
      <c r="P1704" s="5">
        <f t="shared" si="9"/>
        <v>553786.531</v>
      </c>
      <c r="Q1704" s="5">
        <f t="shared" si="7"/>
        <v>507038.8884</v>
      </c>
      <c r="R1704" s="5">
        <f t="shared" si="8"/>
        <v>46747.6426</v>
      </c>
    </row>
    <row r="1705" ht="15.75" customHeight="1">
      <c r="A1705" s="4">
        <v>2001.0</v>
      </c>
      <c r="B1705" s="4">
        <v>332.0</v>
      </c>
      <c r="C1705" s="4" t="s">
        <v>20</v>
      </c>
      <c r="D1705" s="5" t="s">
        <v>19</v>
      </c>
      <c r="E1705" s="5" t="str">
        <f t="shared" si="1"/>
        <v/>
      </c>
      <c r="F1705" s="5" t="str">
        <f t="shared" si="2"/>
        <v/>
      </c>
      <c r="G1705" s="5" t="s">
        <v>19</v>
      </c>
      <c r="H1705" s="5" t="s">
        <v>19</v>
      </c>
      <c r="I1705" s="5" t="s">
        <v>19</v>
      </c>
      <c r="J1705" s="5">
        <v>0.0</v>
      </c>
      <c r="K1705" s="5">
        <f t="shared" si="3"/>
        <v>0</v>
      </c>
      <c r="L1705" s="5">
        <f t="shared" si="4"/>
        <v>0</v>
      </c>
      <c r="M1705" s="5">
        <v>46007.64748262476</v>
      </c>
      <c r="N1705" s="5">
        <f t="shared" si="5"/>
        <v>0</v>
      </c>
      <c r="O1705" s="5">
        <f t="shared" si="6"/>
        <v>46007.64748</v>
      </c>
      <c r="P1705" s="5">
        <f t="shared" si="9"/>
        <v>46007.64748</v>
      </c>
      <c r="Q1705" s="5">
        <f t="shared" si="7"/>
        <v>46007.64748</v>
      </c>
      <c r="R1705" s="5">
        <f t="shared" si="8"/>
        <v>0</v>
      </c>
    </row>
    <row r="1706" ht="15.75" customHeight="1">
      <c r="A1706" s="4">
        <v>2001.0</v>
      </c>
      <c r="B1706" s="4">
        <v>333.0</v>
      </c>
      <c r="C1706" s="4" t="s">
        <v>20</v>
      </c>
      <c r="D1706" s="5" t="s">
        <v>19</v>
      </c>
      <c r="E1706" s="5" t="str">
        <f t="shared" si="1"/>
        <v/>
      </c>
      <c r="F1706" s="5" t="str">
        <f t="shared" si="2"/>
        <v/>
      </c>
      <c r="G1706" s="5" t="s">
        <v>19</v>
      </c>
      <c r="H1706" s="5" t="s">
        <v>19</v>
      </c>
      <c r="I1706" s="5" t="s">
        <v>19</v>
      </c>
      <c r="J1706" s="5">
        <v>0.0</v>
      </c>
      <c r="K1706" s="5">
        <f t="shared" si="3"/>
        <v>0</v>
      </c>
      <c r="L1706" s="5">
        <f t="shared" si="4"/>
        <v>0</v>
      </c>
      <c r="M1706" s="5">
        <v>7383.16730513274</v>
      </c>
      <c r="N1706" s="5">
        <f t="shared" si="5"/>
        <v>0</v>
      </c>
      <c r="O1706" s="5">
        <f t="shared" si="6"/>
        <v>7383.167305</v>
      </c>
      <c r="P1706" s="5">
        <f t="shared" si="9"/>
        <v>7383.167305</v>
      </c>
      <c r="Q1706" s="5">
        <f t="shared" si="7"/>
        <v>7383.167305</v>
      </c>
      <c r="R1706" s="5">
        <f t="shared" si="8"/>
        <v>0</v>
      </c>
    </row>
    <row r="1707" ht="15.75" customHeight="1">
      <c r="A1707" s="4">
        <v>2001.0</v>
      </c>
      <c r="B1707" s="4">
        <v>400.0</v>
      </c>
      <c r="C1707" s="4" t="s">
        <v>21</v>
      </c>
      <c r="D1707" s="5">
        <v>1548.8840635398221</v>
      </c>
      <c r="E1707" s="5">
        <f t="shared" si="1"/>
        <v>0</v>
      </c>
      <c r="F1707" s="5">
        <f t="shared" si="2"/>
        <v>1548.884064</v>
      </c>
      <c r="G1707" s="5" t="s">
        <v>19</v>
      </c>
      <c r="H1707" s="5" t="s">
        <v>19</v>
      </c>
      <c r="I1707" s="5" t="s">
        <v>19</v>
      </c>
      <c r="J1707" s="5">
        <v>92573.43428589971</v>
      </c>
      <c r="K1707" s="5">
        <f t="shared" si="3"/>
        <v>92573.43429</v>
      </c>
      <c r="L1707" s="5">
        <f t="shared" si="4"/>
        <v>0</v>
      </c>
      <c r="M1707" s="5">
        <v>649.1585341592922</v>
      </c>
      <c r="N1707" s="5">
        <f t="shared" si="5"/>
        <v>0</v>
      </c>
      <c r="O1707" s="5">
        <f t="shared" si="6"/>
        <v>649.1585342</v>
      </c>
      <c r="P1707" s="5">
        <f t="shared" si="9"/>
        <v>94771.47688</v>
      </c>
      <c r="Q1707" s="5">
        <f t="shared" si="7"/>
        <v>2198.042598</v>
      </c>
      <c r="R1707" s="5">
        <f t="shared" si="8"/>
        <v>92573.43429</v>
      </c>
    </row>
    <row r="1708" ht="15.75" customHeight="1">
      <c r="A1708" s="4">
        <v>2001.0</v>
      </c>
      <c r="B1708" s="4">
        <v>401.0</v>
      </c>
      <c r="C1708" s="4" t="s">
        <v>21</v>
      </c>
      <c r="D1708" s="5" t="s">
        <v>19</v>
      </c>
      <c r="E1708" s="5" t="str">
        <f t="shared" si="1"/>
        <v/>
      </c>
      <c r="F1708" s="5" t="str">
        <f t="shared" si="2"/>
        <v/>
      </c>
      <c r="G1708" s="5">
        <v>9296.29589522124</v>
      </c>
      <c r="H1708" s="5">
        <v>7241.3252236460185</v>
      </c>
      <c r="I1708" s="5">
        <v>2054.970671575221</v>
      </c>
      <c r="J1708" s="5">
        <v>290334.1877592921</v>
      </c>
      <c r="K1708" s="5">
        <f t="shared" si="3"/>
        <v>290334.1878</v>
      </c>
      <c r="L1708" s="5">
        <f t="shared" si="4"/>
        <v>0</v>
      </c>
      <c r="M1708" s="5">
        <v>1981.2132323893802</v>
      </c>
      <c r="N1708" s="5">
        <f t="shared" si="5"/>
        <v>0</v>
      </c>
      <c r="O1708" s="5">
        <f t="shared" si="6"/>
        <v>1981.213232</v>
      </c>
      <c r="P1708" s="5">
        <f t="shared" si="9"/>
        <v>301611.6969</v>
      </c>
      <c r="Q1708" s="5">
        <f t="shared" si="7"/>
        <v>4036.183904</v>
      </c>
      <c r="R1708" s="5">
        <f t="shared" si="8"/>
        <v>297575.513</v>
      </c>
    </row>
    <row r="1709" ht="15.75" customHeight="1">
      <c r="A1709" s="4">
        <v>2001.0</v>
      </c>
      <c r="B1709" s="4">
        <v>402.0</v>
      </c>
      <c r="C1709" s="4" t="s">
        <v>21</v>
      </c>
      <c r="D1709" s="5">
        <v>360.69902849557496</v>
      </c>
      <c r="E1709" s="5">
        <f t="shared" si="1"/>
        <v>0</v>
      </c>
      <c r="F1709" s="5">
        <f t="shared" si="2"/>
        <v>360.6990285</v>
      </c>
      <c r="G1709" s="5">
        <v>1297.9477456047198</v>
      </c>
      <c r="H1709" s="5">
        <v>920.1158364129793</v>
      </c>
      <c r="I1709" s="5">
        <v>377.83190919174046</v>
      </c>
      <c r="J1709" s="5">
        <v>208159.7915938053</v>
      </c>
      <c r="K1709" s="5">
        <f t="shared" si="3"/>
        <v>208159.7916</v>
      </c>
      <c r="L1709" s="5">
        <f t="shared" si="4"/>
        <v>0</v>
      </c>
      <c r="M1709" s="5">
        <v>5844.753540530979</v>
      </c>
      <c r="N1709" s="5">
        <f t="shared" si="5"/>
        <v>0</v>
      </c>
      <c r="O1709" s="5">
        <f t="shared" si="6"/>
        <v>5844.753541</v>
      </c>
      <c r="P1709" s="5">
        <f t="shared" si="9"/>
        <v>215663.1919</v>
      </c>
      <c r="Q1709" s="5">
        <f t="shared" si="7"/>
        <v>6583.284478</v>
      </c>
      <c r="R1709" s="5">
        <f t="shared" si="8"/>
        <v>209079.9074</v>
      </c>
    </row>
    <row r="1710" ht="15.75" customHeight="1">
      <c r="A1710" s="4">
        <v>2001.0</v>
      </c>
      <c r="B1710" s="4">
        <v>403.0</v>
      </c>
      <c r="C1710" s="4" t="s">
        <v>21</v>
      </c>
      <c r="D1710" s="5">
        <v>5205.382058289081</v>
      </c>
      <c r="E1710" s="5">
        <f t="shared" si="1"/>
        <v>0</v>
      </c>
      <c r="F1710" s="5">
        <f t="shared" si="2"/>
        <v>5205.382058</v>
      </c>
      <c r="G1710" s="5">
        <v>22996.10037238938</v>
      </c>
      <c r="H1710" s="5">
        <v>15946.409318513273</v>
      </c>
      <c r="I1710" s="5">
        <v>7049.691053876108</v>
      </c>
      <c r="J1710" s="5">
        <v>646100.9852757524</v>
      </c>
      <c r="K1710" s="5">
        <f t="shared" si="3"/>
        <v>646100.9853</v>
      </c>
      <c r="L1710" s="5">
        <f t="shared" si="4"/>
        <v>0</v>
      </c>
      <c r="M1710" s="5">
        <v>34393.768644955766</v>
      </c>
      <c r="N1710" s="5">
        <f t="shared" si="5"/>
        <v>0</v>
      </c>
      <c r="O1710" s="5">
        <f t="shared" si="6"/>
        <v>34393.76864</v>
      </c>
      <c r="P1710" s="5">
        <f t="shared" si="9"/>
        <v>708696.2364</v>
      </c>
      <c r="Q1710" s="5">
        <f t="shared" si="7"/>
        <v>46648.84176</v>
      </c>
      <c r="R1710" s="5">
        <f t="shared" si="8"/>
        <v>662047.3946</v>
      </c>
    </row>
    <row r="1711" ht="15.75" customHeight="1">
      <c r="A1711" s="4">
        <v>2001.0</v>
      </c>
      <c r="B1711" s="4">
        <v>404.0</v>
      </c>
      <c r="C1711" s="4" t="s">
        <v>21</v>
      </c>
      <c r="D1711" s="5">
        <v>2482.4580196460165</v>
      </c>
      <c r="E1711" s="5">
        <f t="shared" si="1"/>
        <v>0</v>
      </c>
      <c r="F1711" s="5">
        <f t="shared" si="2"/>
        <v>2482.45802</v>
      </c>
      <c r="G1711" s="5">
        <v>17906.242458997047</v>
      </c>
      <c r="H1711" s="5">
        <v>11442.326775126841</v>
      </c>
      <c r="I1711" s="5">
        <v>6463.915683870206</v>
      </c>
      <c r="J1711" s="5">
        <v>575184.967321298</v>
      </c>
      <c r="K1711" s="5">
        <f t="shared" si="3"/>
        <v>575184.9673</v>
      </c>
      <c r="L1711" s="5">
        <f t="shared" si="4"/>
        <v>0</v>
      </c>
      <c r="M1711" s="5">
        <v>12861.01719557523</v>
      </c>
      <c r="N1711" s="5">
        <f t="shared" si="5"/>
        <v>0</v>
      </c>
      <c r="O1711" s="5">
        <f t="shared" si="6"/>
        <v>12861.0172</v>
      </c>
      <c r="P1711" s="5">
        <f t="shared" si="9"/>
        <v>608434.685</v>
      </c>
      <c r="Q1711" s="5">
        <f t="shared" si="7"/>
        <v>21807.3909</v>
      </c>
      <c r="R1711" s="5">
        <f t="shared" si="8"/>
        <v>586627.2941</v>
      </c>
    </row>
    <row r="1712" ht="15.75" customHeight="1">
      <c r="A1712" s="4">
        <v>2001.0</v>
      </c>
      <c r="B1712" s="4">
        <v>405.0</v>
      </c>
      <c r="C1712" s="4" t="s">
        <v>21</v>
      </c>
      <c r="D1712" s="5">
        <v>1449.8686439528017</v>
      </c>
      <c r="E1712" s="5">
        <f t="shared" si="1"/>
        <v>0</v>
      </c>
      <c r="F1712" s="5">
        <f t="shared" si="2"/>
        <v>1449.868644</v>
      </c>
      <c r="G1712" s="5">
        <v>10356.399813097345</v>
      </c>
      <c r="H1712" s="5">
        <v>7192.397350513275</v>
      </c>
      <c r="I1712" s="5">
        <v>3164.0024625840697</v>
      </c>
      <c r="J1712" s="5">
        <v>126798.69944265488</v>
      </c>
      <c r="K1712" s="5">
        <f t="shared" si="3"/>
        <v>126798.6994</v>
      </c>
      <c r="L1712" s="5">
        <f t="shared" si="4"/>
        <v>0</v>
      </c>
      <c r="M1712" s="5">
        <v>896.9556090265487</v>
      </c>
      <c r="N1712" s="5">
        <f t="shared" si="5"/>
        <v>0</v>
      </c>
      <c r="O1712" s="5">
        <f t="shared" si="6"/>
        <v>896.955609</v>
      </c>
      <c r="P1712" s="5">
        <f t="shared" si="9"/>
        <v>139501.9235</v>
      </c>
      <c r="Q1712" s="5">
        <f t="shared" si="7"/>
        <v>5510.826716</v>
      </c>
      <c r="R1712" s="5">
        <f t="shared" si="8"/>
        <v>133991.0968</v>
      </c>
    </row>
    <row r="1713" ht="15.75" customHeight="1">
      <c r="A1713" s="4">
        <v>2001.0</v>
      </c>
      <c r="B1713" s="4">
        <v>406.0</v>
      </c>
      <c r="C1713" s="4" t="s">
        <v>21</v>
      </c>
      <c r="D1713" s="5" t="s">
        <v>19</v>
      </c>
      <c r="E1713" s="5" t="str">
        <f t="shared" si="1"/>
        <v/>
      </c>
      <c r="F1713" s="5" t="str">
        <f t="shared" si="2"/>
        <v/>
      </c>
      <c r="G1713" s="5" t="s">
        <v>19</v>
      </c>
      <c r="H1713" s="5" t="s">
        <v>19</v>
      </c>
      <c r="I1713" s="5" t="s">
        <v>19</v>
      </c>
      <c r="J1713" s="5">
        <v>31432.40986224189</v>
      </c>
      <c r="K1713" s="5">
        <f t="shared" si="3"/>
        <v>31432.40986</v>
      </c>
      <c r="L1713" s="5">
        <f t="shared" si="4"/>
        <v>0</v>
      </c>
      <c r="M1713" s="5">
        <v>1034.2328617699122</v>
      </c>
      <c r="N1713" s="5">
        <f t="shared" si="5"/>
        <v>0</v>
      </c>
      <c r="O1713" s="5">
        <f t="shared" si="6"/>
        <v>1034.232862</v>
      </c>
      <c r="P1713" s="5">
        <f t="shared" si="9"/>
        <v>32466.64272</v>
      </c>
      <c r="Q1713" s="5">
        <f t="shared" si="7"/>
        <v>1034.232862</v>
      </c>
      <c r="R1713" s="5">
        <f t="shared" si="8"/>
        <v>31432.40986</v>
      </c>
    </row>
    <row r="1714" ht="15.75" customHeight="1">
      <c r="A1714" s="4">
        <v>2001.0</v>
      </c>
      <c r="B1714" s="4">
        <v>407.0</v>
      </c>
      <c r="C1714" s="4" t="s">
        <v>21</v>
      </c>
      <c r="D1714" s="5" t="s">
        <v>19</v>
      </c>
      <c r="E1714" s="5" t="str">
        <f t="shared" si="1"/>
        <v/>
      </c>
      <c r="F1714" s="5" t="str">
        <f t="shared" si="2"/>
        <v/>
      </c>
      <c r="G1714" s="5" t="s">
        <v>19</v>
      </c>
      <c r="H1714" s="5" t="s">
        <v>19</v>
      </c>
      <c r="I1714" s="5" t="s">
        <v>19</v>
      </c>
      <c r="J1714" s="5">
        <v>85115.5899280236</v>
      </c>
      <c r="K1714" s="5">
        <f t="shared" si="3"/>
        <v>85115.58993</v>
      </c>
      <c r="L1714" s="5">
        <f t="shared" si="4"/>
        <v>0</v>
      </c>
      <c r="M1714" s="5">
        <v>1294.826968672567</v>
      </c>
      <c r="N1714" s="5">
        <f t="shared" si="5"/>
        <v>0</v>
      </c>
      <c r="O1714" s="5">
        <f t="shared" si="6"/>
        <v>1294.826969</v>
      </c>
      <c r="P1714" s="5">
        <f t="shared" si="9"/>
        <v>86410.4169</v>
      </c>
      <c r="Q1714" s="5">
        <f t="shared" si="7"/>
        <v>1294.826969</v>
      </c>
      <c r="R1714" s="5">
        <f t="shared" si="8"/>
        <v>85115.58993</v>
      </c>
    </row>
    <row r="1715" ht="15.75" customHeight="1">
      <c r="A1715" s="4">
        <v>2001.0</v>
      </c>
      <c r="B1715" s="4">
        <v>408.0</v>
      </c>
      <c r="C1715" s="4" t="s">
        <v>21</v>
      </c>
      <c r="D1715" s="5">
        <v>8154.627055988196</v>
      </c>
      <c r="E1715" s="5">
        <f t="shared" si="1"/>
        <v>0</v>
      </c>
      <c r="F1715" s="5">
        <f t="shared" si="2"/>
        <v>8154.627056</v>
      </c>
      <c r="G1715" s="5">
        <v>2269.709670324484</v>
      </c>
      <c r="H1715" s="5">
        <v>1281.638454560472</v>
      </c>
      <c r="I1715" s="5">
        <v>988.0712157640119</v>
      </c>
      <c r="J1715" s="5">
        <v>25151.043009380533</v>
      </c>
      <c r="K1715" s="5">
        <f t="shared" si="3"/>
        <v>25151.04301</v>
      </c>
      <c r="L1715" s="5">
        <f t="shared" si="4"/>
        <v>0</v>
      </c>
      <c r="M1715" s="5">
        <v>239.65350902654882</v>
      </c>
      <c r="N1715" s="5">
        <f t="shared" si="5"/>
        <v>0</v>
      </c>
      <c r="O1715" s="5">
        <f t="shared" si="6"/>
        <v>239.653509</v>
      </c>
      <c r="P1715" s="5">
        <f t="shared" si="9"/>
        <v>35815.03324</v>
      </c>
      <c r="Q1715" s="5">
        <f t="shared" si="7"/>
        <v>9382.351781</v>
      </c>
      <c r="R1715" s="5">
        <f t="shared" si="8"/>
        <v>26432.68146</v>
      </c>
    </row>
    <row r="1716" ht="15.75" customHeight="1">
      <c r="A1716" s="4">
        <v>2001.0</v>
      </c>
      <c r="B1716" s="4">
        <v>409.0</v>
      </c>
      <c r="C1716" s="4" t="s">
        <v>21</v>
      </c>
      <c r="D1716" s="5">
        <v>1640.8269531563412</v>
      </c>
      <c r="E1716" s="5">
        <f t="shared" si="1"/>
        <v>0</v>
      </c>
      <c r="F1716" s="5">
        <f t="shared" si="2"/>
        <v>1640.826953</v>
      </c>
      <c r="G1716" s="5">
        <v>1365.903124955752</v>
      </c>
      <c r="H1716" s="5">
        <v>852.1604570619468</v>
      </c>
      <c r="I1716" s="5">
        <v>513.7426678938052</v>
      </c>
      <c r="J1716" s="5">
        <v>59539.99199292036</v>
      </c>
      <c r="K1716" s="5">
        <f t="shared" si="3"/>
        <v>59539.99199</v>
      </c>
      <c r="L1716" s="5">
        <f t="shared" si="4"/>
        <v>0</v>
      </c>
      <c r="M1716" s="5">
        <v>1074.9506909734519</v>
      </c>
      <c r="N1716" s="5">
        <f t="shared" si="5"/>
        <v>0</v>
      </c>
      <c r="O1716" s="5">
        <f t="shared" si="6"/>
        <v>1074.950691</v>
      </c>
      <c r="P1716" s="5">
        <f t="shared" si="9"/>
        <v>63621.67276</v>
      </c>
      <c r="Q1716" s="5">
        <f t="shared" si="7"/>
        <v>3229.520312</v>
      </c>
      <c r="R1716" s="5">
        <f t="shared" si="8"/>
        <v>60392.15245</v>
      </c>
    </row>
    <row r="1717" ht="15.75" customHeight="1">
      <c r="A1717" s="4">
        <v>2001.0</v>
      </c>
      <c r="B1717" s="4">
        <v>420.0</v>
      </c>
      <c r="C1717" s="4" t="s">
        <v>21</v>
      </c>
      <c r="D1717" s="5">
        <v>671.8903471976397</v>
      </c>
      <c r="E1717" s="5">
        <f t="shared" si="1"/>
        <v>0</v>
      </c>
      <c r="F1717" s="5">
        <f t="shared" si="2"/>
        <v>671.8903472</v>
      </c>
      <c r="G1717" s="5" t="s">
        <v>19</v>
      </c>
      <c r="H1717" s="5" t="s">
        <v>19</v>
      </c>
      <c r="I1717" s="5" t="s">
        <v>19</v>
      </c>
      <c r="J1717" s="5">
        <v>0.0</v>
      </c>
      <c r="K1717" s="5">
        <f t="shared" si="3"/>
        <v>0</v>
      </c>
      <c r="L1717" s="5">
        <f t="shared" si="4"/>
        <v>0</v>
      </c>
      <c r="M1717" s="5">
        <v>114229.79804761067</v>
      </c>
      <c r="N1717" s="5">
        <f t="shared" si="5"/>
        <v>0</v>
      </c>
      <c r="O1717" s="5">
        <f t="shared" si="6"/>
        <v>114229.798</v>
      </c>
      <c r="P1717" s="5">
        <f t="shared" si="9"/>
        <v>114901.6884</v>
      </c>
      <c r="Q1717" s="5">
        <f t="shared" si="7"/>
        <v>114901.6884</v>
      </c>
      <c r="R1717" s="5">
        <f t="shared" si="8"/>
        <v>0</v>
      </c>
    </row>
    <row r="1718" ht="15.75" customHeight="1">
      <c r="A1718" s="4">
        <v>2001.0</v>
      </c>
      <c r="B1718" s="4">
        <v>421.0</v>
      </c>
      <c r="C1718" s="4" t="s">
        <v>21</v>
      </c>
      <c r="D1718" s="5">
        <v>6167.246134277282</v>
      </c>
      <c r="E1718" s="5">
        <f t="shared" si="1"/>
        <v>0</v>
      </c>
      <c r="F1718" s="5">
        <f t="shared" si="2"/>
        <v>6167.246134</v>
      </c>
      <c r="G1718" s="5" t="s">
        <v>19</v>
      </c>
      <c r="H1718" s="5" t="s">
        <v>19</v>
      </c>
      <c r="I1718" s="5" t="s">
        <v>19</v>
      </c>
      <c r="J1718" s="5">
        <v>0.0</v>
      </c>
      <c r="K1718" s="5">
        <f t="shared" si="3"/>
        <v>0</v>
      </c>
      <c r="L1718" s="5">
        <f t="shared" si="4"/>
        <v>0</v>
      </c>
      <c r="M1718" s="5">
        <v>182720.67686761066</v>
      </c>
      <c r="N1718" s="5">
        <f t="shared" si="5"/>
        <v>0</v>
      </c>
      <c r="O1718" s="5">
        <f t="shared" si="6"/>
        <v>182720.6769</v>
      </c>
      <c r="P1718" s="5">
        <f t="shared" si="9"/>
        <v>188887.923</v>
      </c>
      <c r="Q1718" s="5">
        <f t="shared" si="7"/>
        <v>188887.923</v>
      </c>
      <c r="R1718" s="5">
        <f t="shared" si="8"/>
        <v>0</v>
      </c>
    </row>
    <row r="1719" ht="15.75" customHeight="1">
      <c r="A1719" s="4">
        <v>2001.0</v>
      </c>
      <c r="B1719" s="4">
        <v>422.0</v>
      </c>
      <c r="C1719" s="4" t="s">
        <v>21</v>
      </c>
      <c r="D1719" s="5">
        <v>8578.978854218283</v>
      </c>
      <c r="E1719" s="5">
        <f t="shared" si="1"/>
        <v>0</v>
      </c>
      <c r="F1719" s="5">
        <f t="shared" si="2"/>
        <v>8578.978854</v>
      </c>
      <c r="G1719" s="5" t="s">
        <v>19</v>
      </c>
      <c r="H1719" s="5" t="s">
        <v>19</v>
      </c>
      <c r="I1719" s="5" t="s">
        <v>19</v>
      </c>
      <c r="J1719" s="5">
        <v>81.84191339233038</v>
      </c>
      <c r="K1719" s="5">
        <f t="shared" si="3"/>
        <v>81.84191339</v>
      </c>
      <c r="L1719" s="5">
        <f t="shared" si="4"/>
        <v>0</v>
      </c>
      <c r="M1719" s="5">
        <v>262867.90682203555</v>
      </c>
      <c r="N1719" s="5">
        <f t="shared" si="5"/>
        <v>0</v>
      </c>
      <c r="O1719" s="5">
        <f t="shared" si="6"/>
        <v>262867.9068</v>
      </c>
      <c r="P1719" s="5">
        <f t="shared" si="9"/>
        <v>271528.7276</v>
      </c>
      <c r="Q1719" s="5">
        <f t="shared" si="7"/>
        <v>271446.8857</v>
      </c>
      <c r="R1719" s="5">
        <f t="shared" si="8"/>
        <v>81.84191339</v>
      </c>
    </row>
    <row r="1720" ht="15.75" customHeight="1">
      <c r="A1720" s="4">
        <v>2001.0</v>
      </c>
      <c r="B1720" s="4">
        <v>423.0</v>
      </c>
      <c r="C1720" s="4" t="s">
        <v>21</v>
      </c>
      <c r="D1720" s="5">
        <v>17688.397456224182</v>
      </c>
      <c r="E1720" s="5">
        <f t="shared" si="1"/>
        <v>0</v>
      </c>
      <c r="F1720" s="5">
        <f t="shared" si="2"/>
        <v>17688.39746</v>
      </c>
      <c r="G1720" s="5">
        <v>6550.898569439529</v>
      </c>
      <c r="H1720" s="5">
        <v>2676.082838843658</v>
      </c>
      <c r="I1720" s="5">
        <v>3874.8157305958707</v>
      </c>
      <c r="J1720" s="5">
        <v>9278.826930855459</v>
      </c>
      <c r="K1720" s="5">
        <f t="shared" si="3"/>
        <v>9278.826931</v>
      </c>
      <c r="L1720" s="5">
        <f t="shared" si="4"/>
        <v>0</v>
      </c>
      <c r="M1720" s="5">
        <v>629909.4712449559</v>
      </c>
      <c r="N1720" s="5">
        <f t="shared" si="5"/>
        <v>0</v>
      </c>
      <c r="O1720" s="5">
        <f t="shared" si="6"/>
        <v>629909.4712</v>
      </c>
      <c r="P1720" s="5">
        <f t="shared" si="9"/>
        <v>663427.5942</v>
      </c>
      <c r="Q1720" s="5">
        <f t="shared" si="7"/>
        <v>651472.6844</v>
      </c>
      <c r="R1720" s="5">
        <f t="shared" si="8"/>
        <v>11954.90977</v>
      </c>
    </row>
    <row r="1721" ht="15.75" customHeight="1">
      <c r="A1721" s="4">
        <v>2001.0</v>
      </c>
      <c r="B1721" s="4">
        <v>424.0</v>
      </c>
      <c r="C1721" s="4" t="s">
        <v>21</v>
      </c>
      <c r="D1721" s="5">
        <v>26182.505950796443</v>
      </c>
      <c r="E1721" s="5">
        <f t="shared" si="1"/>
        <v>0</v>
      </c>
      <c r="F1721" s="5">
        <f t="shared" si="2"/>
        <v>26182.50595</v>
      </c>
      <c r="G1721" s="5">
        <v>4682.125637286135</v>
      </c>
      <c r="H1721" s="5">
        <v>2824.225565828908</v>
      </c>
      <c r="I1721" s="5">
        <v>1857.900071457227</v>
      </c>
      <c r="J1721" s="5">
        <v>363.1734906784661</v>
      </c>
      <c r="K1721" s="5">
        <f t="shared" si="3"/>
        <v>363.1734907</v>
      </c>
      <c r="L1721" s="5">
        <f t="shared" si="4"/>
        <v>0</v>
      </c>
      <c r="M1721" s="5">
        <v>105718.60837752215</v>
      </c>
      <c r="N1721" s="5">
        <f t="shared" si="5"/>
        <v>0</v>
      </c>
      <c r="O1721" s="5">
        <f t="shared" si="6"/>
        <v>105718.6084</v>
      </c>
      <c r="P1721" s="5">
        <f t="shared" si="9"/>
        <v>136946.4135</v>
      </c>
      <c r="Q1721" s="5">
        <f t="shared" si="7"/>
        <v>133759.0144</v>
      </c>
      <c r="R1721" s="5">
        <f t="shared" si="8"/>
        <v>3187.399057</v>
      </c>
    </row>
    <row r="1722" ht="15.75" customHeight="1">
      <c r="A1722" s="4">
        <v>2001.0</v>
      </c>
      <c r="B1722" s="4">
        <v>425.0</v>
      </c>
      <c r="C1722" s="4" t="s">
        <v>21</v>
      </c>
      <c r="D1722" s="5">
        <v>7602.96971828908</v>
      </c>
      <c r="E1722" s="5">
        <f t="shared" si="1"/>
        <v>0</v>
      </c>
      <c r="F1722" s="5">
        <f t="shared" si="2"/>
        <v>7602.969718</v>
      </c>
      <c r="G1722" s="5" t="s">
        <v>19</v>
      </c>
      <c r="H1722" s="5" t="s">
        <v>19</v>
      </c>
      <c r="I1722" s="5" t="s">
        <v>19</v>
      </c>
      <c r="J1722" s="5">
        <v>0.0</v>
      </c>
      <c r="K1722" s="5">
        <f t="shared" si="3"/>
        <v>0</v>
      </c>
      <c r="L1722" s="5">
        <f t="shared" si="4"/>
        <v>0</v>
      </c>
      <c r="M1722" s="5">
        <v>140995.3722329205</v>
      </c>
      <c r="N1722" s="5">
        <f t="shared" si="5"/>
        <v>0</v>
      </c>
      <c r="O1722" s="5">
        <f t="shared" si="6"/>
        <v>140995.3722</v>
      </c>
      <c r="P1722" s="5">
        <f t="shared" si="9"/>
        <v>148598.342</v>
      </c>
      <c r="Q1722" s="5">
        <f t="shared" si="7"/>
        <v>148598.342</v>
      </c>
      <c r="R1722" s="5">
        <f t="shared" si="8"/>
        <v>0</v>
      </c>
    </row>
    <row r="1723" ht="15.75" customHeight="1">
      <c r="A1723" s="4">
        <v>2001.0</v>
      </c>
      <c r="B1723" s="4">
        <v>426.0</v>
      </c>
      <c r="C1723" s="4" t="s">
        <v>21</v>
      </c>
      <c r="D1723" s="5" t="s">
        <v>19</v>
      </c>
      <c r="E1723" s="5" t="str">
        <f t="shared" si="1"/>
        <v/>
      </c>
      <c r="F1723" s="5" t="str">
        <f t="shared" si="2"/>
        <v/>
      </c>
      <c r="G1723" s="5" t="s">
        <v>19</v>
      </c>
      <c r="H1723" s="5" t="s">
        <v>19</v>
      </c>
      <c r="I1723" s="5" t="s">
        <v>19</v>
      </c>
      <c r="J1723" s="5">
        <v>0.0</v>
      </c>
      <c r="K1723" s="5">
        <f t="shared" si="3"/>
        <v>0</v>
      </c>
      <c r="L1723" s="5">
        <f t="shared" si="4"/>
        <v>0</v>
      </c>
      <c r="M1723" s="5">
        <v>75152.31567769917</v>
      </c>
      <c r="N1723" s="5">
        <f t="shared" si="5"/>
        <v>0</v>
      </c>
      <c r="O1723" s="5">
        <f t="shared" si="6"/>
        <v>75152.31568</v>
      </c>
      <c r="P1723" s="5">
        <f t="shared" si="9"/>
        <v>75152.31568</v>
      </c>
      <c r="Q1723" s="5">
        <f t="shared" si="7"/>
        <v>75152.31568</v>
      </c>
      <c r="R1723" s="5">
        <f t="shared" si="8"/>
        <v>0</v>
      </c>
    </row>
    <row r="1724" ht="15.75" customHeight="1">
      <c r="A1724" s="4">
        <v>2001.0</v>
      </c>
      <c r="B1724" s="4">
        <v>427.0</v>
      </c>
      <c r="C1724" s="4" t="s">
        <v>21</v>
      </c>
      <c r="D1724" s="5" t="s">
        <v>19</v>
      </c>
      <c r="E1724" s="5" t="str">
        <f t="shared" si="1"/>
        <v/>
      </c>
      <c r="F1724" s="5" t="str">
        <f t="shared" si="2"/>
        <v/>
      </c>
      <c r="G1724" s="5" t="s">
        <v>19</v>
      </c>
      <c r="H1724" s="5" t="s">
        <v>19</v>
      </c>
      <c r="I1724" s="5" t="s">
        <v>19</v>
      </c>
      <c r="J1724" s="5">
        <v>0.0</v>
      </c>
      <c r="K1724" s="5">
        <f t="shared" si="3"/>
        <v>0</v>
      </c>
      <c r="L1724" s="5">
        <f t="shared" si="4"/>
        <v>0</v>
      </c>
      <c r="M1724" s="5">
        <v>196307.63478955766</v>
      </c>
      <c r="N1724" s="5">
        <f t="shared" si="5"/>
        <v>0</v>
      </c>
      <c r="O1724" s="5">
        <f t="shared" si="6"/>
        <v>196307.6348</v>
      </c>
      <c r="P1724" s="5">
        <f t="shared" si="9"/>
        <v>196307.6348</v>
      </c>
      <c r="Q1724" s="5">
        <f t="shared" si="7"/>
        <v>196307.6348</v>
      </c>
      <c r="R1724" s="5">
        <f t="shared" si="8"/>
        <v>0</v>
      </c>
    </row>
    <row r="1725" ht="15.75" customHeight="1">
      <c r="A1725" s="4">
        <v>2001.0</v>
      </c>
      <c r="B1725" s="4">
        <v>428.0</v>
      </c>
      <c r="C1725" s="4" t="s">
        <v>21</v>
      </c>
      <c r="D1725" s="5">
        <v>11782.834930855452</v>
      </c>
      <c r="E1725" s="5">
        <f t="shared" si="1"/>
        <v>0</v>
      </c>
      <c r="F1725" s="5">
        <f t="shared" si="2"/>
        <v>11782.83493</v>
      </c>
      <c r="G1725" s="5">
        <v>2330.8695117404127</v>
      </c>
      <c r="H1725" s="5">
        <v>1746.4532493215336</v>
      </c>
      <c r="I1725" s="5">
        <v>584.4162624188791</v>
      </c>
      <c r="J1725" s="5">
        <v>0.0</v>
      </c>
      <c r="K1725" s="5">
        <f t="shared" si="3"/>
        <v>0</v>
      </c>
      <c r="L1725" s="5">
        <f t="shared" si="4"/>
        <v>0</v>
      </c>
      <c r="M1725" s="5">
        <v>41276.245146902686</v>
      </c>
      <c r="N1725" s="5">
        <f t="shared" si="5"/>
        <v>0</v>
      </c>
      <c r="O1725" s="5">
        <f t="shared" si="6"/>
        <v>41276.24515</v>
      </c>
      <c r="P1725" s="5">
        <f t="shared" si="9"/>
        <v>55389.94959</v>
      </c>
      <c r="Q1725" s="5">
        <f t="shared" si="7"/>
        <v>53643.49634</v>
      </c>
      <c r="R1725" s="5">
        <f t="shared" si="8"/>
        <v>1746.453249</v>
      </c>
    </row>
    <row r="1726" ht="15.75" customHeight="1">
      <c r="A1726" s="4">
        <v>2001.0</v>
      </c>
      <c r="B1726" s="4">
        <v>429.0</v>
      </c>
      <c r="C1726" s="4" t="s">
        <v>21</v>
      </c>
      <c r="D1726" s="5">
        <v>22653.313495516206</v>
      </c>
      <c r="E1726" s="5">
        <f t="shared" si="1"/>
        <v>0</v>
      </c>
      <c r="F1726" s="5">
        <f t="shared" si="2"/>
        <v>22653.3135</v>
      </c>
      <c r="G1726" s="5">
        <v>8344.920584306785</v>
      </c>
      <c r="H1726" s="5">
        <v>6308.977418949853</v>
      </c>
      <c r="I1726" s="5">
        <v>2035.9431653569318</v>
      </c>
      <c r="J1726" s="5">
        <v>245.52574017699118</v>
      </c>
      <c r="K1726" s="5">
        <f t="shared" si="3"/>
        <v>245.5257402</v>
      </c>
      <c r="L1726" s="5">
        <f t="shared" si="4"/>
        <v>0</v>
      </c>
      <c r="M1726" s="5">
        <v>65680.25504040002</v>
      </c>
      <c r="N1726" s="5">
        <f t="shared" si="5"/>
        <v>0</v>
      </c>
      <c r="O1726" s="5">
        <f t="shared" si="6"/>
        <v>65680.25504</v>
      </c>
      <c r="P1726" s="5">
        <f t="shared" si="9"/>
        <v>96924.01486</v>
      </c>
      <c r="Q1726" s="5">
        <f t="shared" si="7"/>
        <v>90369.5117</v>
      </c>
      <c r="R1726" s="5">
        <f t="shared" si="8"/>
        <v>6554.503159</v>
      </c>
    </row>
    <row r="1727" ht="15.75" customHeight="1">
      <c r="A1727" s="4">
        <v>2001.0</v>
      </c>
      <c r="B1727" s="4">
        <v>500.0</v>
      </c>
      <c r="C1727" s="4" t="s">
        <v>22</v>
      </c>
      <c r="D1727" s="5">
        <v>8925.846747079642</v>
      </c>
      <c r="E1727" s="5">
        <f t="shared" si="1"/>
        <v>0</v>
      </c>
      <c r="F1727" s="5">
        <f t="shared" si="2"/>
        <v>8925.846747</v>
      </c>
      <c r="G1727" s="5">
        <v>46296.818119174044</v>
      </c>
      <c r="H1727" s="5">
        <v>31679.431359410028</v>
      </c>
      <c r="I1727" s="5">
        <v>14617.386759764016</v>
      </c>
      <c r="J1727" s="5">
        <v>2016990.6316495575</v>
      </c>
      <c r="K1727" s="5">
        <f t="shared" si="3"/>
        <v>2016990.632</v>
      </c>
      <c r="L1727" s="5">
        <f t="shared" si="4"/>
        <v>0</v>
      </c>
      <c r="M1727" s="5">
        <v>19663.322969410023</v>
      </c>
      <c r="N1727" s="5">
        <f t="shared" si="5"/>
        <v>0</v>
      </c>
      <c r="O1727" s="5">
        <f t="shared" si="6"/>
        <v>19663.32297</v>
      </c>
      <c r="P1727" s="5">
        <f t="shared" si="9"/>
        <v>2091876.619</v>
      </c>
      <c r="Q1727" s="5">
        <f t="shared" si="7"/>
        <v>43206.55648</v>
      </c>
      <c r="R1727" s="5">
        <f t="shared" si="8"/>
        <v>2048670.063</v>
      </c>
    </row>
    <row r="1728" ht="15.75" customHeight="1">
      <c r="A1728" s="4">
        <v>2001.0</v>
      </c>
      <c r="B1728" s="4">
        <v>501.0</v>
      </c>
      <c r="C1728" s="4" t="s">
        <v>22</v>
      </c>
      <c r="D1728" s="5" t="s">
        <v>19</v>
      </c>
      <c r="E1728" s="5" t="str">
        <f t="shared" si="1"/>
        <v/>
      </c>
      <c r="F1728" s="5" t="str">
        <f t="shared" si="2"/>
        <v/>
      </c>
      <c r="G1728" s="5">
        <v>3771.5235539823007</v>
      </c>
      <c r="H1728" s="5">
        <v>1816.0705808849557</v>
      </c>
      <c r="I1728" s="5">
        <v>1955.452973097345</v>
      </c>
      <c r="J1728" s="5">
        <v>4351.120154985251</v>
      </c>
      <c r="K1728" s="5">
        <f t="shared" si="3"/>
        <v>4351.120155</v>
      </c>
      <c r="L1728" s="5">
        <f t="shared" si="4"/>
        <v>0</v>
      </c>
      <c r="M1728" s="5">
        <v>2842.3814704424767</v>
      </c>
      <c r="N1728" s="5">
        <f t="shared" si="5"/>
        <v>0</v>
      </c>
      <c r="O1728" s="5">
        <f t="shared" si="6"/>
        <v>2842.38147</v>
      </c>
      <c r="P1728" s="5">
        <f t="shared" si="9"/>
        <v>10965.02518</v>
      </c>
      <c r="Q1728" s="5">
        <f t="shared" si="7"/>
        <v>4797.834444</v>
      </c>
      <c r="R1728" s="5">
        <f t="shared" si="8"/>
        <v>6167.190736</v>
      </c>
    </row>
    <row r="1729" ht="15.75" customHeight="1">
      <c r="A1729" s="4">
        <v>2001.0</v>
      </c>
      <c r="B1729" s="4">
        <v>502.0</v>
      </c>
      <c r="C1729" s="4" t="s">
        <v>22</v>
      </c>
      <c r="D1729" s="5" t="s">
        <v>19</v>
      </c>
      <c r="E1729" s="5" t="str">
        <f t="shared" si="1"/>
        <v/>
      </c>
      <c r="F1729" s="5" t="str">
        <f t="shared" si="2"/>
        <v/>
      </c>
      <c r="G1729" s="5" t="s">
        <v>19</v>
      </c>
      <c r="H1729" s="5" t="s">
        <v>19</v>
      </c>
      <c r="I1729" s="5" t="s">
        <v>19</v>
      </c>
      <c r="J1729" s="5">
        <v>0.0</v>
      </c>
      <c r="K1729" s="5">
        <f t="shared" si="3"/>
        <v>0</v>
      </c>
      <c r="L1729" s="5">
        <f t="shared" si="4"/>
        <v>0</v>
      </c>
      <c r="M1729" s="5">
        <v>3595.190424247786</v>
      </c>
      <c r="N1729" s="5">
        <f t="shared" si="5"/>
        <v>0</v>
      </c>
      <c r="O1729" s="5">
        <f t="shared" si="6"/>
        <v>3595.190424</v>
      </c>
      <c r="P1729" s="5">
        <f t="shared" si="9"/>
        <v>3595.190424</v>
      </c>
      <c r="Q1729" s="5">
        <f t="shared" si="7"/>
        <v>3595.190424</v>
      </c>
      <c r="R1729" s="5">
        <f t="shared" si="8"/>
        <v>0</v>
      </c>
    </row>
    <row r="1730" ht="15.75" customHeight="1">
      <c r="A1730" s="4">
        <v>2001.0</v>
      </c>
      <c r="B1730" s="4">
        <v>503.0</v>
      </c>
      <c r="C1730" s="4" t="s">
        <v>22</v>
      </c>
      <c r="D1730" s="5">
        <v>2243.96787716814</v>
      </c>
      <c r="E1730" s="5">
        <f t="shared" si="1"/>
        <v>0</v>
      </c>
      <c r="F1730" s="5">
        <f t="shared" si="2"/>
        <v>2243.967877</v>
      </c>
      <c r="G1730" s="5" t="s">
        <v>19</v>
      </c>
      <c r="H1730" s="5" t="s">
        <v>19</v>
      </c>
      <c r="I1730" s="5" t="s">
        <v>19</v>
      </c>
      <c r="J1730" s="5">
        <v>281561.4622093806</v>
      </c>
      <c r="K1730" s="5">
        <f t="shared" si="3"/>
        <v>281561.4622</v>
      </c>
      <c r="L1730" s="5">
        <f t="shared" si="4"/>
        <v>0</v>
      </c>
      <c r="M1730" s="5">
        <v>19922.46748466076</v>
      </c>
      <c r="N1730" s="5">
        <f t="shared" si="5"/>
        <v>0</v>
      </c>
      <c r="O1730" s="5">
        <f t="shared" si="6"/>
        <v>19922.46748</v>
      </c>
      <c r="P1730" s="5">
        <f t="shared" si="9"/>
        <v>303727.8976</v>
      </c>
      <c r="Q1730" s="5">
        <f t="shared" si="7"/>
        <v>22166.43536</v>
      </c>
      <c r="R1730" s="5">
        <f t="shared" si="8"/>
        <v>281561.4622</v>
      </c>
    </row>
    <row r="1731" ht="15.75" customHeight="1">
      <c r="A1731" s="4">
        <v>2001.0</v>
      </c>
      <c r="B1731" s="4">
        <v>504.0</v>
      </c>
      <c r="C1731" s="4" t="s">
        <v>22</v>
      </c>
      <c r="D1731" s="5">
        <v>2958.6073284955737</v>
      </c>
      <c r="E1731" s="5">
        <f t="shared" si="1"/>
        <v>0</v>
      </c>
      <c r="F1731" s="5">
        <f t="shared" si="2"/>
        <v>2958.607328</v>
      </c>
      <c r="G1731" s="5">
        <v>8137.472015929203</v>
      </c>
      <c r="H1731" s="5">
        <v>4324.953640707964</v>
      </c>
      <c r="I1731" s="5">
        <v>3812.518375221239</v>
      </c>
      <c r="J1731" s="5">
        <v>215277.10194336285</v>
      </c>
      <c r="K1731" s="5">
        <f t="shared" si="3"/>
        <v>215277.1019</v>
      </c>
      <c r="L1731" s="5">
        <f t="shared" si="4"/>
        <v>0</v>
      </c>
      <c r="M1731" s="5">
        <v>32926.59723185839</v>
      </c>
      <c r="N1731" s="5">
        <f t="shared" si="5"/>
        <v>0</v>
      </c>
      <c r="O1731" s="5">
        <f t="shared" si="6"/>
        <v>32926.59723</v>
      </c>
      <c r="P1731" s="5">
        <f t="shared" si="9"/>
        <v>259299.7785</v>
      </c>
      <c r="Q1731" s="5">
        <f t="shared" si="7"/>
        <v>39697.72294</v>
      </c>
      <c r="R1731" s="5">
        <f t="shared" si="8"/>
        <v>219602.0556</v>
      </c>
    </row>
    <row r="1732" ht="15.75" customHeight="1">
      <c r="A1732" s="4">
        <v>2001.0</v>
      </c>
      <c r="B1732" s="4">
        <v>505.0</v>
      </c>
      <c r="C1732" s="4" t="s">
        <v>22</v>
      </c>
      <c r="D1732" s="5">
        <v>5624.2124819469</v>
      </c>
      <c r="E1732" s="5">
        <f t="shared" si="1"/>
        <v>0</v>
      </c>
      <c r="F1732" s="5">
        <f t="shared" si="2"/>
        <v>5624.212482</v>
      </c>
      <c r="G1732" s="5">
        <v>6470.3492855457225</v>
      </c>
      <c r="H1732" s="5">
        <v>2958.45959941003</v>
      </c>
      <c r="I1732" s="5">
        <v>3511.8896861356925</v>
      </c>
      <c r="J1732" s="5">
        <v>1976.8182920943955</v>
      </c>
      <c r="K1732" s="5">
        <f t="shared" si="3"/>
        <v>1976.818292</v>
      </c>
      <c r="L1732" s="5">
        <f t="shared" si="4"/>
        <v>0</v>
      </c>
      <c r="M1732" s="5">
        <v>10579.193740235984</v>
      </c>
      <c r="N1732" s="5">
        <f t="shared" si="5"/>
        <v>0</v>
      </c>
      <c r="O1732" s="5">
        <f t="shared" si="6"/>
        <v>10579.19374</v>
      </c>
      <c r="P1732" s="5">
        <f t="shared" si="9"/>
        <v>24650.5738</v>
      </c>
      <c r="Q1732" s="5">
        <f t="shared" si="7"/>
        <v>19715.29591</v>
      </c>
      <c r="R1732" s="5">
        <f t="shared" si="8"/>
        <v>4935.277892</v>
      </c>
    </row>
    <row r="1733" ht="15.75" customHeight="1">
      <c r="A1733" s="4">
        <v>2001.0</v>
      </c>
      <c r="B1733" s="4">
        <v>506.0</v>
      </c>
      <c r="C1733" s="4" t="s">
        <v>22</v>
      </c>
      <c r="D1733" s="5">
        <v>31072.523343716795</v>
      </c>
      <c r="E1733" s="5">
        <f t="shared" si="1"/>
        <v>0</v>
      </c>
      <c r="F1733" s="5">
        <f t="shared" si="2"/>
        <v>31072.52334</v>
      </c>
      <c r="G1733" s="5">
        <v>24043.462656637173</v>
      </c>
      <c r="H1733" s="5">
        <v>10035.532239292039</v>
      </c>
      <c r="I1733" s="5">
        <v>14007.930417345135</v>
      </c>
      <c r="J1733" s="5">
        <v>6365.036913687316</v>
      </c>
      <c r="K1733" s="5">
        <f t="shared" si="3"/>
        <v>6365.036914</v>
      </c>
      <c r="L1733" s="5">
        <f t="shared" si="4"/>
        <v>0</v>
      </c>
      <c r="M1733" s="5">
        <v>21090.376702713853</v>
      </c>
      <c r="N1733" s="5">
        <f t="shared" si="5"/>
        <v>0</v>
      </c>
      <c r="O1733" s="5">
        <f t="shared" si="6"/>
        <v>21090.3767</v>
      </c>
      <c r="P1733" s="5">
        <f t="shared" si="9"/>
        <v>82571.39962</v>
      </c>
      <c r="Q1733" s="5">
        <f t="shared" si="7"/>
        <v>66170.83046</v>
      </c>
      <c r="R1733" s="5">
        <f t="shared" si="8"/>
        <v>16400.56915</v>
      </c>
    </row>
    <row r="1734" ht="15.75" customHeight="1">
      <c r="A1734" s="4">
        <v>2001.0</v>
      </c>
      <c r="B1734" s="4">
        <v>507.0</v>
      </c>
      <c r="C1734" s="4" t="s">
        <v>22</v>
      </c>
      <c r="D1734" s="5" t="s">
        <v>19</v>
      </c>
      <c r="E1734" s="5" t="str">
        <f t="shared" si="1"/>
        <v/>
      </c>
      <c r="F1734" s="5" t="str">
        <f t="shared" si="2"/>
        <v/>
      </c>
      <c r="G1734" s="5" t="s">
        <v>19</v>
      </c>
      <c r="H1734" s="5" t="s">
        <v>19</v>
      </c>
      <c r="I1734" s="5" t="s">
        <v>19</v>
      </c>
      <c r="J1734" s="5">
        <v>0.0</v>
      </c>
      <c r="K1734" s="5">
        <f t="shared" si="3"/>
        <v>0</v>
      </c>
      <c r="L1734" s="5">
        <f t="shared" si="4"/>
        <v>0</v>
      </c>
      <c r="M1734" s="5">
        <v>0.0</v>
      </c>
      <c r="N1734" s="5">
        <f t="shared" si="5"/>
        <v>0</v>
      </c>
      <c r="O1734" s="5">
        <f t="shared" si="6"/>
        <v>0</v>
      </c>
      <c r="P1734" s="5">
        <f t="shared" si="9"/>
        <v>0</v>
      </c>
      <c r="Q1734" s="5">
        <f t="shared" si="7"/>
        <v>0</v>
      </c>
      <c r="R1734" s="5">
        <f t="shared" si="8"/>
        <v>0</v>
      </c>
    </row>
    <row r="1735" ht="15.75" customHeight="1">
      <c r="A1735" s="4">
        <v>2001.0</v>
      </c>
      <c r="B1735" s="4">
        <v>508.0</v>
      </c>
      <c r="C1735" s="4" t="s">
        <v>22</v>
      </c>
      <c r="D1735" s="5">
        <v>29575.353693185825</v>
      </c>
      <c r="E1735" s="5">
        <f t="shared" si="1"/>
        <v>0</v>
      </c>
      <c r="F1735" s="5">
        <f t="shared" si="2"/>
        <v>29575.35369</v>
      </c>
      <c r="G1735" s="5">
        <v>29652.920696165187</v>
      </c>
      <c r="H1735" s="5">
        <v>8412.820565250737</v>
      </c>
      <c r="I1735" s="5">
        <v>21240.10013091445</v>
      </c>
      <c r="J1735" s="5">
        <v>1576.6848308259587</v>
      </c>
      <c r="K1735" s="5">
        <f t="shared" si="3"/>
        <v>1576.684831</v>
      </c>
      <c r="L1735" s="5">
        <f t="shared" si="4"/>
        <v>0</v>
      </c>
      <c r="M1735" s="5">
        <v>63735.26848835219</v>
      </c>
      <c r="N1735" s="5">
        <f t="shared" si="5"/>
        <v>0</v>
      </c>
      <c r="O1735" s="5">
        <f t="shared" si="6"/>
        <v>63735.26849</v>
      </c>
      <c r="P1735" s="5">
        <f t="shared" si="9"/>
        <v>124540.2277</v>
      </c>
      <c r="Q1735" s="5">
        <f t="shared" si="7"/>
        <v>114550.7223</v>
      </c>
      <c r="R1735" s="5">
        <f t="shared" si="8"/>
        <v>9989.505396</v>
      </c>
    </row>
    <row r="1736" ht="15.75" customHeight="1">
      <c r="A1736" s="4">
        <v>2001.0</v>
      </c>
      <c r="B1736" s="4">
        <v>520.0</v>
      </c>
      <c r="C1736" s="4" t="s">
        <v>22</v>
      </c>
      <c r="D1736" s="5">
        <v>10569.517485132737</v>
      </c>
      <c r="E1736" s="5">
        <f t="shared" si="1"/>
        <v>0</v>
      </c>
      <c r="F1736" s="5">
        <f t="shared" si="2"/>
        <v>10569.51749</v>
      </c>
      <c r="G1736" s="5">
        <v>14225.202969911503</v>
      </c>
      <c r="H1736" s="5">
        <v>9428.80888495575</v>
      </c>
      <c r="I1736" s="5">
        <v>4796.394084955753</v>
      </c>
      <c r="J1736" s="5">
        <v>7398.494197758111</v>
      </c>
      <c r="K1736" s="5">
        <f t="shared" si="3"/>
        <v>7398.494198</v>
      </c>
      <c r="L1736" s="5">
        <f t="shared" si="4"/>
        <v>0</v>
      </c>
      <c r="M1736" s="5">
        <v>233091.69697091437</v>
      </c>
      <c r="N1736" s="5">
        <f t="shared" si="5"/>
        <v>0</v>
      </c>
      <c r="O1736" s="5">
        <f t="shared" si="6"/>
        <v>233091.697</v>
      </c>
      <c r="P1736" s="5">
        <f t="shared" si="9"/>
        <v>265284.9116</v>
      </c>
      <c r="Q1736" s="5">
        <f t="shared" si="7"/>
        <v>248457.6085</v>
      </c>
      <c r="R1736" s="5">
        <f t="shared" si="8"/>
        <v>16827.30308</v>
      </c>
    </row>
    <row r="1737" ht="15.75" customHeight="1">
      <c r="A1737" s="4">
        <v>2001.0</v>
      </c>
      <c r="B1737" s="4">
        <v>521.0</v>
      </c>
      <c r="C1737" s="4" t="s">
        <v>22</v>
      </c>
      <c r="D1737" s="5">
        <v>2608.4339973451315</v>
      </c>
      <c r="E1737" s="5">
        <f t="shared" si="1"/>
        <v>0</v>
      </c>
      <c r="F1737" s="5">
        <f t="shared" si="2"/>
        <v>2608.433997</v>
      </c>
      <c r="G1737" s="5" t="s">
        <v>19</v>
      </c>
      <c r="H1737" s="5" t="s">
        <v>19</v>
      </c>
      <c r="I1737" s="5" t="s">
        <v>19</v>
      </c>
      <c r="J1737" s="5">
        <v>0.0</v>
      </c>
      <c r="K1737" s="5">
        <f t="shared" si="3"/>
        <v>0</v>
      </c>
      <c r="L1737" s="5">
        <f t="shared" si="4"/>
        <v>0</v>
      </c>
      <c r="M1737" s="5">
        <v>44026.42520182888</v>
      </c>
      <c r="N1737" s="5">
        <f t="shared" si="5"/>
        <v>0</v>
      </c>
      <c r="O1737" s="5">
        <f t="shared" si="6"/>
        <v>44026.4252</v>
      </c>
      <c r="P1737" s="5">
        <f t="shared" si="9"/>
        <v>46634.8592</v>
      </c>
      <c r="Q1737" s="5">
        <f t="shared" si="7"/>
        <v>46634.8592</v>
      </c>
      <c r="R1737" s="5">
        <f t="shared" si="8"/>
        <v>0</v>
      </c>
    </row>
    <row r="1738" ht="15.75" customHeight="1">
      <c r="A1738" s="4">
        <v>2001.0</v>
      </c>
      <c r="B1738" s="4">
        <v>522.0</v>
      </c>
      <c r="C1738" s="4" t="s">
        <v>22</v>
      </c>
      <c r="D1738" s="5">
        <v>12670.557472035392</v>
      </c>
      <c r="E1738" s="5">
        <f t="shared" si="1"/>
        <v>0</v>
      </c>
      <c r="F1738" s="5">
        <f t="shared" si="2"/>
        <v>12670.55747</v>
      </c>
      <c r="G1738" s="5" t="s">
        <v>19</v>
      </c>
      <c r="H1738" s="5" t="s">
        <v>19</v>
      </c>
      <c r="I1738" s="5" t="s">
        <v>19</v>
      </c>
      <c r="J1738" s="5">
        <v>0.0</v>
      </c>
      <c r="K1738" s="5">
        <f t="shared" si="3"/>
        <v>0</v>
      </c>
      <c r="L1738" s="5">
        <f t="shared" si="4"/>
        <v>0</v>
      </c>
      <c r="M1738" s="5">
        <v>5689.45333935103</v>
      </c>
      <c r="N1738" s="5">
        <f t="shared" si="5"/>
        <v>0</v>
      </c>
      <c r="O1738" s="5">
        <f t="shared" si="6"/>
        <v>5689.453339</v>
      </c>
      <c r="P1738" s="5">
        <f t="shared" si="9"/>
        <v>18360.01081</v>
      </c>
      <c r="Q1738" s="5">
        <f t="shared" si="7"/>
        <v>18360.01081</v>
      </c>
      <c r="R1738" s="5">
        <f t="shared" si="8"/>
        <v>0</v>
      </c>
    </row>
    <row r="1739" ht="15.75" customHeight="1">
      <c r="A1739" s="4">
        <v>2001.0</v>
      </c>
      <c r="B1739" s="4">
        <v>523.0</v>
      </c>
      <c r="C1739" s="4" t="s">
        <v>22</v>
      </c>
      <c r="D1739" s="5">
        <v>19459.63225964601</v>
      </c>
      <c r="E1739" s="5">
        <f t="shared" si="1"/>
        <v>0</v>
      </c>
      <c r="F1739" s="5">
        <f t="shared" si="2"/>
        <v>19459.63226</v>
      </c>
      <c r="G1739" s="5">
        <v>6941.789729793511</v>
      </c>
      <c r="H1739" s="5">
        <v>4868.818269144543</v>
      </c>
      <c r="I1739" s="5">
        <v>2072.971460648968</v>
      </c>
      <c r="J1739" s="5">
        <v>434.58203740412984</v>
      </c>
      <c r="K1739" s="5">
        <f t="shared" si="3"/>
        <v>434.5820374</v>
      </c>
      <c r="L1739" s="5">
        <f t="shared" si="4"/>
        <v>0</v>
      </c>
      <c r="M1739" s="5">
        <v>136734.4960830678</v>
      </c>
      <c r="N1739" s="5">
        <f t="shared" si="5"/>
        <v>0</v>
      </c>
      <c r="O1739" s="5">
        <f t="shared" si="6"/>
        <v>136734.4961</v>
      </c>
      <c r="P1739" s="5">
        <f t="shared" si="9"/>
        <v>163570.5001</v>
      </c>
      <c r="Q1739" s="5">
        <f t="shared" si="7"/>
        <v>158267.0998</v>
      </c>
      <c r="R1739" s="5">
        <f t="shared" si="8"/>
        <v>5303.400307</v>
      </c>
    </row>
    <row r="1740" ht="15.75" customHeight="1">
      <c r="A1740" s="4">
        <v>2001.0</v>
      </c>
      <c r="B1740" s="4">
        <v>524.0</v>
      </c>
      <c r="C1740" s="4" t="s">
        <v>22</v>
      </c>
      <c r="D1740" s="5">
        <v>10362.27204424778</v>
      </c>
      <c r="E1740" s="5">
        <f t="shared" si="1"/>
        <v>0</v>
      </c>
      <c r="F1740" s="5">
        <f t="shared" si="2"/>
        <v>10362.27204</v>
      </c>
      <c r="G1740" s="5">
        <v>16719.054595280235</v>
      </c>
      <c r="H1740" s="5">
        <v>11837.937879764011</v>
      </c>
      <c r="I1740" s="5">
        <v>4881.116715516224</v>
      </c>
      <c r="J1740" s="5">
        <v>4907.5971541002955</v>
      </c>
      <c r="K1740" s="5">
        <f t="shared" si="3"/>
        <v>4907.597154</v>
      </c>
      <c r="L1740" s="5">
        <f t="shared" si="4"/>
        <v>0</v>
      </c>
      <c r="M1740" s="5">
        <v>212247.56618766952</v>
      </c>
      <c r="N1740" s="5">
        <f t="shared" si="5"/>
        <v>0</v>
      </c>
      <c r="O1740" s="5">
        <f t="shared" si="6"/>
        <v>212247.5662</v>
      </c>
      <c r="P1740" s="5">
        <f t="shared" si="9"/>
        <v>244236.49</v>
      </c>
      <c r="Q1740" s="5">
        <f t="shared" si="7"/>
        <v>227490.9549</v>
      </c>
      <c r="R1740" s="5">
        <f t="shared" si="8"/>
        <v>16745.53503</v>
      </c>
    </row>
    <row r="1741" ht="15.75" customHeight="1">
      <c r="A1741" s="4">
        <v>2001.0</v>
      </c>
      <c r="B1741" s="4">
        <v>525.0</v>
      </c>
      <c r="C1741" s="4" t="s">
        <v>22</v>
      </c>
      <c r="D1741" s="5">
        <v>26062.900789911488</v>
      </c>
      <c r="E1741" s="5">
        <f t="shared" si="1"/>
        <v>0</v>
      </c>
      <c r="F1741" s="5">
        <f t="shared" si="2"/>
        <v>26062.90079</v>
      </c>
      <c r="G1741" s="5">
        <v>20490.578149262536</v>
      </c>
      <c r="H1741" s="5">
        <v>5967.479478348082</v>
      </c>
      <c r="I1741" s="5">
        <v>14523.098670914453</v>
      </c>
      <c r="J1741" s="5">
        <v>0.0</v>
      </c>
      <c r="K1741" s="5">
        <f t="shared" si="3"/>
        <v>0</v>
      </c>
      <c r="L1741" s="5">
        <f t="shared" si="4"/>
        <v>0</v>
      </c>
      <c r="M1741" s="5">
        <v>28928.03253952801</v>
      </c>
      <c r="N1741" s="5">
        <f t="shared" si="5"/>
        <v>0</v>
      </c>
      <c r="O1741" s="5">
        <f t="shared" si="6"/>
        <v>28928.03254</v>
      </c>
      <c r="P1741" s="5">
        <f t="shared" si="9"/>
        <v>75481.51148</v>
      </c>
      <c r="Q1741" s="5">
        <f t="shared" si="7"/>
        <v>69514.032</v>
      </c>
      <c r="R1741" s="5">
        <f t="shared" si="8"/>
        <v>5967.479478</v>
      </c>
    </row>
    <row r="1742" ht="15.75" customHeight="1">
      <c r="A1742" s="4">
        <v>2001.0</v>
      </c>
      <c r="B1742" s="4">
        <v>526.0</v>
      </c>
      <c r="C1742" s="4" t="s">
        <v>22</v>
      </c>
      <c r="D1742" s="5" t="s">
        <v>19</v>
      </c>
      <c r="E1742" s="5" t="str">
        <f t="shared" si="1"/>
        <v/>
      </c>
      <c r="F1742" s="5" t="str">
        <f t="shared" si="2"/>
        <v/>
      </c>
      <c r="G1742" s="5" t="s">
        <v>19</v>
      </c>
      <c r="H1742" s="5" t="s">
        <v>19</v>
      </c>
      <c r="I1742" s="5" t="s">
        <v>19</v>
      </c>
      <c r="J1742" s="5">
        <v>0.0</v>
      </c>
      <c r="K1742" s="5">
        <f t="shared" si="3"/>
        <v>0</v>
      </c>
      <c r="L1742" s="5">
        <f t="shared" si="4"/>
        <v>0</v>
      </c>
      <c r="M1742" s="5">
        <v>4587.209699823006</v>
      </c>
      <c r="N1742" s="5">
        <f t="shared" si="5"/>
        <v>0</v>
      </c>
      <c r="O1742" s="5">
        <f t="shared" si="6"/>
        <v>4587.2097</v>
      </c>
      <c r="P1742" s="5">
        <f t="shared" si="9"/>
        <v>4587.2097</v>
      </c>
      <c r="Q1742" s="5">
        <f t="shared" si="7"/>
        <v>4587.2097</v>
      </c>
      <c r="R1742" s="5">
        <f t="shared" si="8"/>
        <v>0</v>
      </c>
    </row>
    <row r="1743" ht="15.75" customHeight="1">
      <c r="A1743" s="4">
        <v>2001.0</v>
      </c>
      <c r="B1743" s="4">
        <v>527.0</v>
      </c>
      <c r="C1743" s="4" t="s">
        <v>22</v>
      </c>
      <c r="D1743" s="5" t="s">
        <v>19</v>
      </c>
      <c r="E1743" s="5" t="str">
        <f t="shared" si="1"/>
        <v/>
      </c>
      <c r="F1743" s="5" t="str">
        <f t="shared" si="2"/>
        <v/>
      </c>
      <c r="G1743" s="5" t="s">
        <v>19</v>
      </c>
      <c r="H1743" s="5" t="s">
        <v>19</v>
      </c>
      <c r="I1743" s="5" t="s">
        <v>19</v>
      </c>
      <c r="J1743" s="5">
        <v>0.0</v>
      </c>
      <c r="K1743" s="5">
        <f t="shared" si="3"/>
        <v>0</v>
      </c>
      <c r="L1743" s="5">
        <f t="shared" si="4"/>
        <v>0</v>
      </c>
      <c r="M1743" s="5">
        <v>6456.333488554568</v>
      </c>
      <c r="N1743" s="5">
        <f t="shared" si="5"/>
        <v>0</v>
      </c>
      <c r="O1743" s="5">
        <f t="shared" si="6"/>
        <v>6456.333489</v>
      </c>
      <c r="P1743" s="5">
        <f t="shared" si="9"/>
        <v>6456.333489</v>
      </c>
      <c r="Q1743" s="5">
        <f t="shared" si="7"/>
        <v>6456.333489</v>
      </c>
      <c r="R1743" s="5">
        <f t="shared" si="8"/>
        <v>0</v>
      </c>
    </row>
    <row r="1744" ht="15.75" customHeight="1">
      <c r="A1744" s="4">
        <v>2001.0</v>
      </c>
      <c r="B1744" s="4">
        <v>528.0</v>
      </c>
      <c r="C1744" s="4" t="s">
        <v>22</v>
      </c>
      <c r="D1744" s="5">
        <v>1515.0356368141584</v>
      </c>
      <c r="E1744" s="5">
        <f t="shared" si="1"/>
        <v>0</v>
      </c>
      <c r="F1744" s="5">
        <f t="shared" si="2"/>
        <v>1515.035637</v>
      </c>
      <c r="G1744" s="5">
        <v>9729.437574041298</v>
      </c>
      <c r="H1744" s="5">
        <v>3667.670006843658</v>
      </c>
      <c r="I1744" s="5">
        <v>6061.767567197639</v>
      </c>
      <c r="J1744" s="5">
        <v>0.0</v>
      </c>
      <c r="K1744" s="5">
        <f t="shared" si="3"/>
        <v>0</v>
      </c>
      <c r="L1744" s="5">
        <f t="shared" si="4"/>
        <v>0</v>
      </c>
      <c r="M1744" s="5">
        <v>38600.83022818701</v>
      </c>
      <c r="N1744" s="5">
        <f t="shared" si="5"/>
        <v>0</v>
      </c>
      <c r="O1744" s="5">
        <f t="shared" si="6"/>
        <v>38600.83023</v>
      </c>
      <c r="P1744" s="5">
        <f t="shared" si="9"/>
        <v>49845.30344</v>
      </c>
      <c r="Q1744" s="5">
        <f t="shared" si="7"/>
        <v>46177.63343</v>
      </c>
      <c r="R1744" s="5">
        <f t="shared" si="8"/>
        <v>3667.670007</v>
      </c>
    </row>
    <row r="1745" ht="15.75" customHeight="1">
      <c r="A1745" s="4">
        <v>2000.0</v>
      </c>
      <c r="B1745" s="4">
        <v>100.0</v>
      </c>
      <c r="C1745" s="4" t="s">
        <v>18</v>
      </c>
      <c r="D1745" s="5">
        <v>5294.8639431432</v>
      </c>
      <c r="E1745" s="5">
        <f t="shared" si="1"/>
        <v>0</v>
      </c>
      <c r="F1745" s="5">
        <f t="shared" si="2"/>
        <v>5294.863943</v>
      </c>
      <c r="G1745" s="5" t="s">
        <v>19</v>
      </c>
      <c r="H1745" s="5" t="s">
        <v>19</v>
      </c>
      <c r="I1745" s="5" t="s">
        <v>19</v>
      </c>
      <c r="J1745" s="5">
        <v>39902.99326189321</v>
      </c>
      <c r="K1745" s="5">
        <f t="shared" si="3"/>
        <v>39902.99326</v>
      </c>
      <c r="L1745" s="5">
        <f t="shared" si="4"/>
        <v>0</v>
      </c>
      <c r="M1745" s="5">
        <v>85298.64126874998</v>
      </c>
      <c r="N1745" s="5">
        <f t="shared" si="5"/>
        <v>0</v>
      </c>
      <c r="O1745" s="5">
        <f t="shared" si="6"/>
        <v>85298.64127</v>
      </c>
      <c r="P1745" s="5">
        <f t="shared" si="9"/>
        <v>130496.4985</v>
      </c>
      <c r="Q1745" s="5">
        <f t="shared" si="7"/>
        <v>90593.50521</v>
      </c>
      <c r="R1745" s="5">
        <f t="shared" si="8"/>
        <v>39902.99326</v>
      </c>
    </row>
    <row r="1746" ht="15.75" customHeight="1">
      <c r="A1746" s="4">
        <v>2000.0</v>
      </c>
      <c r="B1746" s="4">
        <v>101.0</v>
      </c>
      <c r="C1746" s="4" t="s">
        <v>18</v>
      </c>
      <c r="D1746" s="5">
        <v>9052.509322148055</v>
      </c>
      <c r="E1746" s="5">
        <f t="shared" si="1"/>
        <v>0</v>
      </c>
      <c r="F1746" s="5">
        <f t="shared" si="2"/>
        <v>9052.509322</v>
      </c>
      <c r="G1746" s="5">
        <v>13328.676564077667</v>
      </c>
      <c r="H1746" s="5">
        <v>8012.582492427182</v>
      </c>
      <c r="I1746" s="5">
        <v>5316.094071650485</v>
      </c>
      <c r="J1746" s="5">
        <v>950463.660765898</v>
      </c>
      <c r="K1746" s="5">
        <f t="shared" si="3"/>
        <v>950463.6608</v>
      </c>
      <c r="L1746" s="5">
        <f t="shared" si="4"/>
        <v>0</v>
      </c>
      <c r="M1746" s="5">
        <v>244052.74846874992</v>
      </c>
      <c r="N1746" s="5">
        <f t="shared" si="5"/>
        <v>0</v>
      </c>
      <c r="O1746" s="5">
        <f t="shared" si="6"/>
        <v>244052.7485</v>
      </c>
      <c r="P1746" s="5">
        <f t="shared" si="9"/>
        <v>1216897.595</v>
      </c>
      <c r="Q1746" s="5">
        <f t="shared" si="7"/>
        <v>258421.3519</v>
      </c>
      <c r="R1746" s="5">
        <f t="shared" si="8"/>
        <v>958476.2433</v>
      </c>
    </row>
    <row r="1747" ht="15.75" customHeight="1">
      <c r="A1747" s="4">
        <v>2000.0</v>
      </c>
      <c r="B1747" s="4">
        <v>102.0</v>
      </c>
      <c r="C1747" s="4" t="s">
        <v>18</v>
      </c>
      <c r="D1747" s="5">
        <v>34472.31195521843</v>
      </c>
      <c r="E1747" s="5">
        <f t="shared" si="1"/>
        <v>0</v>
      </c>
      <c r="F1747" s="5">
        <f t="shared" si="2"/>
        <v>34472.31196</v>
      </c>
      <c r="G1747" s="5">
        <v>15348.596609708737</v>
      </c>
      <c r="H1747" s="5">
        <v>6827.189967378642</v>
      </c>
      <c r="I1747" s="5">
        <v>8521.406642330094</v>
      </c>
      <c r="J1747" s="5">
        <v>104673.38417597086</v>
      </c>
      <c r="K1747" s="5">
        <f t="shared" si="3"/>
        <v>104673.3842</v>
      </c>
      <c r="L1747" s="5">
        <f t="shared" si="4"/>
        <v>0</v>
      </c>
      <c r="M1747" s="5">
        <v>111923.28883124993</v>
      </c>
      <c r="N1747" s="5">
        <f t="shared" si="5"/>
        <v>0</v>
      </c>
      <c r="O1747" s="5">
        <f t="shared" si="6"/>
        <v>111923.2888</v>
      </c>
      <c r="P1747" s="5">
        <f t="shared" si="9"/>
        <v>266417.5816</v>
      </c>
      <c r="Q1747" s="5">
        <f t="shared" si="7"/>
        <v>154917.0074</v>
      </c>
      <c r="R1747" s="5">
        <f t="shared" si="8"/>
        <v>111500.5741</v>
      </c>
    </row>
    <row r="1748" ht="15.75" customHeight="1">
      <c r="A1748" s="4">
        <v>2000.0</v>
      </c>
      <c r="B1748" s="4">
        <v>103.0</v>
      </c>
      <c r="C1748" s="4" t="s">
        <v>18</v>
      </c>
      <c r="D1748" s="5">
        <v>49369.222291747545</v>
      </c>
      <c r="E1748" s="5">
        <f t="shared" si="1"/>
        <v>0</v>
      </c>
      <c r="F1748" s="5">
        <f t="shared" si="2"/>
        <v>49369.22229</v>
      </c>
      <c r="G1748" s="5">
        <v>6493.099385436893</v>
      </c>
      <c r="H1748" s="5">
        <v>2388.957341165048</v>
      </c>
      <c r="I1748" s="5">
        <v>4104.1420442718445</v>
      </c>
      <c r="J1748" s="5">
        <v>63075.627247087374</v>
      </c>
      <c r="K1748" s="5">
        <f t="shared" si="3"/>
        <v>63075.62725</v>
      </c>
      <c r="L1748" s="5">
        <f t="shared" si="4"/>
        <v>0</v>
      </c>
      <c r="M1748" s="5">
        <v>4669.583668749998</v>
      </c>
      <c r="N1748" s="5">
        <f t="shared" si="5"/>
        <v>0</v>
      </c>
      <c r="O1748" s="5">
        <f t="shared" si="6"/>
        <v>4669.583669</v>
      </c>
      <c r="P1748" s="5">
        <f t="shared" si="9"/>
        <v>123607.5326</v>
      </c>
      <c r="Q1748" s="5">
        <f t="shared" si="7"/>
        <v>58142.948</v>
      </c>
      <c r="R1748" s="5">
        <f t="shared" si="8"/>
        <v>65464.58459</v>
      </c>
    </row>
    <row r="1749" ht="15.75" customHeight="1">
      <c r="A1749" s="4">
        <v>2000.0</v>
      </c>
      <c r="B1749" s="4">
        <v>104.0</v>
      </c>
      <c r="C1749" s="4" t="s">
        <v>18</v>
      </c>
      <c r="D1749" s="5">
        <v>24744.020558980574</v>
      </c>
      <c r="E1749" s="5">
        <f t="shared" si="1"/>
        <v>0</v>
      </c>
      <c r="F1749" s="5">
        <f t="shared" si="2"/>
        <v>24744.02056</v>
      </c>
      <c r="G1749" s="5" t="s">
        <v>19</v>
      </c>
      <c r="H1749" s="5" t="s">
        <v>19</v>
      </c>
      <c r="I1749" s="5" t="s">
        <v>19</v>
      </c>
      <c r="J1749" s="5">
        <v>9989.328152548544</v>
      </c>
      <c r="K1749" s="5">
        <f t="shared" si="3"/>
        <v>9989.328153</v>
      </c>
      <c r="L1749" s="5">
        <f t="shared" si="4"/>
        <v>0</v>
      </c>
      <c r="M1749" s="5">
        <v>2380.7638562499988</v>
      </c>
      <c r="N1749" s="5">
        <f t="shared" si="5"/>
        <v>0</v>
      </c>
      <c r="O1749" s="5">
        <f t="shared" si="6"/>
        <v>2380.763856</v>
      </c>
      <c r="P1749" s="5">
        <f t="shared" si="9"/>
        <v>37114.11257</v>
      </c>
      <c r="Q1749" s="5">
        <f t="shared" si="7"/>
        <v>27124.78442</v>
      </c>
      <c r="R1749" s="5">
        <f t="shared" si="8"/>
        <v>9989.328153</v>
      </c>
    </row>
    <row r="1750" ht="15.75" customHeight="1">
      <c r="A1750" s="4">
        <v>2000.0</v>
      </c>
      <c r="B1750" s="4">
        <v>105.0</v>
      </c>
      <c r="C1750" s="4" t="s">
        <v>18</v>
      </c>
      <c r="D1750" s="5">
        <v>36187.75875867717</v>
      </c>
      <c r="E1750" s="5">
        <f t="shared" si="1"/>
        <v>0</v>
      </c>
      <c r="F1750" s="5">
        <f t="shared" si="2"/>
        <v>36187.75876</v>
      </c>
      <c r="G1750" s="5">
        <v>4885.550560194174</v>
      </c>
      <c r="H1750" s="5">
        <v>2272.9342520388345</v>
      </c>
      <c r="I1750" s="5">
        <v>2612.6163081553395</v>
      </c>
      <c r="J1750" s="5">
        <v>99295.76869417475</v>
      </c>
      <c r="K1750" s="5">
        <f t="shared" si="3"/>
        <v>99295.76869</v>
      </c>
      <c r="L1750" s="5">
        <f t="shared" si="4"/>
        <v>0</v>
      </c>
      <c r="M1750" s="5">
        <v>10823.965831249996</v>
      </c>
      <c r="N1750" s="5">
        <f t="shared" si="5"/>
        <v>0</v>
      </c>
      <c r="O1750" s="5">
        <f t="shared" si="6"/>
        <v>10823.96583</v>
      </c>
      <c r="P1750" s="5">
        <f t="shared" si="9"/>
        <v>151193.0438</v>
      </c>
      <c r="Q1750" s="5">
        <f t="shared" si="7"/>
        <v>49624.3409</v>
      </c>
      <c r="R1750" s="5">
        <f t="shared" si="8"/>
        <v>101568.7029</v>
      </c>
    </row>
    <row r="1751" ht="15.75" customHeight="1">
      <c r="A1751" s="4">
        <v>2000.0</v>
      </c>
      <c r="B1751" s="4">
        <v>106.0</v>
      </c>
      <c r="C1751" s="4" t="s">
        <v>18</v>
      </c>
      <c r="D1751" s="5">
        <v>24632.627909405328</v>
      </c>
      <c r="E1751" s="5">
        <f t="shared" si="1"/>
        <v>0</v>
      </c>
      <c r="F1751" s="5">
        <f t="shared" si="2"/>
        <v>24632.62791</v>
      </c>
      <c r="G1751" s="5">
        <v>4745.763705825242</v>
      </c>
      <c r="H1751" s="5">
        <v>2731.4351343689314</v>
      </c>
      <c r="I1751" s="5">
        <v>2014.3285714563108</v>
      </c>
      <c r="J1751" s="5">
        <v>105270.89700728154</v>
      </c>
      <c r="K1751" s="5">
        <f t="shared" si="3"/>
        <v>105270.897</v>
      </c>
      <c r="L1751" s="5">
        <f t="shared" si="4"/>
        <v>0</v>
      </c>
      <c r="M1751" s="5">
        <v>84510.26999999996</v>
      </c>
      <c r="N1751" s="5">
        <f t="shared" si="5"/>
        <v>0</v>
      </c>
      <c r="O1751" s="5">
        <f t="shared" si="6"/>
        <v>84510.27</v>
      </c>
      <c r="P1751" s="5">
        <f t="shared" si="9"/>
        <v>219159.5586</v>
      </c>
      <c r="Q1751" s="5">
        <f t="shared" si="7"/>
        <v>111157.2265</v>
      </c>
      <c r="R1751" s="5">
        <f t="shared" si="8"/>
        <v>108002.3321</v>
      </c>
    </row>
    <row r="1752" ht="15.75" customHeight="1">
      <c r="A1752" s="4">
        <v>2000.0</v>
      </c>
      <c r="B1752" s="4">
        <v>107.0</v>
      </c>
      <c r="C1752" s="4" t="s">
        <v>18</v>
      </c>
      <c r="D1752" s="5">
        <v>9772.848456067955</v>
      </c>
      <c r="E1752" s="5">
        <f t="shared" si="1"/>
        <v>0</v>
      </c>
      <c r="F1752" s="5">
        <f t="shared" si="2"/>
        <v>9772.848456</v>
      </c>
      <c r="G1752" s="5">
        <v>2222.6109844660195</v>
      </c>
      <c r="H1752" s="5">
        <v>1505.5044215533983</v>
      </c>
      <c r="I1752" s="5">
        <v>717.1065629126213</v>
      </c>
      <c r="J1752" s="5">
        <v>15187.689784951457</v>
      </c>
      <c r="K1752" s="5">
        <f t="shared" si="3"/>
        <v>15187.68978</v>
      </c>
      <c r="L1752" s="5">
        <f t="shared" si="4"/>
        <v>0</v>
      </c>
      <c r="M1752" s="5">
        <v>51629.51494999998</v>
      </c>
      <c r="N1752" s="5">
        <f t="shared" si="5"/>
        <v>0</v>
      </c>
      <c r="O1752" s="5">
        <f t="shared" si="6"/>
        <v>51629.51495</v>
      </c>
      <c r="P1752" s="5">
        <f t="shared" si="9"/>
        <v>78812.66418</v>
      </c>
      <c r="Q1752" s="5">
        <f t="shared" si="7"/>
        <v>62119.46997</v>
      </c>
      <c r="R1752" s="5">
        <f t="shared" si="8"/>
        <v>16693.19421</v>
      </c>
    </row>
    <row r="1753" ht="15.75" customHeight="1">
      <c r="A1753" s="4">
        <v>2000.0</v>
      </c>
      <c r="B1753" s="4">
        <v>108.0</v>
      </c>
      <c r="C1753" s="4" t="s">
        <v>18</v>
      </c>
      <c r="D1753" s="5">
        <v>20971.522826699016</v>
      </c>
      <c r="E1753" s="5">
        <f t="shared" si="1"/>
        <v>0</v>
      </c>
      <c r="F1753" s="5">
        <f t="shared" si="2"/>
        <v>20971.52283</v>
      </c>
      <c r="G1753" s="5">
        <v>1698.4102805825241</v>
      </c>
      <c r="H1753" s="5">
        <v>591.2983939805824</v>
      </c>
      <c r="I1753" s="5">
        <v>1107.1118866019417</v>
      </c>
      <c r="J1753" s="5">
        <v>8826.894098907767</v>
      </c>
      <c r="K1753" s="5">
        <f t="shared" si="3"/>
        <v>8826.894099</v>
      </c>
      <c r="L1753" s="5">
        <f t="shared" si="4"/>
        <v>0</v>
      </c>
      <c r="M1753" s="5">
        <v>36535.04172499999</v>
      </c>
      <c r="N1753" s="5">
        <f t="shared" si="5"/>
        <v>0</v>
      </c>
      <c r="O1753" s="5">
        <f t="shared" si="6"/>
        <v>36535.04173</v>
      </c>
      <c r="P1753" s="5">
        <f t="shared" si="9"/>
        <v>68031.86893</v>
      </c>
      <c r="Q1753" s="5">
        <f t="shared" si="7"/>
        <v>58613.67644</v>
      </c>
      <c r="R1753" s="5">
        <f t="shared" si="8"/>
        <v>9418.192493</v>
      </c>
    </row>
    <row r="1754" ht="15.75" customHeight="1">
      <c r="A1754" s="4">
        <v>2000.0</v>
      </c>
      <c r="B1754" s="4">
        <v>120.0</v>
      </c>
      <c r="C1754" s="4" t="s">
        <v>18</v>
      </c>
      <c r="D1754" s="5">
        <v>3928.4474416868916</v>
      </c>
      <c r="E1754" s="5">
        <f t="shared" si="1"/>
        <v>0</v>
      </c>
      <c r="F1754" s="5">
        <f t="shared" si="2"/>
        <v>3928.447442</v>
      </c>
      <c r="G1754" s="5" t="s">
        <v>19</v>
      </c>
      <c r="H1754" s="5" t="s">
        <v>19</v>
      </c>
      <c r="I1754" s="5" t="s">
        <v>19</v>
      </c>
      <c r="J1754" s="5">
        <v>0.0</v>
      </c>
      <c r="K1754" s="5">
        <f t="shared" si="3"/>
        <v>0</v>
      </c>
      <c r="L1754" s="5">
        <f t="shared" si="4"/>
        <v>0</v>
      </c>
      <c r="M1754" s="5">
        <v>213885.32083749992</v>
      </c>
      <c r="N1754" s="5">
        <f t="shared" si="5"/>
        <v>0</v>
      </c>
      <c r="O1754" s="5">
        <f t="shared" si="6"/>
        <v>213885.3208</v>
      </c>
      <c r="P1754" s="5">
        <f t="shared" si="9"/>
        <v>217813.7683</v>
      </c>
      <c r="Q1754" s="5">
        <f t="shared" si="7"/>
        <v>217813.7683</v>
      </c>
      <c r="R1754" s="5">
        <f t="shared" si="8"/>
        <v>0</v>
      </c>
    </row>
    <row r="1755" ht="15.75" customHeight="1">
      <c r="A1755" s="4">
        <v>2000.0</v>
      </c>
      <c r="B1755" s="4">
        <v>121.0</v>
      </c>
      <c r="C1755" s="4" t="s">
        <v>18</v>
      </c>
      <c r="D1755" s="5">
        <v>50193.52789860435</v>
      </c>
      <c r="E1755" s="5">
        <f t="shared" si="1"/>
        <v>0</v>
      </c>
      <c r="F1755" s="5">
        <f t="shared" si="2"/>
        <v>50193.5279</v>
      </c>
      <c r="G1755" s="5">
        <v>17354.53796990291</v>
      </c>
      <c r="H1755" s="5">
        <v>7563.866689902912</v>
      </c>
      <c r="I1755" s="5">
        <v>9790.671279999999</v>
      </c>
      <c r="J1755" s="5">
        <v>27089.05899769417</v>
      </c>
      <c r="K1755" s="5">
        <f t="shared" si="3"/>
        <v>27089.059</v>
      </c>
      <c r="L1755" s="5">
        <f t="shared" si="4"/>
        <v>0</v>
      </c>
      <c r="M1755" s="5">
        <v>1802709.6969374986</v>
      </c>
      <c r="N1755" s="5">
        <f t="shared" si="5"/>
        <v>0</v>
      </c>
      <c r="O1755" s="5">
        <f t="shared" si="6"/>
        <v>1802709.697</v>
      </c>
      <c r="P1755" s="5">
        <f t="shared" si="9"/>
        <v>1897346.822</v>
      </c>
      <c r="Q1755" s="5">
        <f t="shared" si="7"/>
        <v>1862693.896</v>
      </c>
      <c r="R1755" s="5">
        <f t="shared" si="8"/>
        <v>34652.92569</v>
      </c>
    </row>
    <row r="1756" ht="15.75" customHeight="1">
      <c r="A1756" s="4">
        <v>2000.0</v>
      </c>
      <c r="B1756" s="4">
        <v>122.0</v>
      </c>
      <c r="C1756" s="4" t="s">
        <v>18</v>
      </c>
      <c r="D1756" s="5">
        <v>49020.19198974512</v>
      </c>
      <c r="E1756" s="5">
        <f t="shared" si="1"/>
        <v>0</v>
      </c>
      <c r="F1756" s="5">
        <f t="shared" si="2"/>
        <v>49020.19199</v>
      </c>
      <c r="G1756" s="5">
        <v>29152.548478640776</v>
      </c>
      <c r="H1756" s="5">
        <v>17203.568167184465</v>
      </c>
      <c r="I1756" s="5">
        <v>11948.980311456311</v>
      </c>
      <c r="J1756" s="5">
        <v>75053.04354745145</v>
      </c>
      <c r="K1756" s="5">
        <f t="shared" si="3"/>
        <v>75053.04355</v>
      </c>
      <c r="L1756" s="5">
        <f t="shared" si="4"/>
        <v>0</v>
      </c>
      <c r="M1756" s="5">
        <v>129482.64493124996</v>
      </c>
      <c r="N1756" s="5">
        <f t="shared" si="5"/>
        <v>0</v>
      </c>
      <c r="O1756" s="5">
        <f t="shared" si="6"/>
        <v>129482.6449</v>
      </c>
      <c r="P1756" s="5">
        <f t="shared" si="9"/>
        <v>282708.4289</v>
      </c>
      <c r="Q1756" s="5">
        <f t="shared" si="7"/>
        <v>190451.8172</v>
      </c>
      <c r="R1756" s="5">
        <f t="shared" si="8"/>
        <v>92256.61171</v>
      </c>
    </row>
    <row r="1757" ht="15.75" customHeight="1">
      <c r="A1757" s="4">
        <v>2000.0</v>
      </c>
      <c r="B1757" s="4">
        <v>123.0</v>
      </c>
      <c r="C1757" s="4" t="s">
        <v>18</v>
      </c>
      <c r="D1757" s="5">
        <v>41178.14945964804</v>
      </c>
      <c r="E1757" s="5">
        <f t="shared" si="1"/>
        <v>0</v>
      </c>
      <c r="F1757" s="5">
        <f t="shared" si="2"/>
        <v>41178.14946</v>
      </c>
      <c r="G1757" s="5" t="s">
        <v>19</v>
      </c>
      <c r="H1757" s="5" t="s">
        <v>19</v>
      </c>
      <c r="I1757" s="5" t="s">
        <v>19</v>
      </c>
      <c r="J1757" s="5">
        <v>0.0</v>
      </c>
      <c r="K1757" s="5">
        <f t="shared" si="3"/>
        <v>0</v>
      </c>
      <c r="L1757" s="5">
        <f t="shared" si="4"/>
        <v>0</v>
      </c>
      <c r="M1757" s="5">
        <v>186517.2958999999</v>
      </c>
      <c r="N1757" s="5">
        <f t="shared" si="5"/>
        <v>0</v>
      </c>
      <c r="O1757" s="5">
        <f t="shared" si="6"/>
        <v>186517.2959</v>
      </c>
      <c r="P1757" s="5">
        <f t="shared" si="9"/>
        <v>227695.4454</v>
      </c>
      <c r="Q1757" s="5">
        <f t="shared" si="7"/>
        <v>227695.4454</v>
      </c>
      <c r="R1757" s="5">
        <f t="shared" si="8"/>
        <v>0</v>
      </c>
    </row>
    <row r="1758" ht="15.75" customHeight="1">
      <c r="A1758" s="4">
        <v>2000.0</v>
      </c>
      <c r="B1758" s="4">
        <v>124.0</v>
      </c>
      <c r="C1758" s="4" t="s">
        <v>18</v>
      </c>
      <c r="D1758" s="5" t="s">
        <v>19</v>
      </c>
      <c r="E1758" s="5" t="str">
        <f t="shared" si="1"/>
        <v/>
      </c>
      <c r="F1758" s="5" t="str">
        <f t="shared" si="2"/>
        <v/>
      </c>
      <c r="G1758" s="5" t="s">
        <v>19</v>
      </c>
      <c r="H1758" s="5" t="s">
        <v>19</v>
      </c>
      <c r="I1758" s="5" t="s">
        <v>19</v>
      </c>
      <c r="J1758" s="5">
        <v>0.0</v>
      </c>
      <c r="K1758" s="5">
        <f t="shared" si="3"/>
        <v>0</v>
      </c>
      <c r="L1758" s="5">
        <f t="shared" si="4"/>
        <v>0</v>
      </c>
      <c r="M1758" s="5">
        <v>53900.728456249984</v>
      </c>
      <c r="N1758" s="5">
        <f t="shared" si="5"/>
        <v>0</v>
      </c>
      <c r="O1758" s="5">
        <f t="shared" si="6"/>
        <v>53900.72846</v>
      </c>
      <c r="P1758" s="5">
        <f t="shared" si="9"/>
        <v>53900.72846</v>
      </c>
      <c r="Q1758" s="5">
        <f t="shared" si="7"/>
        <v>53900.72846</v>
      </c>
      <c r="R1758" s="5">
        <f t="shared" si="8"/>
        <v>0</v>
      </c>
    </row>
    <row r="1759" ht="15.75" customHeight="1">
      <c r="A1759" s="4">
        <v>2000.0</v>
      </c>
      <c r="B1759" s="4">
        <v>125.0</v>
      </c>
      <c r="C1759" s="4" t="s">
        <v>18</v>
      </c>
      <c r="D1759" s="5">
        <v>48789.98051395629</v>
      </c>
      <c r="E1759" s="5">
        <f t="shared" si="1"/>
        <v>0</v>
      </c>
      <c r="F1759" s="5">
        <f t="shared" si="2"/>
        <v>48789.98051</v>
      </c>
      <c r="G1759" s="5" t="s">
        <v>19</v>
      </c>
      <c r="H1759" s="5" t="s">
        <v>19</v>
      </c>
      <c r="I1759" s="5" t="s">
        <v>19</v>
      </c>
      <c r="J1759" s="5">
        <v>12341.355933980582</v>
      </c>
      <c r="K1759" s="5">
        <f t="shared" si="3"/>
        <v>12341.35593</v>
      </c>
      <c r="L1759" s="5">
        <f t="shared" si="4"/>
        <v>0</v>
      </c>
      <c r="M1759" s="5">
        <v>157322.12762499996</v>
      </c>
      <c r="N1759" s="5">
        <f t="shared" si="5"/>
        <v>0</v>
      </c>
      <c r="O1759" s="5">
        <f t="shared" si="6"/>
        <v>157322.1276</v>
      </c>
      <c r="P1759" s="5">
        <f t="shared" si="9"/>
        <v>218453.4641</v>
      </c>
      <c r="Q1759" s="5">
        <f t="shared" si="7"/>
        <v>206112.1081</v>
      </c>
      <c r="R1759" s="5">
        <f t="shared" si="8"/>
        <v>12341.35593</v>
      </c>
    </row>
    <row r="1760" ht="15.75" customHeight="1">
      <c r="A1760" s="4">
        <v>2000.0</v>
      </c>
      <c r="B1760" s="4">
        <v>126.0</v>
      </c>
      <c r="C1760" s="4" t="s">
        <v>18</v>
      </c>
      <c r="D1760" s="5">
        <v>69791.2080472087</v>
      </c>
      <c r="E1760" s="5">
        <f t="shared" si="1"/>
        <v>0</v>
      </c>
      <c r="F1760" s="5">
        <f t="shared" si="2"/>
        <v>69791.20805</v>
      </c>
      <c r="G1760" s="5">
        <v>3941.989293203883</v>
      </c>
      <c r="H1760" s="5">
        <v>1585.182928543689</v>
      </c>
      <c r="I1760" s="5">
        <v>2356.806364660194</v>
      </c>
      <c r="J1760" s="5">
        <v>7425.454912742719</v>
      </c>
      <c r="K1760" s="5">
        <f t="shared" si="3"/>
        <v>7425.454913</v>
      </c>
      <c r="L1760" s="5">
        <f t="shared" si="4"/>
        <v>0</v>
      </c>
      <c r="M1760" s="5">
        <v>636274.3015687498</v>
      </c>
      <c r="N1760" s="5">
        <f t="shared" si="5"/>
        <v>0</v>
      </c>
      <c r="O1760" s="5">
        <f t="shared" si="6"/>
        <v>636274.3016</v>
      </c>
      <c r="P1760" s="5">
        <f t="shared" si="9"/>
        <v>717432.9538</v>
      </c>
      <c r="Q1760" s="5">
        <f t="shared" si="7"/>
        <v>708422.316</v>
      </c>
      <c r="R1760" s="5">
        <f t="shared" si="8"/>
        <v>9010.637841</v>
      </c>
    </row>
    <row r="1761" ht="15.75" customHeight="1">
      <c r="A1761" s="4">
        <v>2000.0</v>
      </c>
      <c r="B1761" s="4">
        <v>127.0</v>
      </c>
      <c r="C1761" s="4" t="s">
        <v>18</v>
      </c>
      <c r="D1761" s="5">
        <v>25234.148217111633</v>
      </c>
      <c r="E1761" s="5">
        <f t="shared" si="1"/>
        <v>0</v>
      </c>
      <c r="F1761" s="5">
        <f t="shared" si="2"/>
        <v>25234.14822</v>
      </c>
      <c r="G1761" s="5" t="s">
        <v>19</v>
      </c>
      <c r="H1761" s="5" t="s">
        <v>19</v>
      </c>
      <c r="I1761" s="5" t="s">
        <v>19</v>
      </c>
      <c r="J1761" s="5">
        <v>0.0</v>
      </c>
      <c r="K1761" s="5">
        <f t="shared" si="3"/>
        <v>0</v>
      </c>
      <c r="L1761" s="5">
        <f t="shared" si="4"/>
        <v>0</v>
      </c>
      <c r="M1761" s="5">
        <v>170264.7189749999</v>
      </c>
      <c r="N1761" s="5">
        <f t="shared" si="5"/>
        <v>0</v>
      </c>
      <c r="O1761" s="5">
        <f t="shared" si="6"/>
        <v>170264.719</v>
      </c>
      <c r="P1761" s="5">
        <f t="shared" si="9"/>
        <v>195498.8672</v>
      </c>
      <c r="Q1761" s="5">
        <f t="shared" si="7"/>
        <v>195498.8672</v>
      </c>
      <c r="R1761" s="5">
        <f t="shared" si="8"/>
        <v>0</v>
      </c>
    </row>
    <row r="1762" ht="15.75" customHeight="1">
      <c r="A1762" s="4">
        <v>2000.0</v>
      </c>
      <c r="B1762" s="4">
        <v>128.0</v>
      </c>
      <c r="C1762" s="4" t="s">
        <v>18</v>
      </c>
      <c r="D1762" s="5">
        <v>10704.833624180821</v>
      </c>
      <c r="E1762" s="5">
        <f t="shared" si="1"/>
        <v>0</v>
      </c>
      <c r="F1762" s="5">
        <f t="shared" si="2"/>
        <v>10704.83362</v>
      </c>
      <c r="G1762" s="5" t="s">
        <v>19</v>
      </c>
      <c r="H1762" s="5" t="s">
        <v>19</v>
      </c>
      <c r="I1762" s="5" t="s">
        <v>19</v>
      </c>
      <c r="J1762" s="5">
        <v>0.0</v>
      </c>
      <c r="K1762" s="5">
        <f t="shared" si="3"/>
        <v>0</v>
      </c>
      <c r="L1762" s="5">
        <f t="shared" si="4"/>
        <v>0</v>
      </c>
      <c r="M1762" s="5">
        <v>12696.103062499991</v>
      </c>
      <c r="N1762" s="5">
        <f t="shared" si="5"/>
        <v>0</v>
      </c>
      <c r="O1762" s="5">
        <f t="shared" si="6"/>
        <v>12696.10306</v>
      </c>
      <c r="P1762" s="5">
        <f t="shared" si="9"/>
        <v>23400.93669</v>
      </c>
      <c r="Q1762" s="5">
        <f t="shared" si="7"/>
        <v>23400.93669</v>
      </c>
      <c r="R1762" s="5">
        <f t="shared" si="8"/>
        <v>0</v>
      </c>
    </row>
    <row r="1763" ht="15.75" customHeight="1">
      <c r="A1763" s="4">
        <v>2000.0</v>
      </c>
      <c r="B1763" s="4">
        <v>300.0</v>
      </c>
      <c r="C1763" s="4" t="s">
        <v>20</v>
      </c>
      <c r="D1763" s="5">
        <v>9700.694888167473</v>
      </c>
      <c r="E1763" s="5">
        <f t="shared" si="1"/>
        <v>0</v>
      </c>
      <c r="F1763" s="5">
        <f t="shared" si="2"/>
        <v>9700.694888</v>
      </c>
      <c r="G1763" s="5">
        <v>7720.08989532767</v>
      </c>
      <c r="H1763" s="5">
        <v>3574.839879915049</v>
      </c>
      <c r="I1763" s="5">
        <v>4145.250015412621</v>
      </c>
      <c r="J1763" s="5">
        <v>396244.90745898057</v>
      </c>
      <c r="K1763" s="5">
        <f t="shared" si="3"/>
        <v>396244.9075</v>
      </c>
      <c r="L1763" s="5">
        <f t="shared" si="4"/>
        <v>0</v>
      </c>
      <c r="M1763" s="5">
        <v>2346.4249115898047</v>
      </c>
      <c r="N1763" s="5">
        <f t="shared" si="5"/>
        <v>0</v>
      </c>
      <c r="O1763" s="5">
        <f t="shared" si="6"/>
        <v>2346.424912</v>
      </c>
      <c r="P1763" s="5">
        <f t="shared" si="9"/>
        <v>416012.1172</v>
      </c>
      <c r="Q1763" s="5">
        <f t="shared" si="7"/>
        <v>16192.36982</v>
      </c>
      <c r="R1763" s="5">
        <f t="shared" si="8"/>
        <v>399819.7473</v>
      </c>
    </row>
    <row r="1764" ht="15.75" customHeight="1">
      <c r="A1764" s="4">
        <v>2000.0</v>
      </c>
      <c r="B1764" s="4">
        <v>301.0</v>
      </c>
      <c r="C1764" s="4" t="s">
        <v>20</v>
      </c>
      <c r="D1764" s="5">
        <v>10853.252696662616</v>
      </c>
      <c r="E1764" s="5">
        <f t="shared" si="1"/>
        <v>0</v>
      </c>
      <c r="F1764" s="5">
        <f t="shared" si="2"/>
        <v>10853.2527</v>
      </c>
      <c r="G1764" s="5">
        <v>10471.004023968446</v>
      </c>
      <c r="H1764" s="5">
        <v>5633.980014441748</v>
      </c>
      <c r="I1764" s="5">
        <v>4837.024009526698</v>
      </c>
      <c r="J1764" s="5">
        <v>166693.65865813108</v>
      </c>
      <c r="K1764" s="5">
        <f t="shared" si="3"/>
        <v>166693.6587</v>
      </c>
      <c r="L1764" s="5">
        <f t="shared" si="4"/>
        <v>0</v>
      </c>
      <c r="M1764" s="5">
        <v>415.31510115291246</v>
      </c>
      <c r="N1764" s="5">
        <f t="shared" si="5"/>
        <v>0</v>
      </c>
      <c r="O1764" s="5">
        <f t="shared" si="6"/>
        <v>415.3151012</v>
      </c>
      <c r="P1764" s="5">
        <f t="shared" si="9"/>
        <v>188433.2305</v>
      </c>
      <c r="Q1764" s="5">
        <f t="shared" si="7"/>
        <v>16105.59181</v>
      </c>
      <c r="R1764" s="5">
        <f t="shared" si="8"/>
        <v>172327.6387</v>
      </c>
    </row>
    <row r="1765" ht="15.75" customHeight="1">
      <c r="A1765" s="4">
        <v>2000.0</v>
      </c>
      <c r="B1765" s="4">
        <v>302.0</v>
      </c>
      <c r="C1765" s="4" t="s">
        <v>20</v>
      </c>
      <c r="D1765" s="5">
        <v>6073.093067839803</v>
      </c>
      <c r="E1765" s="5">
        <f t="shared" si="1"/>
        <v>0</v>
      </c>
      <c r="F1765" s="5">
        <f t="shared" si="2"/>
        <v>6073.093068</v>
      </c>
      <c r="G1765" s="5">
        <v>5205.161047330096</v>
      </c>
      <c r="H1765" s="5">
        <v>4095.3559846480584</v>
      </c>
      <c r="I1765" s="5">
        <v>1109.8050626820377</v>
      </c>
      <c r="J1765" s="5">
        <v>56232.263029004855</v>
      </c>
      <c r="K1765" s="5">
        <f t="shared" si="3"/>
        <v>56232.26303</v>
      </c>
      <c r="L1765" s="5">
        <f t="shared" si="4"/>
        <v>0</v>
      </c>
      <c r="M1765" s="5">
        <v>6971.812383313105</v>
      </c>
      <c r="N1765" s="5">
        <f t="shared" si="5"/>
        <v>0</v>
      </c>
      <c r="O1765" s="5">
        <f t="shared" si="6"/>
        <v>6971.812383</v>
      </c>
      <c r="P1765" s="5">
        <f t="shared" si="9"/>
        <v>74482.32953</v>
      </c>
      <c r="Q1765" s="5">
        <f t="shared" si="7"/>
        <v>14154.71051</v>
      </c>
      <c r="R1765" s="5">
        <f t="shared" si="8"/>
        <v>60327.61901</v>
      </c>
    </row>
    <row r="1766" ht="15.75" customHeight="1">
      <c r="A1766" s="4">
        <v>2000.0</v>
      </c>
      <c r="B1766" s="4">
        <v>303.0</v>
      </c>
      <c r="C1766" s="4" t="s">
        <v>20</v>
      </c>
      <c r="D1766" s="5">
        <v>39061.366240473275</v>
      </c>
      <c r="E1766" s="5">
        <f t="shared" si="1"/>
        <v>0</v>
      </c>
      <c r="F1766" s="5">
        <f t="shared" si="2"/>
        <v>39061.36624</v>
      </c>
      <c r="G1766" s="5">
        <v>3708.340124393203</v>
      </c>
      <c r="H1766" s="5">
        <v>2323.443648847087</v>
      </c>
      <c r="I1766" s="5">
        <v>1384.896475546116</v>
      </c>
      <c r="J1766" s="5">
        <v>56564.33277924756</v>
      </c>
      <c r="K1766" s="5">
        <f t="shared" si="3"/>
        <v>56564.33278</v>
      </c>
      <c r="L1766" s="5">
        <f t="shared" si="4"/>
        <v>0</v>
      </c>
      <c r="M1766" s="5">
        <v>11390.596403701453</v>
      </c>
      <c r="N1766" s="5">
        <f t="shared" si="5"/>
        <v>0</v>
      </c>
      <c r="O1766" s="5">
        <f t="shared" si="6"/>
        <v>11390.5964</v>
      </c>
      <c r="P1766" s="5">
        <f t="shared" si="9"/>
        <v>110724.6355</v>
      </c>
      <c r="Q1766" s="5">
        <f t="shared" si="7"/>
        <v>51836.85912</v>
      </c>
      <c r="R1766" s="5">
        <f t="shared" si="8"/>
        <v>58887.77643</v>
      </c>
    </row>
    <row r="1767" ht="15.75" customHeight="1">
      <c r="A1767" s="4">
        <v>2000.0</v>
      </c>
      <c r="B1767" s="4">
        <v>304.0</v>
      </c>
      <c r="C1767" s="4" t="s">
        <v>20</v>
      </c>
      <c r="D1767" s="5">
        <v>35714.515681189296</v>
      </c>
      <c r="E1767" s="5">
        <f t="shared" si="1"/>
        <v>0</v>
      </c>
      <c r="F1767" s="5">
        <f t="shared" si="2"/>
        <v>35714.51568</v>
      </c>
      <c r="G1767" s="5">
        <v>14401.844555825239</v>
      </c>
      <c r="H1767" s="5">
        <v>8256.787847876212</v>
      </c>
      <c r="I1767" s="5">
        <v>6145.0567079490265</v>
      </c>
      <c r="J1767" s="5">
        <v>2126.3175942961166</v>
      </c>
      <c r="K1767" s="5">
        <f t="shared" si="3"/>
        <v>2126.317594</v>
      </c>
      <c r="L1767" s="5">
        <f t="shared" si="4"/>
        <v>0</v>
      </c>
      <c r="M1767" s="5">
        <v>6238.159311225725</v>
      </c>
      <c r="N1767" s="5">
        <f t="shared" si="5"/>
        <v>0</v>
      </c>
      <c r="O1767" s="5">
        <f t="shared" si="6"/>
        <v>6238.159311</v>
      </c>
      <c r="P1767" s="5">
        <f t="shared" si="9"/>
        <v>58480.83714</v>
      </c>
      <c r="Q1767" s="5">
        <f t="shared" si="7"/>
        <v>48097.7317</v>
      </c>
      <c r="R1767" s="5">
        <f t="shared" si="8"/>
        <v>10383.10544</v>
      </c>
    </row>
    <row r="1768" ht="15.75" customHeight="1">
      <c r="A1768" s="4">
        <v>2000.0</v>
      </c>
      <c r="B1768" s="4">
        <v>305.0</v>
      </c>
      <c r="C1768" s="4" t="s">
        <v>20</v>
      </c>
      <c r="D1768" s="5">
        <v>45341.328658555794</v>
      </c>
      <c r="E1768" s="5">
        <f t="shared" si="1"/>
        <v>0</v>
      </c>
      <c r="F1768" s="5">
        <f t="shared" si="2"/>
        <v>45341.32866</v>
      </c>
      <c r="G1768" s="5">
        <v>18352.91239745146</v>
      </c>
      <c r="H1768" s="5">
        <v>9593.138779975729</v>
      </c>
      <c r="I1768" s="5">
        <v>8759.77361747573</v>
      </c>
      <c r="J1768" s="5">
        <v>26806.598386529127</v>
      </c>
      <c r="K1768" s="5">
        <f t="shared" si="3"/>
        <v>26806.59839</v>
      </c>
      <c r="L1768" s="5">
        <f t="shared" si="4"/>
        <v>0</v>
      </c>
      <c r="M1768" s="5">
        <v>5386.447124089802</v>
      </c>
      <c r="N1768" s="5">
        <f t="shared" si="5"/>
        <v>0</v>
      </c>
      <c r="O1768" s="5">
        <f t="shared" si="6"/>
        <v>5386.447124</v>
      </c>
      <c r="P1768" s="5">
        <f t="shared" si="9"/>
        <v>95887.28657</v>
      </c>
      <c r="Q1768" s="5">
        <f t="shared" si="7"/>
        <v>59487.5494</v>
      </c>
      <c r="R1768" s="5">
        <f t="shared" si="8"/>
        <v>36399.73717</v>
      </c>
    </row>
    <row r="1769" ht="15.75" customHeight="1">
      <c r="A1769" s="4">
        <v>2000.0</v>
      </c>
      <c r="B1769" s="4">
        <v>306.0</v>
      </c>
      <c r="C1769" s="4" t="s">
        <v>20</v>
      </c>
      <c r="D1769" s="5">
        <v>22038.973991929597</v>
      </c>
      <c r="E1769" s="5">
        <f t="shared" si="1"/>
        <v>0</v>
      </c>
      <c r="F1769" s="5">
        <f t="shared" si="2"/>
        <v>22038.97399</v>
      </c>
      <c r="G1769" s="5" t="s">
        <v>19</v>
      </c>
      <c r="H1769" s="5" t="s">
        <v>19</v>
      </c>
      <c r="I1769" s="5" t="s">
        <v>19</v>
      </c>
      <c r="J1769" s="5">
        <v>0.0</v>
      </c>
      <c r="K1769" s="5">
        <f t="shared" si="3"/>
        <v>0</v>
      </c>
      <c r="L1769" s="5">
        <f t="shared" si="4"/>
        <v>0</v>
      </c>
      <c r="M1769" s="5">
        <v>8036.452617233004</v>
      </c>
      <c r="N1769" s="5">
        <f t="shared" si="5"/>
        <v>0</v>
      </c>
      <c r="O1769" s="5">
        <f t="shared" si="6"/>
        <v>8036.452617</v>
      </c>
      <c r="P1769" s="5">
        <f t="shared" si="9"/>
        <v>30075.42661</v>
      </c>
      <c r="Q1769" s="5">
        <f t="shared" si="7"/>
        <v>30075.42661</v>
      </c>
      <c r="R1769" s="5">
        <f t="shared" si="8"/>
        <v>0</v>
      </c>
    </row>
    <row r="1770" ht="15.75" customHeight="1">
      <c r="A1770" s="4">
        <v>2000.0</v>
      </c>
      <c r="B1770" s="4">
        <v>307.0</v>
      </c>
      <c r="C1770" s="4" t="s">
        <v>20</v>
      </c>
      <c r="D1770" s="5" t="s">
        <v>19</v>
      </c>
      <c r="E1770" s="5" t="str">
        <f t="shared" si="1"/>
        <v/>
      </c>
      <c r="F1770" s="5" t="str">
        <f t="shared" si="2"/>
        <v/>
      </c>
      <c r="G1770" s="5" t="s">
        <v>19</v>
      </c>
      <c r="H1770" s="5" t="s">
        <v>19</v>
      </c>
      <c r="I1770" s="5" t="s">
        <v>19</v>
      </c>
      <c r="J1770" s="5">
        <v>0.0</v>
      </c>
      <c r="K1770" s="5">
        <f t="shared" si="3"/>
        <v>0</v>
      </c>
      <c r="L1770" s="5">
        <f t="shared" si="4"/>
        <v>0</v>
      </c>
      <c r="M1770" s="5">
        <v>1094.1550126820384</v>
      </c>
      <c r="N1770" s="5">
        <f t="shared" si="5"/>
        <v>0</v>
      </c>
      <c r="O1770" s="5">
        <f t="shared" si="6"/>
        <v>1094.155013</v>
      </c>
      <c r="P1770" s="5">
        <f t="shared" si="9"/>
        <v>1094.155013</v>
      </c>
      <c r="Q1770" s="5">
        <f t="shared" si="7"/>
        <v>1094.155013</v>
      </c>
      <c r="R1770" s="5">
        <f t="shared" si="8"/>
        <v>0</v>
      </c>
    </row>
    <row r="1771" ht="15.75" customHeight="1">
      <c r="A1771" s="4">
        <v>2000.0</v>
      </c>
      <c r="B1771" s="4">
        <v>308.0</v>
      </c>
      <c r="C1771" s="4" t="s">
        <v>20</v>
      </c>
      <c r="D1771" s="5">
        <v>30793.980421844648</v>
      </c>
      <c r="E1771" s="5">
        <f t="shared" si="1"/>
        <v>0</v>
      </c>
      <c r="F1771" s="5">
        <f t="shared" si="2"/>
        <v>30793.98042</v>
      </c>
      <c r="G1771" s="5">
        <v>26693.30645904126</v>
      </c>
      <c r="H1771" s="5">
        <v>11111.5355</v>
      </c>
      <c r="I1771" s="5">
        <v>15581.770959041261</v>
      </c>
      <c r="J1771" s="5">
        <v>494205.48378058255</v>
      </c>
      <c r="K1771" s="5">
        <f t="shared" si="3"/>
        <v>494205.4838</v>
      </c>
      <c r="L1771" s="5">
        <f t="shared" si="4"/>
        <v>0</v>
      </c>
      <c r="M1771" s="5">
        <v>22739.028837742706</v>
      </c>
      <c r="N1771" s="5">
        <f t="shared" si="5"/>
        <v>0</v>
      </c>
      <c r="O1771" s="5">
        <f t="shared" si="6"/>
        <v>22739.02884</v>
      </c>
      <c r="P1771" s="5">
        <f t="shared" si="9"/>
        <v>574431.7995</v>
      </c>
      <c r="Q1771" s="5">
        <f t="shared" si="7"/>
        <v>69114.78022</v>
      </c>
      <c r="R1771" s="5">
        <f t="shared" si="8"/>
        <v>505317.0193</v>
      </c>
    </row>
    <row r="1772" ht="15.75" customHeight="1">
      <c r="A1772" s="4">
        <v>2000.0</v>
      </c>
      <c r="B1772" s="4">
        <v>309.0</v>
      </c>
      <c r="C1772" s="4" t="s">
        <v>20</v>
      </c>
      <c r="D1772" s="5">
        <v>3649.7663935679593</v>
      </c>
      <c r="E1772" s="5">
        <f t="shared" si="1"/>
        <v>0</v>
      </c>
      <c r="F1772" s="5">
        <f t="shared" si="2"/>
        <v>3649.766394</v>
      </c>
      <c r="G1772" s="5">
        <v>2831.823367718446</v>
      </c>
      <c r="H1772" s="5">
        <v>1480.6390751213592</v>
      </c>
      <c r="I1772" s="5">
        <v>1351.184292597087</v>
      </c>
      <c r="J1772" s="5">
        <v>3690.2589986650482</v>
      </c>
      <c r="K1772" s="5">
        <f t="shared" si="3"/>
        <v>3690.258999</v>
      </c>
      <c r="L1772" s="5">
        <f t="shared" si="4"/>
        <v>0</v>
      </c>
      <c r="M1772" s="5">
        <v>2186.201826881067</v>
      </c>
      <c r="N1772" s="5">
        <f t="shared" si="5"/>
        <v>0</v>
      </c>
      <c r="O1772" s="5">
        <f t="shared" si="6"/>
        <v>2186.201827</v>
      </c>
      <c r="P1772" s="5">
        <f t="shared" si="9"/>
        <v>12358.05059</v>
      </c>
      <c r="Q1772" s="5">
        <f t="shared" si="7"/>
        <v>7187.152513</v>
      </c>
      <c r="R1772" s="5">
        <f t="shared" si="8"/>
        <v>5170.898074</v>
      </c>
    </row>
    <row r="1773" ht="15.75" customHeight="1">
      <c r="A1773" s="4">
        <v>2000.0</v>
      </c>
      <c r="B1773" s="4">
        <v>310.0</v>
      </c>
      <c r="C1773" s="4" t="s">
        <v>20</v>
      </c>
      <c r="D1773" s="5">
        <v>22414.58962644174</v>
      </c>
      <c r="E1773" s="5">
        <f t="shared" si="1"/>
        <v>0</v>
      </c>
      <c r="F1773" s="5">
        <f t="shared" si="2"/>
        <v>22414.58963</v>
      </c>
      <c r="G1773" s="5" t="s">
        <v>19</v>
      </c>
      <c r="H1773" s="5" t="s">
        <v>19</v>
      </c>
      <c r="I1773" s="5" t="s">
        <v>19</v>
      </c>
      <c r="J1773" s="5">
        <v>27786.73974611651</v>
      </c>
      <c r="K1773" s="5">
        <f t="shared" si="3"/>
        <v>27786.73975</v>
      </c>
      <c r="L1773" s="5">
        <f t="shared" si="4"/>
        <v>0</v>
      </c>
      <c r="M1773" s="5">
        <v>845.3875916868926</v>
      </c>
      <c r="N1773" s="5">
        <f t="shared" si="5"/>
        <v>0</v>
      </c>
      <c r="O1773" s="5">
        <f t="shared" si="6"/>
        <v>845.3875917</v>
      </c>
      <c r="P1773" s="5">
        <f t="shared" si="9"/>
        <v>51046.71696</v>
      </c>
      <c r="Q1773" s="5">
        <f t="shared" si="7"/>
        <v>23259.97722</v>
      </c>
      <c r="R1773" s="5">
        <f t="shared" si="8"/>
        <v>27786.73975</v>
      </c>
    </row>
    <row r="1774" ht="15.75" customHeight="1">
      <c r="A1774" s="4">
        <v>2000.0</v>
      </c>
      <c r="B1774" s="4">
        <v>311.0</v>
      </c>
      <c r="C1774" s="4" t="s">
        <v>20</v>
      </c>
      <c r="D1774" s="5" t="s">
        <v>19</v>
      </c>
      <c r="E1774" s="5" t="str">
        <f t="shared" si="1"/>
        <v/>
      </c>
      <c r="F1774" s="5" t="str">
        <f t="shared" si="2"/>
        <v/>
      </c>
      <c r="G1774" s="5" t="s">
        <v>19</v>
      </c>
      <c r="H1774" s="5" t="s">
        <v>19</v>
      </c>
      <c r="I1774" s="5" t="s">
        <v>19</v>
      </c>
      <c r="J1774" s="5">
        <v>0.0</v>
      </c>
      <c r="K1774" s="5">
        <f t="shared" si="3"/>
        <v>0</v>
      </c>
      <c r="L1774" s="5">
        <f t="shared" si="4"/>
        <v>0</v>
      </c>
      <c r="M1774" s="5">
        <v>1205.8895322815529</v>
      </c>
      <c r="N1774" s="5">
        <f t="shared" si="5"/>
        <v>0</v>
      </c>
      <c r="O1774" s="5">
        <f t="shared" si="6"/>
        <v>1205.889532</v>
      </c>
      <c r="P1774" s="5">
        <f t="shared" si="9"/>
        <v>1205.889532</v>
      </c>
      <c r="Q1774" s="5">
        <f t="shared" si="7"/>
        <v>1205.889532</v>
      </c>
      <c r="R1774" s="5">
        <f t="shared" si="8"/>
        <v>0</v>
      </c>
    </row>
    <row r="1775" ht="15.75" customHeight="1">
      <c r="A1775" s="4">
        <v>2000.0</v>
      </c>
      <c r="B1775" s="4">
        <v>312.0</v>
      </c>
      <c r="C1775" s="4" t="s">
        <v>20</v>
      </c>
      <c r="D1775" s="5" t="s">
        <v>19</v>
      </c>
      <c r="E1775" s="5" t="str">
        <f t="shared" si="1"/>
        <v/>
      </c>
      <c r="F1775" s="5" t="str">
        <f t="shared" si="2"/>
        <v/>
      </c>
      <c r="G1775" s="5" t="s">
        <v>19</v>
      </c>
      <c r="H1775" s="5" t="s">
        <v>19</v>
      </c>
      <c r="I1775" s="5" t="s">
        <v>19</v>
      </c>
      <c r="J1775" s="5">
        <v>0.0</v>
      </c>
      <c r="K1775" s="5">
        <f t="shared" si="3"/>
        <v>0</v>
      </c>
      <c r="L1775" s="5">
        <f t="shared" si="4"/>
        <v>0</v>
      </c>
      <c r="M1775" s="5">
        <v>0.0</v>
      </c>
      <c r="N1775" s="5">
        <f t="shared" si="5"/>
        <v>0</v>
      </c>
      <c r="O1775" s="5">
        <f t="shared" si="6"/>
        <v>0</v>
      </c>
      <c r="P1775" s="5">
        <f t="shared" si="9"/>
        <v>0</v>
      </c>
      <c r="Q1775" s="5">
        <f t="shared" si="7"/>
        <v>0</v>
      </c>
      <c r="R1775" s="5">
        <f t="shared" si="8"/>
        <v>0</v>
      </c>
    </row>
    <row r="1776" ht="15.75" customHeight="1">
      <c r="A1776" s="4">
        <v>2000.0</v>
      </c>
      <c r="B1776" s="4">
        <v>313.0</v>
      </c>
      <c r="C1776" s="4" t="s">
        <v>20</v>
      </c>
      <c r="D1776" s="5">
        <v>69169.64864817412</v>
      </c>
      <c r="E1776" s="5">
        <f t="shared" si="1"/>
        <v>0</v>
      </c>
      <c r="F1776" s="5">
        <f t="shared" si="2"/>
        <v>69169.64865</v>
      </c>
      <c r="G1776" s="5">
        <v>3978.0375879854364</v>
      </c>
      <c r="H1776" s="5">
        <v>2701.0200978762136</v>
      </c>
      <c r="I1776" s="5">
        <v>1277.0174901092228</v>
      </c>
      <c r="J1776" s="5">
        <v>3513.512196116505</v>
      </c>
      <c r="K1776" s="5">
        <f t="shared" si="3"/>
        <v>3513.512196</v>
      </c>
      <c r="L1776" s="5">
        <f t="shared" si="4"/>
        <v>0</v>
      </c>
      <c r="M1776" s="5">
        <v>2886.12372324029</v>
      </c>
      <c r="N1776" s="5">
        <f t="shared" si="5"/>
        <v>0</v>
      </c>
      <c r="O1776" s="5">
        <f t="shared" si="6"/>
        <v>2886.123723</v>
      </c>
      <c r="P1776" s="5">
        <f t="shared" si="9"/>
        <v>79547.32216</v>
      </c>
      <c r="Q1776" s="5">
        <f t="shared" si="7"/>
        <v>73332.78986</v>
      </c>
      <c r="R1776" s="5">
        <f t="shared" si="8"/>
        <v>6214.532294</v>
      </c>
    </row>
    <row r="1777" ht="15.75" customHeight="1">
      <c r="A1777" s="4">
        <v>2000.0</v>
      </c>
      <c r="B1777" s="4">
        <v>314.0</v>
      </c>
      <c r="C1777" s="4" t="s">
        <v>20</v>
      </c>
      <c r="D1777" s="5">
        <v>6464.667195084949</v>
      </c>
      <c r="E1777" s="5">
        <f t="shared" si="1"/>
        <v>0</v>
      </c>
      <c r="F1777" s="5">
        <f t="shared" si="2"/>
        <v>6464.667195</v>
      </c>
      <c r="G1777" s="5">
        <v>3573.491392597087</v>
      </c>
      <c r="H1777" s="5">
        <v>2482.5651523665047</v>
      </c>
      <c r="I1777" s="5">
        <v>1090.9262402305822</v>
      </c>
      <c r="J1777" s="5">
        <v>6266.477544902913</v>
      </c>
      <c r="K1777" s="5">
        <f t="shared" si="3"/>
        <v>6266.477545</v>
      </c>
      <c r="L1777" s="5">
        <f t="shared" si="4"/>
        <v>0</v>
      </c>
      <c r="M1777" s="5">
        <v>2641.572699211163</v>
      </c>
      <c r="N1777" s="5">
        <f t="shared" si="5"/>
        <v>0</v>
      </c>
      <c r="O1777" s="5">
        <f t="shared" si="6"/>
        <v>2641.572699</v>
      </c>
      <c r="P1777" s="5">
        <f t="shared" si="9"/>
        <v>18946.20883</v>
      </c>
      <c r="Q1777" s="5">
        <f t="shared" si="7"/>
        <v>10197.16613</v>
      </c>
      <c r="R1777" s="5">
        <f t="shared" si="8"/>
        <v>8749.042697</v>
      </c>
    </row>
    <row r="1778" ht="15.75" customHeight="1">
      <c r="A1778" s="4">
        <v>2000.0</v>
      </c>
      <c r="B1778" s="4">
        <v>320.0</v>
      </c>
      <c r="C1778" s="4" t="s">
        <v>20</v>
      </c>
      <c r="D1778" s="5">
        <v>285405.8214241503</v>
      </c>
      <c r="E1778" s="5">
        <f t="shared" si="1"/>
        <v>0</v>
      </c>
      <c r="F1778" s="5">
        <f t="shared" si="2"/>
        <v>285405.8214</v>
      </c>
      <c r="G1778" s="5">
        <v>44601.21804156553</v>
      </c>
      <c r="H1778" s="5">
        <v>23856.089142050972</v>
      </c>
      <c r="I1778" s="5">
        <v>20745.12889951456</v>
      </c>
      <c r="J1778" s="5">
        <v>36463.40096213592</v>
      </c>
      <c r="K1778" s="5">
        <f t="shared" si="3"/>
        <v>36463.40096</v>
      </c>
      <c r="L1778" s="5">
        <f t="shared" si="4"/>
        <v>0</v>
      </c>
      <c r="M1778" s="5">
        <v>67257.85620345871</v>
      </c>
      <c r="N1778" s="5">
        <f t="shared" si="5"/>
        <v>0</v>
      </c>
      <c r="O1778" s="5">
        <f t="shared" si="6"/>
        <v>67257.8562</v>
      </c>
      <c r="P1778" s="5">
        <f t="shared" si="9"/>
        <v>433728.2966</v>
      </c>
      <c r="Q1778" s="5">
        <f t="shared" si="7"/>
        <v>373408.8065</v>
      </c>
      <c r="R1778" s="5">
        <f t="shared" si="8"/>
        <v>60319.4901</v>
      </c>
    </row>
    <row r="1779" ht="15.75" customHeight="1">
      <c r="A1779" s="4">
        <v>2000.0</v>
      </c>
      <c r="B1779" s="4">
        <v>321.0</v>
      </c>
      <c r="C1779" s="4" t="s">
        <v>20</v>
      </c>
      <c r="D1779" s="5">
        <v>123419.95363875416</v>
      </c>
      <c r="E1779" s="5">
        <f t="shared" si="1"/>
        <v>0</v>
      </c>
      <c r="F1779" s="5">
        <f t="shared" si="2"/>
        <v>123419.9536</v>
      </c>
      <c r="G1779" s="5">
        <v>20837.702553892595</v>
      </c>
      <c r="H1779" s="5">
        <v>10972.00751721056</v>
      </c>
      <c r="I1779" s="5">
        <v>9865.695036682035</v>
      </c>
      <c r="J1779" s="5">
        <v>20556.18873276699</v>
      </c>
      <c r="K1779" s="5">
        <f t="shared" si="3"/>
        <v>20556.18873</v>
      </c>
      <c r="L1779" s="5">
        <f t="shared" si="4"/>
        <v>0</v>
      </c>
      <c r="M1779" s="5">
        <v>6760.992535012134</v>
      </c>
      <c r="N1779" s="5">
        <f t="shared" si="5"/>
        <v>0</v>
      </c>
      <c r="O1779" s="5">
        <f t="shared" si="6"/>
        <v>6760.992535</v>
      </c>
      <c r="P1779" s="5">
        <f t="shared" si="9"/>
        <v>171574.8375</v>
      </c>
      <c r="Q1779" s="5">
        <f t="shared" si="7"/>
        <v>140046.6412</v>
      </c>
      <c r="R1779" s="5">
        <f t="shared" si="8"/>
        <v>31528.19625</v>
      </c>
    </row>
    <row r="1780" ht="15.75" customHeight="1">
      <c r="A1780" s="4">
        <v>2000.0</v>
      </c>
      <c r="B1780" s="4">
        <v>322.0</v>
      </c>
      <c r="C1780" s="4" t="s">
        <v>20</v>
      </c>
      <c r="D1780" s="5">
        <v>11148.7803398665</v>
      </c>
      <c r="E1780" s="5">
        <f t="shared" si="1"/>
        <v>0</v>
      </c>
      <c r="F1780" s="5">
        <f t="shared" si="2"/>
        <v>11148.78034</v>
      </c>
      <c r="G1780" s="5" t="s">
        <v>19</v>
      </c>
      <c r="H1780" s="5" t="s">
        <v>19</v>
      </c>
      <c r="I1780" s="5" t="s">
        <v>19</v>
      </c>
      <c r="J1780" s="5">
        <v>0.0</v>
      </c>
      <c r="K1780" s="5">
        <f t="shared" si="3"/>
        <v>0</v>
      </c>
      <c r="L1780" s="5">
        <f t="shared" si="4"/>
        <v>0</v>
      </c>
      <c r="M1780" s="5">
        <v>9295.0471115898</v>
      </c>
      <c r="N1780" s="5">
        <f t="shared" si="5"/>
        <v>0</v>
      </c>
      <c r="O1780" s="5">
        <f t="shared" si="6"/>
        <v>9295.047112</v>
      </c>
      <c r="P1780" s="5">
        <f t="shared" si="9"/>
        <v>20443.82745</v>
      </c>
      <c r="Q1780" s="5">
        <f t="shared" si="7"/>
        <v>20443.82745</v>
      </c>
      <c r="R1780" s="5">
        <f t="shared" si="8"/>
        <v>0</v>
      </c>
    </row>
    <row r="1781" ht="15.75" customHeight="1">
      <c r="A1781" s="4">
        <v>2000.0</v>
      </c>
      <c r="B1781" s="4">
        <v>323.0</v>
      </c>
      <c r="C1781" s="4" t="s">
        <v>20</v>
      </c>
      <c r="D1781" s="5">
        <v>13815.917319781545</v>
      </c>
      <c r="E1781" s="5">
        <f t="shared" si="1"/>
        <v>0</v>
      </c>
      <c r="F1781" s="5">
        <f t="shared" si="2"/>
        <v>13815.91732</v>
      </c>
      <c r="G1781" s="5" t="s">
        <v>19</v>
      </c>
      <c r="H1781" s="5" t="s">
        <v>19</v>
      </c>
      <c r="I1781" s="5" t="s">
        <v>19</v>
      </c>
      <c r="J1781" s="5">
        <v>0.0</v>
      </c>
      <c r="K1781" s="5">
        <f t="shared" si="3"/>
        <v>0</v>
      </c>
      <c r="L1781" s="5">
        <f t="shared" si="4"/>
        <v>0</v>
      </c>
      <c r="M1781" s="5">
        <v>98509.79051559459</v>
      </c>
      <c r="N1781" s="5">
        <f t="shared" si="5"/>
        <v>0</v>
      </c>
      <c r="O1781" s="5">
        <f t="shared" si="6"/>
        <v>98509.79052</v>
      </c>
      <c r="P1781" s="5">
        <f t="shared" si="9"/>
        <v>112325.7078</v>
      </c>
      <c r="Q1781" s="5">
        <f t="shared" si="7"/>
        <v>112325.7078</v>
      </c>
      <c r="R1781" s="5">
        <f t="shared" si="8"/>
        <v>0</v>
      </c>
    </row>
    <row r="1782" ht="15.75" customHeight="1">
      <c r="A1782" s="4">
        <v>2000.0</v>
      </c>
      <c r="B1782" s="4">
        <v>324.0</v>
      </c>
      <c r="C1782" s="4" t="s">
        <v>20</v>
      </c>
      <c r="D1782" s="5">
        <v>18322.713878640767</v>
      </c>
      <c r="E1782" s="5">
        <f t="shared" si="1"/>
        <v>0</v>
      </c>
      <c r="F1782" s="5">
        <f t="shared" si="2"/>
        <v>18322.71388</v>
      </c>
      <c r="G1782" s="5" t="s">
        <v>19</v>
      </c>
      <c r="H1782" s="5" t="s">
        <v>19</v>
      </c>
      <c r="I1782" s="5" t="s">
        <v>19</v>
      </c>
      <c r="J1782" s="5">
        <v>0.0</v>
      </c>
      <c r="K1782" s="5">
        <f t="shared" si="3"/>
        <v>0</v>
      </c>
      <c r="L1782" s="5">
        <f t="shared" si="4"/>
        <v>0</v>
      </c>
      <c r="M1782" s="5">
        <v>45092.257353094625</v>
      </c>
      <c r="N1782" s="5">
        <f t="shared" si="5"/>
        <v>0</v>
      </c>
      <c r="O1782" s="5">
        <f t="shared" si="6"/>
        <v>45092.25735</v>
      </c>
      <c r="P1782" s="5">
        <f t="shared" si="9"/>
        <v>63414.97123</v>
      </c>
      <c r="Q1782" s="5">
        <f t="shared" si="7"/>
        <v>63414.97123</v>
      </c>
      <c r="R1782" s="5">
        <f t="shared" si="8"/>
        <v>0</v>
      </c>
    </row>
    <row r="1783" ht="15.75" customHeight="1">
      <c r="A1783" s="4">
        <v>2000.0</v>
      </c>
      <c r="B1783" s="4">
        <v>325.0</v>
      </c>
      <c r="C1783" s="4" t="s">
        <v>20</v>
      </c>
      <c r="D1783" s="5">
        <v>11015.792900424753</v>
      </c>
      <c r="E1783" s="5">
        <f t="shared" si="1"/>
        <v>0</v>
      </c>
      <c r="F1783" s="5">
        <f t="shared" si="2"/>
        <v>11015.7929</v>
      </c>
      <c r="G1783" s="5" t="s">
        <v>19</v>
      </c>
      <c r="H1783" s="5" t="s">
        <v>19</v>
      </c>
      <c r="I1783" s="5" t="s">
        <v>19</v>
      </c>
      <c r="J1783" s="5">
        <v>0.0</v>
      </c>
      <c r="K1783" s="5">
        <f t="shared" si="3"/>
        <v>0</v>
      </c>
      <c r="L1783" s="5">
        <f t="shared" si="4"/>
        <v>0</v>
      </c>
      <c r="M1783" s="5">
        <v>16395.459602366493</v>
      </c>
      <c r="N1783" s="5">
        <f t="shared" si="5"/>
        <v>0</v>
      </c>
      <c r="O1783" s="5">
        <f t="shared" si="6"/>
        <v>16395.4596</v>
      </c>
      <c r="P1783" s="5">
        <f t="shared" si="9"/>
        <v>27411.2525</v>
      </c>
      <c r="Q1783" s="5">
        <f t="shared" si="7"/>
        <v>27411.2525</v>
      </c>
      <c r="R1783" s="5">
        <f t="shared" si="8"/>
        <v>0</v>
      </c>
    </row>
    <row r="1784" ht="15.75" customHeight="1">
      <c r="A1784" s="4">
        <v>2000.0</v>
      </c>
      <c r="B1784" s="4">
        <v>326.0</v>
      </c>
      <c r="C1784" s="4" t="s">
        <v>20</v>
      </c>
      <c r="D1784" s="5" t="s">
        <v>19</v>
      </c>
      <c r="E1784" s="5" t="str">
        <f t="shared" si="1"/>
        <v/>
      </c>
      <c r="F1784" s="5" t="str">
        <f t="shared" si="2"/>
        <v/>
      </c>
      <c r="G1784" s="5" t="s">
        <v>19</v>
      </c>
      <c r="H1784" s="5" t="s">
        <v>19</v>
      </c>
      <c r="I1784" s="5" t="s">
        <v>19</v>
      </c>
      <c r="J1784" s="5">
        <v>0.0</v>
      </c>
      <c r="K1784" s="5">
        <f t="shared" si="3"/>
        <v>0</v>
      </c>
      <c r="L1784" s="5">
        <f t="shared" si="4"/>
        <v>0</v>
      </c>
      <c r="M1784" s="5">
        <v>9231.801157099508</v>
      </c>
      <c r="N1784" s="5">
        <f t="shared" si="5"/>
        <v>0</v>
      </c>
      <c r="O1784" s="5">
        <f t="shared" si="6"/>
        <v>9231.801157</v>
      </c>
      <c r="P1784" s="5">
        <f t="shared" si="9"/>
        <v>9231.801157</v>
      </c>
      <c r="Q1784" s="5">
        <f t="shared" si="7"/>
        <v>9231.801157</v>
      </c>
      <c r="R1784" s="5">
        <f t="shared" si="8"/>
        <v>0</v>
      </c>
    </row>
    <row r="1785" ht="15.75" customHeight="1">
      <c r="A1785" s="4">
        <v>2000.0</v>
      </c>
      <c r="B1785" s="4">
        <v>327.0</v>
      </c>
      <c r="C1785" s="4" t="s">
        <v>20</v>
      </c>
      <c r="D1785" s="5">
        <v>175875.8886617111</v>
      </c>
      <c r="E1785" s="5">
        <f t="shared" si="1"/>
        <v>0</v>
      </c>
      <c r="F1785" s="5">
        <f t="shared" si="2"/>
        <v>175875.8887</v>
      </c>
      <c r="G1785" s="5">
        <v>10814.868290048544</v>
      </c>
      <c r="H1785" s="5">
        <v>4064.340776334952</v>
      </c>
      <c r="I1785" s="5">
        <v>6750.527513713592</v>
      </c>
      <c r="J1785" s="5">
        <v>1280.0753275485436</v>
      </c>
      <c r="K1785" s="5">
        <f t="shared" si="3"/>
        <v>1280.075328</v>
      </c>
      <c r="L1785" s="5">
        <f t="shared" si="4"/>
        <v>0</v>
      </c>
      <c r="M1785" s="5">
        <v>59295.19053313104</v>
      </c>
      <c r="N1785" s="5">
        <f t="shared" si="5"/>
        <v>0</v>
      </c>
      <c r="O1785" s="5">
        <f t="shared" si="6"/>
        <v>59295.19053</v>
      </c>
      <c r="P1785" s="5">
        <f t="shared" si="9"/>
        <v>247266.0228</v>
      </c>
      <c r="Q1785" s="5">
        <f t="shared" si="7"/>
        <v>241921.6067</v>
      </c>
      <c r="R1785" s="5">
        <f t="shared" si="8"/>
        <v>5344.416104</v>
      </c>
    </row>
    <row r="1786" ht="15.75" customHeight="1">
      <c r="A1786" s="4">
        <v>2000.0</v>
      </c>
      <c r="B1786" s="4">
        <v>328.0</v>
      </c>
      <c r="C1786" s="4" t="s">
        <v>20</v>
      </c>
      <c r="D1786" s="5">
        <v>71059.62180837376</v>
      </c>
      <c r="E1786" s="5">
        <f t="shared" si="1"/>
        <v>0</v>
      </c>
      <c r="F1786" s="5">
        <f t="shared" si="2"/>
        <v>71059.62181</v>
      </c>
      <c r="G1786" s="5">
        <v>19505.86905430825</v>
      </c>
      <c r="H1786" s="5">
        <v>5317.085494720873</v>
      </c>
      <c r="I1786" s="5">
        <v>14188.783559587377</v>
      </c>
      <c r="J1786" s="5">
        <v>0.0</v>
      </c>
      <c r="K1786" s="5">
        <f t="shared" si="3"/>
        <v>0</v>
      </c>
      <c r="L1786" s="5">
        <f t="shared" si="4"/>
        <v>0</v>
      </c>
      <c r="M1786" s="5">
        <v>133727.2461742718</v>
      </c>
      <c r="N1786" s="5">
        <f t="shared" si="5"/>
        <v>0</v>
      </c>
      <c r="O1786" s="5">
        <f t="shared" si="6"/>
        <v>133727.2462</v>
      </c>
      <c r="P1786" s="5">
        <f t="shared" si="9"/>
        <v>224292.737</v>
      </c>
      <c r="Q1786" s="5">
        <f t="shared" si="7"/>
        <v>218975.6515</v>
      </c>
      <c r="R1786" s="5">
        <f t="shared" si="8"/>
        <v>5317.085495</v>
      </c>
    </row>
    <row r="1787" ht="15.75" customHeight="1">
      <c r="A1787" s="4">
        <v>2000.0</v>
      </c>
      <c r="B1787" s="4">
        <v>331.0</v>
      </c>
      <c r="C1787" s="4" t="s">
        <v>20</v>
      </c>
      <c r="D1787" s="5">
        <v>339310.87624555745</v>
      </c>
      <c r="E1787" s="5">
        <f t="shared" si="1"/>
        <v>0</v>
      </c>
      <c r="F1787" s="5">
        <f t="shared" si="2"/>
        <v>339310.8762</v>
      </c>
      <c r="G1787" s="5">
        <v>290118.75326233916</v>
      </c>
      <c r="H1787" s="5">
        <v>68238.54208602366</v>
      </c>
      <c r="I1787" s="5">
        <v>221880.2111763155</v>
      </c>
      <c r="J1787" s="5">
        <v>8323.16761092233</v>
      </c>
      <c r="K1787" s="5">
        <f t="shared" si="3"/>
        <v>8323.167611</v>
      </c>
      <c r="L1787" s="5">
        <f t="shared" si="4"/>
        <v>0</v>
      </c>
      <c r="M1787" s="5">
        <v>76799.56253756062</v>
      </c>
      <c r="N1787" s="5">
        <f t="shared" si="5"/>
        <v>0</v>
      </c>
      <c r="O1787" s="5">
        <f t="shared" si="6"/>
        <v>76799.56254</v>
      </c>
      <c r="P1787" s="5">
        <f t="shared" si="9"/>
        <v>714552.3597</v>
      </c>
      <c r="Q1787" s="5">
        <f t="shared" si="7"/>
        <v>637990.65</v>
      </c>
      <c r="R1787" s="5">
        <f t="shared" si="8"/>
        <v>76561.7097</v>
      </c>
    </row>
    <row r="1788" ht="15.75" customHeight="1">
      <c r="A1788" s="4">
        <v>2000.0</v>
      </c>
      <c r="B1788" s="4">
        <v>332.0</v>
      </c>
      <c r="C1788" s="4" t="s">
        <v>20</v>
      </c>
      <c r="D1788" s="5">
        <v>5873.611908677181</v>
      </c>
      <c r="E1788" s="5">
        <f t="shared" si="1"/>
        <v>0</v>
      </c>
      <c r="F1788" s="5">
        <f t="shared" si="2"/>
        <v>5873.611909</v>
      </c>
      <c r="G1788" s="5" t="s">
        <v>19</v>
      </c>
      <c r="H1788" s="5" t="s">
        <v>19</v>
      </c>
      <c r="I1788" s="5" t="s">
        <v>19</v>
      </c>
      <c r="J1788" s="5">
        <v>0.0</v>
      </c>
      <c r="K1788" s="5">
        <f t="shared" si="3"/>
        <v>0</v>
      </c>
      <c r="L1788" s="5">
        <f t="shared" si="4"/>
        <v>0</v>
      </c>
      <c r="M1788" s="5">
        <v>161772.6105937499</v>
      </c>
      <c r="N1788" s="5">
        <f t="shared" si="5"/>
        <v>0</v>
      </c>
      <c r="O1788" s="5">
        <f t="shared" si="6"/>
        <v>161772.6106</v>
      </c>
      <c r="P1788" s="5">
        <f t="shared" si="9"/>
        <v>167646.2225</v>
      </c>
      <c r="Q1788" s="5">
        <f t="shared" si="7"/>
        <v>167646.2225</v>
      </c>
      <c r="R1788" s="5">
        <f t="shared" si="8"/>
        <v>0</v>
      </c>
    </row>
    <row r="1789" ht="15.75" customHeight="1">
      <c r="A1789" s="4">
        <v>2000.0</v>
      </c>
      <c r="B1789" s="4">
        <v>333.0</v>
      </c>
      <c r="C1789" s="4" t="s">
        <v>20</v>
      </c>
      <c r="D1789" s="5" t="s">
        <v>19</v>
      </c>
      <c r="E1789" s="5" t="str">
        <f t="shared" si="1"/>
        <v/>
      </c>
      <c r="F1789" s="5" t="str">
        <f t="shared" si="2"/>
        <v/>
      </c>
      <c r="G1789" s="5" t="s">
        <v>19</v>
      </c>
      <c r="H1789" s="5" t="s">
        <v>19</v>
      </c>
      <c r="I1789" s="5" t="s">
        <v>19</v>
      </c>
      <c r="J1789" s="5">
        <v>0.0</v>
      </c>
      <c r="K1789" s="5">
        <f t="shared" si="3"/>
        <v>0</v>
      </c>
      <c r="L1789" s="5">
        <f t="shared" si="4"/>
        <v>0</v>
      </c>
      <c r="M1789" s="5">
        <v>11226.15692202669</v>
      </c>
      <c r="N1789" s="5">
        <f t="shared" si="5"/>
        <v>0</v>
      </c>
      <c r="O1789" s="5">
        <f t="shared" si="6"/>
        <v>11226.15692</v>
      </c>
      <c r="P1789" s="5">
        <f t="shared" si="9"/>
        <v>11226.15692</v>
      </c>
      <c r="Q1789" s="5">
        <f t="shared" si="7"/>
        <v>11226.15692</v>
      </c>
      <c r="R1789" s="5">
        <f t="shared" si="8"/>
        <v>0</v>
      </c>
    </row>
    <row r="1790" ht="15.75" customHeight="1">
      <c r="A1790" s="4">
        <v>2000.0</v>
      </c>
      <c r="B1790" s="4">
        <v>400.0</v>
      </c>
      <c r="C1790" s="4" t="s">
        <v>21</v>
      </c>
      <c r="D1790" s="5">
        <v>1680.3481476334946</v>
      </c>
      <c r="E1790" s="5">
        <f t="shared" si="1"/>
        <v>0</v>
      </c>
      <c r="F1790" s="5">
        <f t="shared" si="2"/>
        <v>1680.348148</v>
      </c>
      <c r="G1790" s="5" t="s">
        <v>19</v>
      </c>
      <c r="H1790" s="5" t="s">
        <v>19</v>
      </c>
      <c r="I1790" s="5" t="s">
        <v>19</v>
      </c>
      <c r="J1790" s="5">
        <v>268205.7707196602</v>
      </c>
      <c r="K1790" s="5">
        <f t="shared" si="3"/>
        <v>268205.7707</v>
      </c>
      <c r="L1790" s="5">
        <f t="shared" si="4"/>
        <v>0</v>
      </c>
      <c r="M1790" s="5">
        <v>461.8664027912623</v>
      </c>
      <c r="N1790" s="5">
        <f t="shared" si="5"/>
        <v>0</v>
      </c>
      <c r="O1790" s="5">
        <f t="shared" si="6"/>
        <v>461.8664028</v>
      </c>
      <c r="P1790" s="5">
        <f t="shared" si="9"/>
        <v>270347.9853</v>
      </c>
      <c r="Q1790" s="5">
        <f t="shared" si="7"/>
        <v>2142.21455</v>
      </c>
      <c r="R1790" s="5">
        <f t="shared" si="8"/>
        <v>268205.7707</v>
      </c>
    </row>
    <row r="1791" ht="15.75" customHeight="1">
      <c r="A1791" s="4">
        <v>2000.0</v>
      </c>
      <c r="B1791" s="4">
        <v>401.0</v>
      </c>
      <c r="C1791" s="4" t="s">
        <v>21</v>
      </c>
      <c r="D1791" s="5">
        <v>843.811191019417</v>
      </c>
      <c r="E1791" s="5">
        <f t="shared" si="1"/>
        <v>0</v>
      </c>
      <c r="F1791" s="5">
        <f t="shared" si="2"/>
        <v>843.811191</v>
      </c>
      <c r="G1791" s="5">
        <v>6723.74769514563</v>
      </c>
      <c r="H1791" s="5">
        <v>4934.4759592233</v>
      </c>
      <c r="I1791" s="5">
        <v>1789.2717359223298</v>
      </c>
      <c r="J1791" s="5">
        <v>494449.80689126207</v>
      </c>
      <c r="K1791" s="5">
        <f t="shared" si="3"/>
        <v>494449.8069</v>
      </c>
      <c r="L1791" s="5">
        <f t="shared" si="4"/>
        <v>0</v>
      </c>
      <c r="M1791" s="5">
        <v>1824.7312545509722</v>
      </c>
      <c r="N1791" s="5">
        <f t="shared" si="5"/>
        <v>0</v>
      </c>
      <c r="O1791" s="5">
        <f t="shared" si="6"/>
        <v>1824.731255</v>
      </c>
      <c r="P1791" s="5">
        <f t="shared" si="9"/>
        <v>503842.097</v>
      </c>
      <c r="Q1791" s="5">
        <f t="shared" si="7"/>
        <v>4457.814181</v>
      </c>
      <c r="R1791" s="5">
        <f t="shared" si="8"/>
        <v>499384.2829</v>
      </c>
    </row>
    <row r="1792" ht="15.75" customHeight="1">
      <c r="A1792" s="4">
        <v>2000.0</v>
      </c>
      <c r="B1792" s="4">
        <v>402.0</v>
      </c>
      <c r="C1792" s="4" t="s">
        <v>21</v>
      </c>
      <c r="D1792" s="5">
        <v>1985.8659926577661</v>
      </c>
      <c r="E1792" s="5">
        <f t="shared" si="1"/>
        <v>0</v>
      </c>
      <c r="F1792" s="5">
        <f t="shared" si="2"/>
        <v>1985.865993</v>
      </c>
      <c r="G1792" s="5">
        <v>2208.632299029126</v>
      </c>
      <c r="H1792" s="5">
        <v>1443.9982056310682</v>
      </c>
      <c r="I1792" s="5">
        <v>764.6340933980578</v>
      </c>
      <c r="J1792" s="5">
        <v>281637.103254915</v>
      </c>
      <c r="K1792" s="5">
        <f t="shared" si="3"/>
        <v>281637.1033</v>
      </c>
      <c r="L1792" s="5">
        <f t="shared" si="4"/>
        <v>0</v>
      </c>
      <c r="M1792" s="5">
        <v>7705.750347087378</v>
      </c>
      <c r="N1792" s="5">
        <f t="shared" si="5"/>
        <v>0</v>
      </c>
      <c r="O1792" s="5">
        <f t="shared" si="6"/>
        <v>7705.750347</v>
      </c>
      <c r="P1792" s="5">
        <f t="shared" si="9"/>
        <v>293537.3519</v>
      </c>
      <c r="Q1792" s="5">
        <f t="shared" si="7"/>
        <v>10456.25043</v>
      </c>
      <c r="R1792" s="5">
        <f t="shared" si="8"/>
        <v>283081.1015</v>
      </c>
    </row>
    <row r="1793" ht="15.75" customHeight="1">
      <c r="A1793" s="4">
        <v>2000.0</v>
      </c>
      <c r="B1793" s="4">
        <v>403.0</v>
      </c>
      <c r="C1793" s="4" t="s">
        <v>21</v>
      </c>
      <c r="D1793" s="5">
        <v>3753.5049531553377</v>
      </c>
      <c r="E1793" s="5">
        <f t="shared" si="1"/>
        <v>0</v>
      </c>
      <c r="F1793" s="5">
        <f t="shared" si="2"/>
        <v>3753.504953</v>
      </c>
      <c r="G1793" s="5">
        <v>33003.676316504854</v>
      </c>
      <c r="H1793" s="5">
        <v>21458.68001417476</v>
      </c>
      <c r="I1793" s="5">
        <v>11544.996302330095</v>
      </c>
      <c r="J1793" s="5">
        <v>1030661.4303374998</v>
      </c>
      <c r="K1793" s="5">
        <f t="shared" si="3"/>
        <v>1030661.43</v>
      </c>
      <c r="L1793" s="5">
        <f t="shared" si="4"/>
        <v>0</v>
      </c>
      <c r="M1793" s="5">
        <v>31190.34072942965</v>
      </c>
      <c r="N1793" s="5">
        <f t="shared" si="5"/>
        <v>0</v>
      </c>
      <c r="O1793" s="5">
        <f t="shared" si="6"/>
        <v>31190.34073</v>
      </c>
      <c r="P1793" s="5">
        <f t="shared" si="9"/>
        <v>1098608.952</v>
      </c>
      <c r="Q1793" s="5">
        <f t="shared" si="7"/>
        <v>46488.84198</v>
      </c>
      <c r="R1793" s="5">
        <f t="shared" si="8"/>
        <v>1052120.11</v>
      </c>
    </row>
    <row r="1794" ht="15.75" customHeight="1">
      <c r="A1794" s="4">
        <v>2000.0</v>
      </c>
      <c r="B1794" s="4">
        <v>404.0</v>
      </c>
      <c r="C1794" s="4" t="s">
        <v>21</v>
      </c>
      <c r="D1794" s="5">
        <v>10751.318451092227</v>
      </c>
      <c r="E1794" s="5">
        <f t="shared" si="1"/>
        <v>0</v>
      </c>
      <c r="F1794" s="5">
        <f t="shared" si="2"/>
        <v>10751.31845</v>
      </c>
      <c r="G1794" s="5">
        <v>19115.85233495145</v>
      </c>
      <c r="H1794" s="5">
        <v>10495.197026019414</v>
      </c>
      <c r="I1794" s="5">
        <v>8620.655308932037</v>
      </c>
      <c r="J1794" s="5">
        <v>632156.4771263956</v>
      </c>
      <c r="K1794" s="5">
        <f t="shared" si="3"/>
        <v>632156.4771</v>
      </c>
      <c r="L1794" s="5">
        <f t="shared" si="4"/>
        <v>0</v>
      </c>
      <c r="M1794" s="5">
        <v>4466.702802123789</v>
      </c>
      <c r="N1794" s="5">
        <f t="shared" si="5"/>
        <v>0</v>
      </c>
      <c r="O1794" s="5">
        <f t="shared" si="6"/>
        <v>4466.702802</v>
      </c>
      <c r="P1794" s="5">
        <f t="shared" si="9"/>
        <v>666490.3507</v>
      </c>
      <c r="Q1794" s="5">
        <f t="shared" si="7"/>
        <v>23838.67656</v>
      </c>
      <c r="R1794" s="5">
        <f t="shared" si="8"/>
        <v>642651.6742</v>
      </c>
    </row>
    <row r="1795" ht="15.75" customHeight="1">
      <c r="A1795" s="4">
        <v>2000.0</v>
      </c>
      <c r="B1795" s="4">
        <v>405.0</v>
      </c>
      <c r="C1795" s="4" t="s">
        <v>21</v>
      </c>
      <c r="D1795" s="5">
        <v>5361.110756735435</v>
      </c>
      <c r="E1795" s="5">
        <f t="shared" si="1"/>
        <v>0</v>
      </c>
      <c r="F1795" s="5">
        <f t="shared" si="2"/>
        <v>5361.110757</v>
      </c>
      <c r="G1795" s="5">
        <v>17920.674730097082</v>
      </c>
      <c r="H1795" s="5">
        <v>11807.795588543686</v>
      </c>
      <c r="I1795" s="5">
        <v>6112.879141553396</v>
      </c>
      <c r="J1795" s="5">
        <v>100900.71550867718</v>
      </c>
      <c r="K1795" s="5">
        <f t="shared" si="3"/>
        <v>100900.7155</v>
      </c>
      <c r="L1795" s="5">
        <f t="shared" si="4"/>
        <v>0</v>
      </c>
      <c r="M1795" s="5">
        <v>4499.009519417479</v>
      </c>
      <c r="N1795" s="5">
        <f t="shared" si="5"/>
        <v>0</v>
      </c>
      <c r="O1795" s="5">
        <f t="shared" si="6"/>
        <v>4499.009519</v>
      </c>
      <c r="P1795" s="5">
        <f t="shared" si="9"/>
        <v>128681.5105</v>
      </c>
      <c r="Q1795" s="5">
        <f t="shared" si="7"/>
        <v>15972.99942</v>
      </c>
      <c r="R1795" s="5">
        <f t="shared" si="8"/>
        <v>112708.5111</v>
      </c>
    </row>
    <row r="1796" ht="15.75" customHeight="1">
      <c r="A1796" s="4">
        <v>2000.0</v>
      </c>
      <c r="B1796" s="4">
        <v>406.0</v>
      </c>
      <c r="C1796" s="4" t="s">
        <v>21</v>
      </c>
      <c r="D1796" s="5" t="s">
        <v>19</v>
      </c>
      <c r="E1796" s="5" t="str">
        <f t="shared" si="1"/>
        <v/>
      </c>
      <c r="F1796" s="5" t="str">
        <f t="shared" si="2"/>
        <v/>
      </c>
      <c r="G1796" s="5" t="s">
        <v>19</v>
      </c>
      <c r="H1796" s="5" t="s">
        <v>19</v>
      </c>
      <c r="I1796" s="5" t="s">
        <v>19</v>
      </c>
      <c r="J1796" s="5">
        <v>6928.736760254853</v>
      </c>
      <c r="K1796" s="5">
        <f t="shared" si="3"/>
        <v>6928.73676</v>
      </c>
      <c r="L1796" s="5">
        <f t="shared" si="4"/>
        <v>0</v>
      </c>
      <c r="M1796" s="5">
        <v>0.0</v>
      </c>
      <c r="N1796" s="5">
        <f t="shared" si="5"/>
        <v>0</v>
      </c>
      <c r="O1796" s="5">
        <f t="shared" si="6"/>
        <v>0</v>
      </c>
      <c r="P1796" s="5">
        <f t="shared" si="9"/>
        <v>6928.73676</v>
      </c>
      <c r="Q1796" s="5">
        <f t="shared" si="7"/>
        <v>0</v>
      </c>
      <c r="R1796" s="5">
        <f t="shared" si="8"/>
        <v>6928.73676</v>
      </c>
    </row>
    <row r="1797" ht="15.75" customHeight="1">
      <c r="A1797" s="4">
        <v>2000.0</v>
      </c>
      <c r="B1797" s="4">
        <v>407.0</v>
      </c>
      <c r="C1797" s="4" t="s">
        <v>21</v>
      </c>
      <c r="D1797" s="5">
        <v>3768.053421966018</v>
      </c>
      <c r="E1797" s="5">
        <f t="shared" si="1"/>
        <v>0</v>
      </c>
      <c r="F1797" s="5">
        <f t="shared" si="2"/>
        <v>3768.053422</v>
      </c>
      <c r="G1797" s="5" t="s">
        <v>19</v>
      </c>
      <c r="H1797" s="5" t="s">
        <v>19</v>
      </c>
      <c r="I1797" s="5" t="s">
        <v>19</v>
      </c>
      <c r="J1797" s="5">
        <v>140694.91813173544</v>
      </c>
      <c r="K1797" s="5">
        <f t="shared" si="3"/>
        <v>140694.9181</v>
      </c>
      <c r="L1797" s="5">
        <f t="shared" si="4"/>
        <v>0</v>
      </c>
      <c r="M1797" s="5">
        <v>887.8364530339804</v>
      </c>
      <c r="N1797" s="5">
        <f t="shared" si="5"/>
        <v>0</v>
      </c>
      <c r="O1797" s="5">
        <f t="shared" si="6"/>
        <v>887.836453</v>
      </c>
      <c r="P1797" s="5">
        <f t="shared" si="9"/>
        <v>145350.808</v>
      </c>
      <c r="Q1797" s="5">
        <f t="shared" si="7"/>
        <v>4655.889875</v>
      </c>
      <c r="R1797" s="5">
        <f t="shared" si="8"/>
        <v>140694.9181</v>
      </c>
    </row>
    <row r="1798" ht="15.75" customHeight="1">
      <c r="A1798" s="4">
        <v>2000.0</v>
      </c>
      <c r="B1798" s="4">
        <v>408.0</v>
      </c>
      <c r="C1798" s="4" t="s">
        <v>21</v>
      </c>
      <c r="D1798" s="5">
        <v>1200.2486768810675</v>
      </c>
      <c r="E1798" s="5">
        <f t="shared" si="1"/>
        <v>0</v>
      </c>
      <c r="F1798" s="5">
        <f t="shared" si="2"/>
        <v>1200.248677</v>
      </c>
      <c r="G1798" s="5" t="s">
        <v>19</v>
      </c>
      <c r="H1798" s="5" t="s">
        <v>19</v>
      </c>
      <c r="I1798" s="5" t="s">
        <v>19</v>
      </c>
      <c r="J1798" s="5">
        <v>153368.66669320385</v>
      </c>
      <c r="K1798" s="5">
        <f t="shared" si="3"/>
        <v>153368.6667</v>
      </c>
      <c r="L1798" s="5">
        <f t="shared" si="4"/>
        <v>0</v>
      </c>
      <c r="M1798" s="5">
        <v>303.92245157767024</v>
      </c>
      <c r="N1798" s="5">
        <f t="shared" si="5"/>
        <v>0</v>
      </c>
      <c r="O1798" s="5">
        <f t="shared" si="6"/>
        <v>303.9224516</v>
      </c>
      <c r="P1798" s="5">
        <f t="shared" si="9"/>
        <v>154872.8378</v>
      </c>
      <c r="Q1798" s="5">
        <f t="shared" si="7"/>
        <v>1504.171128</v>
      </c>
      <c r="R1798" s="5">
        <f t="shared" si="8"/>
        <v>153368.6667</v>
      </c>
    </row>
    <row r="1799" ht="15.75" customHeight="1">
      <c r="A1799" s="4">
        <v>2000.0</v>
      </c>
      <c r="B1799" s="4">
        <v>409.0</v>
      </c>
      <c r="C1799" s="4" t="s">
        <v>21</v>
      </c>
      <c r="D1799" s="5">
        <v>1047.4897543689317</v>
      </c>
      <c r="E1799" s="5">
        <f t="shared" si="1"/>
        <v>0</v>
      </c>
      <c r="F1799" s="5">
        <f t="shared" si="2"/>
        <v>1047.489754</v>
      </c>
      <c r="G1799" s="5">
        <v>3718.330326213592</v>
      </c>
      <c r="H1799" s="5">
        <v>2106.5878953398055</v>
      </c>
      <c r="I1799" s="5">
        <v>1611.7424308737864</v>
      </c>
      <c r="J1799" s="5">
        <v>81403.4501833131</v>
      </c>
      <c r="K1799" s="5">
        <f t="shared" si="3"/>
        <v>81403.45018</v>
      </c>
      <c r="L1799" s="5">
        <f t="shared" si="4"/>
        <v>0</v>
      </c>
      <c r="M1799" s="5">
        <v>470.24221838592257</v>
      </c>
      <c r="N1799" s="5">
        <f t="shared" si="5"/>
        <v>0</v>
      </c>
      <c r="O1799" s="5">
        <f t="shared" si="6"/>
        <v>470.2422184</v>
      </c>
      <c r="P1799" s="5">
        <f t="shared" si="9"/>
        <v>86639.51248</v>
      </c>
      <c r="Q1799" s="5">
        <f t="shared" si="7"/>
        <v>3129.474404</v>
      </c>
      <c r="R1799" s="5">
        <f t="shared" si="8"/>
        <v>83510.03808</v>
      </c>
    </row>
    <row r="1800" ht="15.75" customHeight="1">
      <c r="A1800" s="4">
        <v>2000.0</v>
      </c>
      <c r="B1800" s="4">
        <v>420.0</v>
      </c>
      <c r="C1800" s="4" t="s">
        <v>21</v>
      </c>
      <c r="D1800" s="5">
        <v>458.2767675364076</v>
      </c>
      <c r="E1800" s="5">
        <f t="shared" si="1"/>
        <v>0</v>
      </c>
      <c r="F1800" s="5">
        <f t="shared" si="2"/>
        <v>458.2767675</v>
      </c>
      <c r="G1800" s="5" t="s">
        <v>19</v>
      </c>
      <c r="H1800" s="5" t="s">
        <v>19</v>
      </c>
      <c r="I1800" s="5" t="s">
        <v>19</v>
      </c>
      <c r="J1800" s="5">
        <v>0.0</v>
      </c>
      <c r="K1800" s="5">
        <f t="shared" si="3"/>
        <v>0</v>
      </c>
      <c r="L1800" s="5">
        <f t="shared" si="4"/>
        <v>0</v>
      </c>
      <c r="M1800" s="5">
        <v>46234.5020825243</v>
      </c>
      <c r="N1800" s="5">
        <f t="shared" si="5"/>
        <v>0</v>
      </c>
      <c r="O1800" s="5">
        <f t="shared" si="6"/>
        <v>46234.50208</v>
      </c>
      <c r="P1800" s="5">
        <f t="shared" si="9"/>
        <v>46692.77885</v>
      </c>
      <c r="Q1800" s="5">
        <f t="shared" si="7"/>
        <v>46692.77885</v>
      </c>
      <c r="R1800" s="5">
        <f t="shared" si="8"/>
        <v>0</v>
      </c>
    </row>
    <row r="1801" ht="15.75" customHeight="1">
      <c r="A1801" s="4">
        <v>2000.0</v>
      </c>
      <c r="B1801" s="4">
        <v>421.0</v>
      </c>
      <c r="C1801" s="4" t="s">
        <v>21</v>
      </c>
      <c r="D1801" s="5">
        <v>8219.884878033976</v>
      </c>
      <c r="E1801" s="5">
        <f t="shared" si="1"/>
        <v>0</v>
      </c>
      <c r="F1801" s="5">
        <f t="shared" si="2"/>
        <v>8219.884878</v>
      </c>
      <c r="G1801" s="5" t="s">
        <v>19</v>
      </c>
      <c r="H1801" s="5" t="s">
        <v>19</v>
      </c>
      <c r="I1801" s="5" t="s">
        <v>19</v>
      </c>
      <c r="J1801" s="5">
        <v>0.0</v>
      </c>
      <c r="K1801" s="5">
        <f t="shared" si="3"/>
        <v>0</v>
      </c>
      <c r="L1801" s="5">
        <f t="shared" si="4"/>
        <v>0</v>
      </c>
      <c r="M1801" s="5">
        <v>160856.94022290653</v>
      </c>
      <c r="N1801" s="5">
        <f t="shared" si="5"/>
        <v>0</v>
      </c>
      <c r="O1801" s="5">
        <f t="shared" si="6"/>
        <v>160856.9402</v>
      </c>
      <c r="P1801" s="5">
        <f t="shared" si="9"/>
        <v>169076.8251</v>
      </c>
      <c r="Q1801" s="5">
        <f t="shared" si="7"/>
        <v>169076.8251</v>
      </c>
      <c r="R1801" s="5">
        <f t="shared" si="8"/>
        <v>0</v>
      </c>
    </row>
    <row r="1802" ht="15.75" customHeight="1">
      <c r="A1802" s="4">
        <v>2000.0</v>
      </c>
      <c r="B1802" s="4">
        <v>422.0</v>
      </c>
      <c r="C1802" s="4" t="s">
        <v>21</v>
      </c>
      <c r="D1802" s="5" t="s">
        <v>19</v>
      </c>
      <c r="E1802" s="5" t="str">
        <f t="shared" si="1"/>
        <v/>
      </c>
      <c r="F1802" s="5" t="str">
        <f t="shared" si="2"/>
        <v/>
      </c>
      <c r="G1802" s="5">
        <v>3697.3622980582522</v>
      </c>
      <c r="H1802" s="5">
        <v>1443.998205631068</v>
      </c>
      <c r="I1802" s="5">
        <v>2253.364092427184</v>
      </c>
      <c r="J1802" s="5">
        <v>0.0</v>
      </c>
      <c r="K1802" s="5">
        <f t="shared" si="3"/>
        <v>0</v>
      </c>
      <c r="L1802" s="5">
        <f t="shared" si="4"/>
        <v>0</v>
      </c>
      <c r="M1802" s="5">
        <v>129606.17396668694</v>
      </c>
      <c r="N1802" s="5">
        <f t="shared" si="5"/>
        <v>0</v>
      </c>
      <c r="O1802" s="5">
        <f t="shared" si="6"/>
        <v>129606.174</v>
      </c>
      <c r="P1802" s="5">
        <f t="shared" si="9"/>
        <v>133303.5363</v>
      </c>
      <c r="Q1802" s="5">
        <f t="shared" si="7"/>
        <v>131859.5381</v>
      </c>
      <c r="R1802" s="5">
        <f t="shared" si="8"/>
        <v>1443.998206</v>
      </c>
    </row>
    <row r="1803" ht="15.75" customHeight="1">
      <c r="A1803" s="4">
        <v>2000.0</v>
      </c>
      <c r="B1803" s="4">
        <v>423.0</v>
      </c>
      <c r="C1803" s="4" t="s">
        <v>21</v>
      </c>
      <c r="D1803" s="5">
        <v>37389.56484344659</v>
      </c>
      <c r="E1803" s="5">
        <f t="shared" si="1"/>
        <v>0</v>
      </c>
      <c r="F1803" s="5">
        <f t="shared" si="2"/>
        <v>37389.56484</v>
      </c>
      <c r="G1803" s="5">
        <v>14628.694309708737</v>
      </c>
      <c r="H1803" s="5">
        <v>8348.07094291262</v>
      </c>
      <c r="I1803" s="5">
        <v>6280.623366796117</v>
      </c>
      <c r="J1803" s="5">
        <v>30550.62594290048</v>
      </c>
      <c r="K1803" s="5">
        <f t="shared" si="3"/>
        <v>30550.62594</v>
      </c>
      <c r="L1803" s="5">
        <f t="shared" si="4"/>
        <v>0</v>
      </c>
      <c r="M1803" s="5">
        <v>318885.24786498817</v>
      </c>
      <c r="N1803" s="5">
        <f t="shared" si="5"/>
        <v>0</v>
      </c>
      <c r="O1803" s="5">
        <f t="shared" si="6"/>
        <v>318885.2479</v>
      </c>
      <c r="P1803" s="5">
        <f t="shared" si="9"/>
        <v>401454.133</v>
      </c>
      <c r="Q1803" s="5">
        <f t="shared" si="7"/>
        <v>362555.4361</v>
      </c>
      <c r="R1803" s="5">
        <f t="shared" si="8"/>
        <v>38898.69689</v>
      </c>
    </row>
    <row r="1804" ht="15.75" customHeight="1">
      <c r="A1804" s="4">
        <v>2000.0</v>
      </c>
      <c r="B1804" s="4">
        <v>424.0</v>
      </c>
      <c r="C1804" s="4" t="s">
        <v>21</v>
      </c>
      <c r="D1804" s="5">
        <v>29351.535825546103</v>
      </c>
      <c r="E1804" s="5">
        <f t="shared" si="1"/>
        <v>0</v>
      </c>
      <c r="F1804" s="5">
        <f t="shared" si="2"/>
        <v>29351.53583</v>
      </c>
      <c r="G1804" s="5">
        <v>7436.660652427184</v>
      </c>
      <c r="H1804" s="5">
        <v>3760.266382524271</v>
      </c>
      <c r="I1804" s="5">
        <v>3676.3942699029126</v>
      </c>
      <c r="J1804" s="5">
        <v>0.0</v>
      </c>
      <c r="K1804" s="5">
        <f t="shared" si="3"/>
        <v>0</v>
      </c>
      <c r="L1804" s="5">
        <f t="shared" si="4"/>
        <v>0</v>
      </c>
      <c r="M1804" s="5">
        <v>106466.1885688107</v>
      </c>
      <c r="N1804" s="5">
        <f t="shared" si="5"/>
        <v>0</v>
      </c>
      <c r="O1804" s="5">
        <f t="shared" si="6"/>
        <v>106466.1886</v>
      </c>
      <c r="P1804" s="5">
        <f t="shared" si="9"/>
        <v>143254.385</v>
      </c>
      <c r="Q1804" s="5">
        <f t="shared" si="7"/>
        <v>139494.1187</v>
      </c>
      <c r="R1804" s="5">
        <f t="shared" si="8"/>
        <v>3760.266383</v>
      </c>
    </row>
    <row r="1805" ht="15.75" customHeight="1">
      <c r="A1805" s="4">
        <v>2000.0</v>
      </c>
      <c r="B1805" s="4">
        <v>425.0</v>
      </c>
      <c r="C1805" s="4" t="s">
        <v>21</v>
      </c>
      <c r="D1805" s="5">
        <v>30406.299814320373</v>
      </c>
      <c r="E1805" s="5">
        <f t="shared" si="1"/>
        <v>0</v>
      </c>
      <c r="F1805" s="5">
        <f t="shared" si="2"/>
        <v>30406.29981</v>
      </c>
      <c r="G1805" s="5">
        <v>18514.76886116505</v>
      </c>
      <c r="H1805" s="5">
        <v>13163.728075922329</v>
      </c>
      <c r="I1805" s="5">
        <v>5351.04078524272</v>
      </c>
      <c r="J1805" s="5">
        <v>0.0</v>
      </c>
      <c r="K1805" s="5">
        <f t="shared" si="3"/>
        <v>0</v>
      </c>
      <c r="L1805" s="5">
        <f t="shared" si="4"/>
        <v>0</v>
      </c>
      <c r="M1805" s="5">
        <v>206582.31237178412</v>
      </c>
      <c r="N1805" s="5">
        <f t="shared" si="5"/>
        <v>0</v>
      </c>
      <c r="O1805" s="5">
        <f t="shared" si="6"/>
        <v>206582.3124</v>
      </c>
      <c r="P1805" s="5">
        <f t="shared" si="9"/>
        <v>255503.381</v>
      </c>
      <c r="Q1805" s="5">
        <f t="shared" si="7"/>
        <v>242339.653</v>
      </c>
      <c r="R1805" s="5">
        <f t="shared" si="8"/>
        <v>13163.72808</v>
      </c>
    </row>
    <row r="1806" ht="15.75" customHeight="1">
      <c r="A1806" s="4">
        <v>2000.0</v>
      </c>
      <c r="B1806" s="4">
        <v>426.0</v>
      </c>
      <c r="C1806" s="4" t="s">
        <v>21</v>
      </c>
      <c r="D1806" s="5">
        <v>2720.563667597086</v>
      </c>
      <c r="E1806" s="5">
        <f t="shared" si="1"/>
        <v>0</v>
      </c>
      <c r="F1806" s="5">
        <f t="shared" si="2"/>
        <v>2720.563668</v>
      </c>
      <c r="G1806" s="5" t="s">
        <v>19</v>
      </c>
      <c r="H1806" s="5" t="s">
        <v>19</v>
      </c>
      <c r="I1806" s="5" t="s">
        <v>19</v>
      </c>
      <c r="J1806" s="5">
        <v>0.0</v>
      </c>
      <c r="K1806" s="5">
        <f t="shared" si="3"/>
        <v>0</v>
      </c>
      <c r="L1806" s="5">
        <f t="shared" si="4"/>
        <v>0</v>
      </c>
      <c r="M1806" s="5">
        <v>168491.4961374394</v>
      </c>
      <c r="N1806" s="5">
        <f t="shared" si="5"/>
        <v>0</v>
      </c>
      <c r="O1806" s="5">
        <f t="shared" si="6"/>
        <v>168491.4961</v>
      </c>
      <c r="P1806" s="5">
        <f t="shared" si="9"/>
        <v>171212.0598</v>
      </c>
      <c r="Q1806" s="5">
        <f t="shared" si="7"/>
        <v>171212.0598</v>
      </c>
      <c r="R1806" s="5">
        <f t="shared" si="8"/>
        <v>0</v>
      </c>
    </row>
    <row r="1807" ht="15.75" customHeight="1">
      <c r="A1807" s="4">
        <v>2000.0</v>
      </c>
      <c r="B1807" s="4">
        <v>427.0</v>
      </c>
      <c r="C1807" s="4" t="s">
        <v>21</v>
      </c>
      <c r="D1807" s="5">
        <v>1076.5866919902908</v>
      </c>
      <c r="E1807" s="5">
        <f t="shared" si="1"/>
        <v>0</v>
      </c>
      <c r="F1807" s="5">
        <f t="shared" si="2"/>
        <v>1076.586692</v>
      </c>
      <c r="G1807" s="5" t="s">
        <v>19</v>
      </c>
      <c r="H1807" s="5" t="s">
        <v>19</v>
      </c>
      <c r="I1807" s="5" t="s">
        <v>19</v>
      </c>
      <c r="J1807" s="5">
        <v>0.0</v>
      </c>
      <c r="K1807" s="5">
        <f t="shared" si="3"/>
        <v>0</v>
      </c>
      <c r="L1807" s="5">
        <f t="shared" si="4"/>
        <v>0</v>
      </c>
      <c r="M1807" s="5">
        <v>414540.6515912621</v>
      </c>
      <c r="N1807" s="5">
        <f t="shared" si="5"/>
        <v>0</v>
      </c>
      <c r="O1807" s="5">
        <f t="shared" si="6"/>
        <v>414540.6516</v>
      </c>
      <c r="P1807" s="5">
        <f t="shared" si="9"/>
        <v>415617.2383</v>
      </c>
      <c r="Q1807" s="5">
        <f t="shared" si="7"/>
        <v>415617.2383</v>
      </c>
      <c r="R1807" s="5">
        <f t="shared" si="8"/>
        <v>0</v>
      </c>
    </row>
    <row r="1808" ht="15.75" customHeight="1">
      <c r="A1808" s="4">
        <v>2000.0</v>
      </c>
      <c r="B1808" s="4">
        <v>428.0</v>
      </c>
      <c r="C1808" s="4" t="s">
        <v>21</v>
      </c>
      <c r="D1808" s="5">
        <v>13697.383385254849</v>
      </c>
      <c r="E1808" s="5">
        <f t="shared" si="1"/>
        <v>0</v>
      </c>
      <c r="F1808" s="5">
        <f t="shared" si="2"/>
        <v>13697.38339</v>
      </c>
      <c r="G1808" s="5">
        <v>7254.937741747572</v>
      </c>
      <c r="H1808" s="5">
        <v>4982.003489708737</v>
      </c>
      <c r="I1808" s="5">
        <v>2272.9342520388345</v>
      </c>
      <c r="J1808" s="5">
        <v>0.0</v>
      </c>
      <c r="K1808" s="5">
        <f t="shared" si="3"/>
        <v>0</v>
      </c>
      <c r="L1808" s="5">
        <f t="shared" si="4"/>
        <v>0</v>
      </c>
      <c r="M1808" s="5">
        <v>85752.79660321609</v>
      </c>
      <c r="N1808" s="5">
        <f t="shared" si="5"/>
        <v>0</v>
      </c>
      <c r="O1808" s="5">
        <f t="shared" si="6"/>
        <v>85752.7966</v>
      </c>
      <c r="P1808" s="5">
        <f t="shared" si="9"/>
        <v>106705.1177</v>
      </c>
      <c r="Q1808" s="5">
        <f t="shared" si="7"/>
        <v>101723.1142</v>
      </c>
      <c r="R1808" s="5">
        <f t="shared" si="8"/>
        <v>4982.00349</v>
      </c>
    </row>
    <row r="1809" ht="15.75" customHeight="1">
      <c r="A1809" s="4">
        <v>2000.0</v>
      </c>
      <c r="B1809" s="4">
        <v>429.0</v>
      </c>
      <c r="C1809" s="4" t="s">
        <v>21</v>
      </c>
      <c r="D1809" s="5">
        <v>27186.214470108604</v>
      </c>
      <c r="E1809" s="5">
        <f t="shared" si="1"/>
        <v>0</v>
      </c>
      <c r="F1809" s="5">
        <f t="shared" si="2"/>
        <v>27186.21447</v>
      </c>
      <c r="G1809" s="5">
        <v>4305.435114563106</v>
      </c>
      <c r="H1809" s="5">
        <v>1620.1296421359223</v>
      </c>
      <c r="I1809" s="5">
        <v>2685.305472427184</v>
      </c>
      <c r="J1809" s="5">
        <v>168.35199417475727</v>
      </c>
      <c r="K1809" s="5">
        <f t="shared" si="3"/>
        <v>168.3519942</v>
      </c>
      <c r="L1809" s="5">
        <f t="shared" si="4"/>
        <v>0</v>
      </c>
      <c r="M1809" s="5">
        <v>11472.079414636537</v>
      </c>
      <c r="N1809" s="5">
        <f t="shared" si="5"/>
        <v>0</v>
      </c>
      <c r="O1809" s="5">
        <f t="shared" si="6"/>
        <v>11472.07941</v>
      </c>
      <c r="P1809" s="5">
        <f t="shared" si="9"/>
        <v>43132.08099</v>
      </c>
      <c r="Q1809" s="5">
        <f t="shared" si="7"/>
        <v>41343.59936</v>
      </c>
      <c r="R1809" s="5">
        <f t="shared" si="8"/>
        <v>1788.481636</v>
      </c>
    </row>
    <row r="1810" ht="15.75" customHeight="1">
      <c r="A1810" s="4">
        <v>2000.0</v>
      </c>
      <c r="B1810" s="4">
        <v>500.0</v>
      </c>
      <c r="C1810" s="4" t="s">
        <v>22</v>
      </c>
      <c r="D1810" s="5">
        <v>24608.488087135913</v>
      </c>
      <c r="E1810" s="5">
        <f t="shared" si="1"/>
        <v>0</v>
      </c>
      <c r="F1810" s="5">
        <f t="shared" si="2"/>
        <v>24608.48809</v>
      </c>
      <c r="G1810" s="5">
        <v>52993.082534587375</v>
      </c>
      <c r="H1810" s="5">
        <v>36082.519769538834</v>
      </c>
      <c r="I1810" s="5">
        <v>16910.56276504854</v>
      </c>
      <c r="J1810" s="5">
        <v>2072161.954254824</v>
      </c>
      <c r="K1810" s="5">
        <f t="shared" si="3"/>
        <v>2072161.954</v>
      </c>
      <c r="L1810" s="5">
        <f t="shared" si="4"/>
        <v>0</v>
      </c>
      <c r="M1810" s="5">
        <v>38903.76226000606</v>
      </c>
      <c r="N1810" s="5">
        <f t="shared" si="5"/>
        <v>0</v>
      </c>
      <c r="O1810" s="5">
        <f t="shared" si="6"/>
        <v>38903.76226</v>
      </c>
      <c r="P1810" s="5">
        <f t="shared" si="9"/>
        <v>2188667.287</v>
      </c>
      <c r="Q1810" s="5">
        <f t="shared" si="7"/>
        <v>80422.81311</v>
      </c>
      <c r="R1810" s="5">
        <f t="shared" si="8"/>
        <v>2108244.474</v>
      </c>
    </row>
    <row r="1811" ht="15.75" customHeight="1">
      <c r="A1811" s="4">
        <v>2000.0</v>
      </c>
      <c r="B1811" s="4">
        <v>501.0</v>
      </c>
      <c r="C1811" s="4" t="s">
        <v>22</v>
      </c>
      <c r="D1811" s="5" t="s">
        <v>19</v>
      </c>
      <c r="E1811" s="5" t="str">
        <f t="shared" si="1"/>
        <v/>
      </c>
      <c r="F1811" s="5" t="str">
        <f t="shared" si="2"/>
        <v/>
      </c>
      <c r="G1811" s="5">
        <v>4139.096354975728</v>
      </c>
      <c r="H1811" s="5">
        <v>2683.0339360436897</v>
      </c>
      <c r="I1811" s="5">
        <v>1456.0624189320383</v>
      </c>
      <c r="J1811" s="5">
        <v>8857.757364987863</v>
      </c>
      <c r="K1811" s="5">
        <f t="shared" si="3"/>
        <v>8857.757365</v>
      </c>
      <c r="L1811" s="5">
        <f t="shared" si="4"/>
        <v>0</v>
      </c>
      <c r="M1811" s="5">
        <v>10311.654607099514</v>
      </c>
      <c r="N1811" s="5">
        <f t="shared" si="5"/>
        <v>0</v>
      </c>
      <c r="O1811" s="5">
        <f t="shared" si="6"/>
        <v>10311.65461</v>
      </c>
      <c r="P1811" s="5">
        <f t="shared" si="9"/>
        <v>23308.50833</v>
      </c>
      <c r="Q1811" s="5">
        <f t="shared" si="7"/>
        <v>11767.71703</v>
      </c>
      <c r="R1811" s="5">
        <f t="shared" si="8"/>
        <v>11540.7913</v>
      </c>
    </row>
    <row r="1812" ht="15.75" customHeight="1">
      <c r="A1812" s="4">
        <v>2000.0</v>
      </c>
      <c r="B1812" s="4">
        <v>502.0</v>
      </c>
      <c r="C1812" s="4" t="s">
        <v>22</v>
      </c>
      <c r="D1812" s="5" t="s">
        <v>19</v>
      </c>
      <c r="E1812" s="5" t="str">
        <f t="shared" si="1"/>
        <v/>
      </c>
      <c r="F1812" s="5" t="str">
        <f t="shared" si="2"/>
        <v/>
      </c>
      <c r="G1812" s="5" t="s">
        <v>19</v>
      </c>
      <c r="H1812" s="5" t="s">
        <v>19</v>
      </c>
      <c r="I1812" s="5" t="s">
        <v>19</v>
      </c>
      <c r="J1812" s="5">
        <v>0.0</v>
      </c>
      <c r="K1812" s="5">
        <f t="shared" si="3"/>
        <v>0</v>
      </c>
      <c r="L1812" s="5">
        <f t="shared" si="4"/>
        <v>0</v>
      </c>
      <c r="M1812" s="5">
        <v>3451.690700060678</v>
      </c>
      <c r="N1812" s="5">
        <f t="shared" si="5"/>
        <v>0</v>
      </c>
      <c r="O1812" s="5">
        <f t="shared" si="6"/>
        <v>3451.6907</v>
      </c>
      <c r="P1812" s="5">
        <f t="shared" si="9"/>
        <v>3451.6907</v>
      </c>
      <c r="Q1812" s="5">
        <f t="shared" si="7"/>
        <v>3451.6907</v>
      </c>
      <c r="R1812" s="5">
        <f t="shared" si="8"/>
        <v>0</v>
      </c>
    </row>
    <row r="1813" ht="15.75" customHeight="1">
      <c r="A1813" s="4">
        <v>2000.0</v>
      </c>
      <c r="B1813" s="4">
        <v>503.0</v>
      </c>
      <c r="C1813" s="4" t="s">
        <v>22</v>
      </c>
      <c r="D1813" s="5">
        <v>2205.061656553397</v>
      </c>
      <c r="E1813" s="5">
        <f t="shared" si="1"/>
        <v>0</v>
      </c>
      <c r="F1813" s="5">
        <f t="shared" si="2"/>
        <v>2205.061657</v>
      </c>
      <c r="G1813" s="5">
        <v>8460.90324514563</v>
      </c>
      <c r="H1813" s="5">
        <v>6039.285920995145</v>
      </c>
      <c r="I1813" s="5">
        <v>2421.617324150485</v>
      </c>
      <c r="J1813" s="5">
        <v>243383.91775182038</v>
      </c>
      <c r="K1813" s="5">
        <f t="shared" si="3"/>
        <v>243383.9178</v>
      </c>
      <c r="L1813" s="5">
        <f t="shared" si="4"/>
        <v>0</v>
      </c>
      <c r="M1813" s="5">
        <v>10610.75289277912</v>
      </c>
      <c r="N1813" s="5">
        <f t="shared" si="5"/>
        <v>0</v>
      </c>
      <c r="O1813" s="5">
        <f t="shared" si="6"/>
        <v>10610.75289</v>
      </c>
      <c r="P1813" s="5">
        <f t="shared" si="9"/>
        <v>264660.6355</v>
      </c>
      <c r="Q1813" s="5">
        <f t="shared" si="7"/>
        <v>15237.43187</v>
      </c>
      <c r="R1813" s="5">
        <f t="shared" si="8"/>
        <v>249423.2037</v>
      </c>
    </row>
    <row r="1814" ht="15.75" customHeight="1">
      <c r="A1814" s="4">
        <v>2000.0</v>
      </c>
      <c r="B1814" s="4">
        <v>504.0</v>
      </c>
      <c r="C1814" s="4" t="s">
        <v>22</v>
      </c>
      <c r="D1814" s="5">
        <v>5571.455785558251</v>
      </c>
      <c r="E1814" s="5">
        <f t="shared" si="1"/>
        <v>0</v>
      </c>
      <c r="F1814" s="5">
        <f t="shared" si="2"/>
        <v>5571.455786</v>
      </c>
      <c r="G1814" s="5">
        <v>30027.773726334948</v>
      </c>
      <c r="H1814" s="5">
        <v>21509.246389320386</v>
      </c>
      <c r="I1814" s="5">
        <v>8518.527337014562</v>
      </c>
      <c r="J1814" s="5">
        <v>299762.86201401695</v>
      </c>
      <c r="K1814" s="5">
        <f t="shared" si="3"/>
        <v>299762.862</v>
      </c>
      <c r="L1814" s="5">
        <f t="shared" si="4"/>
        <v>0</v>
      </c>
      <c r="M1814" s="5">
        <v>32977.998079126206</v>
      </c>
      <c r="N1814" s="5">
        <f t="shared" si="5"/>
        <v>0</v>
      </c>
      <c r="O1814" s="5">
        <f t="shared" si="6"/>
        <v>32977.99808</v>
      </c>
      <c r="P1814" s="5">
        <f t="shared" si="9"/>
        <v>368340.0896</v>
      </c>
      <c r="Q1814" s="5">
        <f t="shared" si="7"/>
        <v>47067.9812</v>
      </c>
      <c r="R1814" s="5">
        <f t="shared" si="8"/>
        <v>321272.1084</v>
      </c>
    </row>
    <row r="1815" ht="15.75" customHeight="1">
      <c r="A1815" s="4">
        <v>2000.0</v>
      </c>
      <c r="B1815" s="4">
        <v>505.0</v>
      </c>
      <c r="C1815" s="4" t="s">
        <v>22</v>
      </c>
      <c r="D1815" s="5">
        <v>22969.392255764553</v>
      </c>
      <c r="E1815" s="5">
        <f t="shared" si="1"/>
        <v>0</v>
      </c>
      <c r="F1815" s="5">
        <f t="shared" si="2"/>
        <v>22969.39226</v>
      </c>
      <c r="G1815" s="5">
        <v>6134.857585558251</v>
      </c>
      <c r="H1815" s="5">
        <v>2664.7628825242714</v>
      </c>
      <c r="I1815" s="5">
        <v>3470.09470303398</v>
      </c>
      <c r="J1815" s="5">
        <v>3458.613568052184</v>
      </c>
      <c r="K1815" s="5">
        <f t="shared" si="3"/>
        <v>3458.613568</v>
      </c>
      <c r="L1815" s="5">
        <f t="shared" si="4"/>
        <v>0</v>
      </c>
      <c r="M1815" s="5">
        <v>65073.17379890774</v>
      </c>
      <c r="N1815" s="5">
        <f t="shared" si="5"/>
        <v>0</v>
      </c>
      <c r="O1815" s="5">
        <f t="shared" si="6"/>
        <v>65073.1738</v>
      </c>
      <c r="P1815" s="5">
        <f t="shared" si="9"/>
        <v>97636.03721</v>
      </c>
      <c r="Q1815" s="5">
        <f t="shared" si="7"/>
        <v>91512.66076</v>
      </c>
      <c r="R1815" s="5">
        <f t="shared" si="8"/>
        <v>6123.376451</v>
      </c>
    </row>
    <row r="1816" ht="15.75" customHeight="1">
      <c r="A1816" s="4">
        <v>2000.0</v>
      </c>
      <c r="B1816" s="4">
        <v>506.0</v>
      </c>
      <c r="C1816" s="4" t="s">
        <v>22</v>
      </c>
      <c r="D1816" s="5">
        <v>17015.72578307038</v>
      </c>
      <c r="E1816" s="5">
        <f t="shared" si="1"/>
        <v>0</v>
      </c>
      <c r="F1816" s="5">
        <f t="shared" si="2"/>
        <v>17015.72578</v>
      </c>
      <c r="G1816" s="5">
        <v>8980.925537621359</v>
      </c>
      <c r="H1816" s="5">
        <v>5283.14539842233</v>
      </c>
      <c r="I1816" s="5">
        <v>3697.780139199029</v>
      </c>
      <c r="J1816" s="5">
        <v>2812.678646359223</v>
      </c>
      <c r="K1816" s="5">
        <f t="shared" si="3"/>
        <v>2812.678646</v>
      </c>
      <c r="L1816" s="5">
        <f t="shared" si="4"/>
        <v>0</v>
      </c>
      <c r="M1816" s="5">
        <v>17369.409315958732</v>
      </c>
      <c r="N1816" s="5">
        <f t="shared" si="5"/>
        <v>0</v>
      </c>
      <c r="O1816" s="5">
        <f t="shared" si="6"/>
        <v>17369.40932</v>
      </c>
      <c r="P1816" s="5">
        <f t="shared" si="9"/>
        <v>46178.73928</v>
      </c>
      <c r="Q1816" s="5">
        <f t="shared" si="7"/>
        <v>38082.91524</v>
      </c>
      <c r="R1816" s="5">
        <f t="shared" si="8"/>
        <v>8095.824045</v>
      </c>
    </row>
    <row r="1817" ht="15.75" customHeight="1">
      <c r="A1817" s="4">
        <v>2000.0</v>
      </c>
      <c r="B1817" s="4">
        <v>507.0</v>
      </c>
      <c r="C1817" s="4" t="s">
        <v>22</v>
      </c>
      <c r="D1817" s="5" t="s">
        <v>19</v>
      </c>
      <c r="E1817" s="5" t="str">
        <f t="shared" si="1"/>
        <v/>
      </c>
      <c r="F1817" s="5" t="str">
        <f t="shared" si="2"/>
        <v/>
      </c>
      <c r="G1817" s="5" t="s">
        <v>19</v>
      </c>
      <c r="H1817" s="5" t="s">
        <v>19</v>
      </c>
      <c r="I1817" s="5" t="s">
        <v>19</v>
      </c>
      <c r="J1817" s="5">
        <v>0.0</v>
      </c>
      <c r="K1817" s="5">
        <f t="shared" si="3"/>
        <v>0</v>
      </c>
      <c r="L1817" s="5">
        <f t="shared" si="4"/>
        <v>0</v>
      </c>
      <c r="M1817" s="5">
        <v>0.0</v>
      </c>
      <c r="N1817" s="5">
        <f t="shared" si="5"/>
        <v>0</v>
      </c>
      <c r="O1817" s="5">
        <f t="shared" si="6"/>
        <v>0</v>
      </c>
      <c r="P1817" s="5">
        <f t="shared" si="9"/>
        <v>0</v>
      </c>
      <c r="Q1817" s="5">
        <f t="shared" si="7"/>
        <v>0</v>
      </c>
      <c r="R1817" s="5">
        <f t="shared" si="8"/>
        <v>0</v>
      </c>
    </row>
    <row r="1818" ht="15.75" customHeight="1">
      <c r="A1818" s="4">
        <v>2000.0</v>
      </c>
      <c r="B1818" s="4">
        <v>508.0</v>
      </c>
      <c r="C1818" s="4" t="s">
        <v>22</v>
      </c>
      <c r="D1818" s="5">
        <v>12469.623667809463</v>
      </c>
      <c r="E1818" s="5">
        <f t="shared" si="1"/>
        <v>0</v>
      </c>
      <c r="F1818" s="5">
        <f t="shared" si="2"/>
        <v>12469.62367</v>
      </c>
      <c r="G1818" s="5">
        <v>6236.753845570389</v>
      </c>
      <c r="H1818" s="5">
        <v>2387.8861484223307</v>
      </c>
      <c r="I1818" s="5">
        <v>3848.867697148058</v>
      </c>
      <c r="J1818" s="5">
        <v>0.0</v>
      </c>
      <c r="K1818" s="5">
        <f t="shared" si="3"/>
        <v>0</v>
      </c>
      <c r="L1818" s="5">
        <f t="shared" si="4"/>
        <v>0</v>
      </c>
      <c r="M1818" s="5">
        <v>108304.23699030155</v>
      </c>
      <c r="N1818" s="5">
        <f t="shared" si="5"/>
        <v>0</v>
      </c>
      <c r="O1818" s="5">
        <f t="shared" si="6"/>
        <v>108304.237</v>
      </c>
      <c r="P1818" s="5">
        <f t="shared" si="9"/>
        <v>127010.6145</v>
      </c>
      <c r="Q1818" s="5">
        <f t="shared" si="7"/>
        <v>124622.7284</v>
      </c>
      <c r="R1818" s="5">
        <f t="shared" si="8"/>
        <v>2387.886148</v>
      </c>
    </row>
    <row r="1819" ht="15.75" customHeight="1">
      <c r="A1819" s="4">
        <v>2000.0</v>
      </c>
      <c r="B1819" s="4">
        <v>520.0</v>
      </c>
      <c r="C1819" s="4" t="s">
        <v>22</v>
      </c>
      <c r="D1819" s="5">
        <v>11958.784384041257</v>
      </c>
      <c r="E1819" s="5">
        <f t="shared" si="1"/>
        <v>0</v>
      </c>
      <c r="F1819" s="5">
        <f t="shared" si="2"/>
        <v>11958.78438</v>
      </c>
      <c r="G1819" s="5">
        <v>21545.788496359222</v>
      </c>
      <c r="H1819" s="5">
        <v>13500.903085194173</v>
      </c>
      <c r="I1819" s="5">
        <v>8044.885411165049</v>
      </c>
      <c r="J1819" s="5">
        <v>11605.024880036406</v>
      </c>
      <c r="K1819" s="5">
        <f t="shared" si="3"/>
        <v>11605.02488</v>
      </c>
      <c r="L1819" s="5">
        <f t="shared" si="4"/>
        <v>0</v>
      </c>
      <c r="M1819" s="5">
        <v>472218.30309733003</v>
      </c>
      <c r="N1819" s="5">
        <f t="shared" si="5"/>
        <v>0</v>
      </c>
      <c r="O1819" s="5">
        <f t="shared" si="6"/>
        <v>472218.3031</v>
      </c>
      <c r="P1819" s="5">
        <f t="shared" si="9"/>
        <v>517327.9009</v>
      </c>
      <c r="Q1819" s="5">
        <f t="shared" si="7"/>
        <v>492221.9729</v>
      </c>
      <c r="R1819" s="5">
        <f t="shared" si="8"/>
        <v>25105.92797</v>
      </c>
    </row>
    <row r="1820" ht="15.75" customHeight="1">
      <c r="A1820" s="4">
        <v>2000.0</v>
      </c>
      <c r="B1820" s="4">
        <v>521.0</v>
      </c>
      <c r="C1820" s="4" t="s">
        <v>22</v>
      </c>
      <c r="D1820" s="5">
        <v>11106.160543507278</v>
      </c>
      <c r="E1820" s="5">
        <f t="shared" si="1"/>
        <v>0</v>
      </c>
      <c r="F1820" s="5">
        <f t="shared" si="2"/>
        <v>11106.16054</v>
      </c>
      <c r="G1820" s="5">
        <v>3808.811925970873</v>
      </c>
      <c r="H1820" s="5">
        <v>1419.5203118932036</v>
      </c>
      <c r="I1820" s="5">
        <v>2389.2916140776692</v>
      </c>
      <c r="J1820" s="5">
        <v>408.81957069174746</v>
      </c>
      <c r="K1820" s="5">
        <f t="shared" si="3"/>
        <v>408.8195707</v>
      </c>
      <c r="L1820" s="5">
        <f t="shared" si="4"/>
        <v>0</v>
      </c>
      <c r="M1820" s="5">
        <v>54093.37221492718</v>
      </c>
      <c r="N1820" s="5">
        <f t="shared" si="5"/>
        <v>0</v>
      </c>
      <c r="O1820" s="5">
        <f t="shared" si="6"/>
        <v>54093.37221</v>
      </c>
      <c r="P1820" s="5">
        <f t="shared" si="9"/>
        <v>69417.16426</v>
      </c>
      <c r="Q1820" s="5">
        <f t="shared" si="7"/>
        <v>67588.82437</v>
      </c>
      <c r="R1820" s="5">
        <f t="shared" si="8"/>
        <v>1828.339883</v>
      </c>
    </row>
    <row r="1821" ht="15.75" customHeight="1">
      <c r="A1821" s="4">
        <v>2000.0</v>
      </c>
      <c r="B1821" s="4">
        <v>522.0</v>
      </c>
      <c r="C1821" s="4" t="s">
        <v>22</v>
      </c>
      <c r="D1821" s="5" t="s">
        <v>19</v>
      </c>
      <c r="E1821" s="5" t="str">
        <f t="shared" si="1"/>
        <v/>
      </c>
      <c r="F1821" s="5" t="str">
        <f t="shared" si="2"/>
        <v/>
      </c>
      <c r="G1821" s="5" t="s">
        <v>19</v>
      </c>
      <c r="H1821" s="5" t="s">
        <v>19</v>
      </c>
      <c r="I1821" s="5" t="s">
        <v>19</v>
      </c>
      <c r="J1821" s="5">
        <v>0.0</v>
      </c>
      <c r="K1821" s="5">
        <f t="shared" si="3"/>
        <v>0</v>
      </c>
      <c r="L1821" s="5">
        <f t="shared" si="4"/>
        <v>0</v>
      </c>
      <c r="M1821" s="5">
        <v>4838.638395752427</v>
      </c>
      <c r="N1821" s="5">
        <f t="shared" si="5"/>
        <v>0</v>
      </c>
      <c r="O1821" s="5">
        <f t="shared" si="6"/>
        <v>4838.638396</v>
      </c>
      <c r="P1821" s="5">
        <f t="shared" si="9"/>
        <v>4838.638396</v>
      </c>
      <c r="Q1821" s="5">
        <f t="shared" si="7"/>
        <v>4838.638396</v>
      </c>
      <c r="R1821" s="5">
        <f t="shared" si="8"/>
        <v>0</v>
      </c>
    </row>
    <row r="1822" ht="15.75" customHeight="1">
      <c r="A1822" s="4">
        <v>2000.0</v>
      </c>
      <c r="B1822" s="4">
        <v>523.0</v>
      </c>
      <c r="C1822" s="4" t="s">
        <v>22</v>
      </c>
      <c r="D1822" s="5" t="s">
        <v>19</v>
      </c>
      <c r="E1822" s="5" t="str">
        <f t="shared" si="1"/>
        <v/>
      </c>
      <c r="F1822" s="5" t="str">
        <f t="shared" si="2"/>
        <v/>
      </c>
      <c r="G1822" s="5">
        <v>34574.45512135922</v>
      </c>
      <c r="H1822" s="5">
        <v>19521.9179526699</v>
      </c>
      <c r="I1822" s="5">
        <v>15052.53716868932</v>
      </c>
      <c r="J1822" s="5">
        <v>921.2067659587376</v>
      </c>
      <c r="K1822" s="5">
        <f t="shared" si="3"/>
        <v>921.206766</v>
      </c>
      <c r="L1822" s="5">
        <f t="shared" si="4"/>
        <v>0</v>
      </c>
      <c r="M1822" s="5">
        <v>138537.9841774878</v>
      </c>
      <c r="N1822" s="5">
        <f t="shared" si="5"/>
        <v>0</v>
      </c>
      <c r="O1822" s="5">
        <f t="shared" si="6"/>
        <v>138537.9842</v>
      </c>
      <c r="P1822" s="5">
        <f t="shared" si="9"/>
        <v>174033.6461</v>
      </c>
      <c r="Q1822" s="5">
        <f t="shared" si="7"/>
        <v>153590.5213</v>
      </c>
      <c r="R1822" s="5">
        <f t="shared" si="8"/>
        <v>20443.12472</v>
      </c>
    </row>
    <row r="1823" ht="15.75" customHeight="1">
      <c r="A1823" s="4">
        <v>2000.0</v>
      </c>
      <c r="B1823" s="4">
        <v>524.0</v>
      </c>
      <c r="C1823" s="4" t="s">
        <v>22</v>
      </c>
      <c r="D1823" s="5">
        <v>16030.798243143197</v>
      </c>
      <c r="E1823" s="5">
        <f t="shared" si="1"/>
        <v>0</v>
      </c>
      <c r="F1823" s="5">
        <f t="shared" si="2"/>
        <v>16030.79824</v>
      </c>
      <c r="G1823" s="5">
        <v>20899.274294902913</v>
      </c>
      <c r="H1823" s="5">
        <v>11824.182558373786</v>
      </c>
      <c r="I1823" s="5">
        <v>9075.091736529126</v>
      </c>
      <c r="J1823" s="5">
        <v>40200.59111802184</v>
      </c>
      <c r="K1823" s="5">
        <f t="shared" si="3"/>
        <v>40200.59112</v>
      </c>
      <c r="L1823" s="5">
        <f t="shared" si="4"/>
        <v>0</v>
      </c>
      <c r="M1823" s="5">
        <v>171260.30146401696</v>
      </c>
      <c r="N1823" s="5">
        <f t="shared" si="5"/>
        <v>0</v>
      </c>
      <c r="O1823" s="5">
        <f t="shared" si="6"/>
        <v>171260.3015</v>
      </c>
      <c r="P1823" s="5">
        <f t="shared" si="9"/>
        <v>248390.9651</v>
      </c>
      <c r="Q1823" s="5">
        <f t="shared" si="7"/>
        <v>196366.1914</v>
      </c>
      <c r="R1823" s="5">
        <f t="shared" si="8"/>
        <v>52024.77368</v>
      </c>
    </row>
    <row r="1824" ht="15.75" customHeight="1">
      <c r="A1824" s="4">
        <v>2000.0</v>
      </c>
      <c r="B1824" s="4">
        <v>525.0</v>
      </c>
      <c r="C1824" s="4" t="s">
        <v>22</v>
      </c>
      <c r="D1824" s="5" t="s">
        <v>19</v>
      </c>
      <c r="E1824" s="5" t="str">
        <f t="shared" si="1"/>
        <v/>
      </c>
      <c r="F1824" s="5" t="str">
        <f t="shared" si="2"/>
        <v/>
      </c>
      <c r="G1824" s="5">
        <v>5948.633386225728</v>
      </c>
      <c r="H1824" s="5">
        <v>1900.1895660194175</v>
      </c>
      <c r="I1824" s="5">
        <v>4048.44382020631</v>
      </c>
      <c r="J1824" s="5">
        <v>0.0</v>
      </c>
      <c r="K1824" s="5">
        <f t="shared" si="3"/>
        <v>0</v>
      </c>
      <c r="L1824" s="5">
        <f t="shared" si="4"/>
        <v>0</v>
      </c>
      <c r="M1824" s="5">
        <v>141237.1049974514</v>
      </c>
      <c r="N1824" s="5">
        <f t="shared" si="5"/>
        <v>0</v>
      </c>
      <c r="O1824" s="5">
        <f t="shared" si="6"/>
        <v>141237.105</v>
      </c>
      <c r="P1824" s="5">
        <f t="shared" si="9"/>
        <v>147185.7384</v>
      </c>
      <c r="Q1824" s="5">
        <f t="shared" si="7"/>
        <v>145285.5488</v>
      </c>
      <c r="R1824" s="5">
        <f t="shared" si="8"/>
        <v>1900.189566</v>
      </c>
    </row>
    <row r="1825" ht="15.75" customHeight="1">
      <c r="A1825" s="4">
        <v>2000.0</v>
      </c>
      <c r="B1825" s="4">
        <v>526.0</v>
      </c>
      <c r="C1825" s="4" t="s">
        <v>22</v>
      </c>
      <c r="D1825" s="5">
        <v>18230.200241444774</v>
      </c>
      <c r="E1825" s="5">
        <f t="shared" si="1"/>
        <v>0</v>
      </c>
      <c r="F1825" s="5">
        <f t="shared" si="2"/>
        <v>18230.20024</v>
      </c>
      <c r="G1825" s="5" t="s">
        <v>19</v>
      </c>
      <c r="H1825" s="5" t="s">
        <v>19</v>
      </c>
      <c r="I1825" s="5" t="s">
        <v>19</v>
      </c>
      <c r="J1825" s="5">
        <v>0.0</v>
      </c>
      <c r="K1825" s="5">
        <f t="shared" si="3"/>
        <v>0</v>
      </c>
      <c r="L1825" s="5">
        <f t="shared" si="4"/>
        <v>0</v>
      </c>
      <c r="M1825" s="5">
        <v>13071.077500788826</v>
      </c>
      <c r="N1825" s="5">
        <f t="shared" si="5"/>
        <v>0</v>
      </c>
      <c r="O1825" s="5">
        <f t="shared" si="6"/>
        <v>13071.0775</v>
      </c>
      <c r="P1825" s="5">
        <f t="shared" si="9"/>
        <v>31301.27774</v>
      </c>
      <c r="Q1825" s="5">
        <f t="shared" si="7"/>
        <v>31301.27774</v>
      </c>
      <c r="R1825" s="5">
        <f t="shared" si="8"/>
        <v>0</v>
      </c>
    </row>
    <row r="1826" ht="15.75" customHeight="1">
      <c r="A1826" s="4">
        <v>2000.0</v>
      </c>
      <c r="B1826" s="4">
        <v>527.0</v>
      </c>
      <c r="C1826" s="4" t="s">
        <v>22</v>
      </c>
      <c r="D1826" s="5" t="s">
        <v>19</v>
      </c>
      <c r="E1826" s="5" t="str">
        <f t="shared" si="1"/>
        <v/>
      </c>
      <c r="F1826" s="5" t="str">
        <f t="shared" si="2"/>
        <v/>
      </c>
      <c r="G1826" s="5" t="s">
        <v>19</v>
      </c>
      <c r="H1826" s="5" t="s">
        <v>19</v>
      </c>
      <c r="I1826" s="5" t="s">
        <v>19</v>
      </c>
      <c r="J1826" s="5">
        <v>0.0</v>
      </c>
      <c r="K1826" s="5">
        <f t="shared" si="3"/>
        <v>0</v>
      </c>
      <c r="L1826" s="5">
        <f t="shared" si="4"/>
        <v>0</v>
      </c>
      <c r="M1826" s="5">
        <v>34560.3244936893</v>
      </c>
      <c r="N1826" s="5">
        <f t="shared" si="5"/>
        <v>0</v>
      </c>
      <c r="O1826" s="5">
        <f t="shared" si="6"/>
        <v>34560.32449</v>
      </c>
      <c r="P1826" s="5">
        <f t="shared" si="9"/>
        <v>34560.32449</v>
      </c>
      <c r="Q1826" s="5">
        <f t="shared" si="7"/>
        <v>34560.32449</v>
      </c>
      <c r="R1826" s="5">
        <f t="shared" si="8"/>
        <v>0</v>
      </c>
    </row>
    <row r="1827" ht="15.75" customHeight="1">
      <c r="A1827" s="4">
        <v>2000.0</v>
      </c>
      <c r="B1827" s="4">
        <v>528.0</v>
      </c>
      <c r="C1827" s="4" t="s">
        <v>22</v>
      </c>
      <c r="D1827" s="5">
        <v>5137.793659769414</v>
      </c>
      <c r="E1827" s="5">
        <f t="shared" si="1"/>
        <v>0</v>
      </c>
      <c r="F1827" s="5">
        <f t="shared" si="2"/>
        <v>5137.79366</v>
      </c>
      <c r="G1827" s="5" t="s">
        <v>19</v>
      </c>
      <c r="H1827" s="5" t="s">
        <v>19</v>
      </c>
      <c r="I1827" s="5" t="s">
        <v>19</v>
      </c>
      <c r="J1827" s="5">
        <v>0.0</v>
      </c>
      <c r="K1827" s="5">
        <f t="shared" si="3"/>
        <v>0</v>
      </c>
      <c r="L1827" s="5">
        <f t="shared" si="4"/>
        <v>0</v>
      </c>
      <c r="M1827" s="5">
        <v>38799.84972656188</v>
      </c>
      <c r="N1827" s="5">
        <f t="shared" si="5"/>
        <v>0</v>
      </c>
      <c r="O1827" s="5">
        <f t="shared" si="6"/>
        <v>38799.84973</v>
      </c>
      <c r="P1827" s="5">
        <f t="shared" si="9"/>
        <v>43937.64339</v>
      </c>
      <c r="Q1827" s="5">
        <f t="shared" si="7"/>
        <v>43937.64339</v>
      </c>
      <c r="R1827" s="5">
        <f t="shared" si="8"/>
        <v>0</v>
      </c>
    </row>
    <row r="1828" ht="15.75" customHeight="1">
      <c r="A1828" s="4">
        <v>1999.0</v>
      </c>
      <c r="B1828" s="4">
        <v>100.0</v>
      </c>
      <c r="C1828" s="4" t="s">
        <v>18</v>
      </c>
      <c r="D1828" s="5">
        <v>3626.4526290184035</v>
      </c>
      <c r="E1828" s="5">
        <f t="shared" si="1"/>
        <v>0</v>
      </c>
      <c r="F1828" s="5">
        <f t="shared" si="2"/>
        <v>3626.452629</v>
      </c>
      <c r="G1828" s="5" t="s">
        <v>19</v>
      </c>
      <c r="H1828" s="5" t="s">
        <v>19</v>
      </c>
      <c r="I1828" s="5" t="s">
        <v>19</v>
      </c>
      <c r="J1828" s="5">
        <v>41529.8944007362</v>
      </c>
      <c r="K1828" s="5">
        <f t="shared" si="3"/>
        <v>41529.8944</v>
      </c>
      <c r="L1828" s="5">
        <f t="shared" si="4"/>
        <v>0</v>
      </c>
      <c r="M1828" s="5">
        <v>117985.22768460121</v>
      </c>
      <c r="N1828" s="5">
        <f t="shared" si="5"/>
        <v>0</v>
      </c>
      <c r="O1828" s="5">
        <f t="shared" si="6"/>
        <v>117985.2277</v>
      </c>
      <c r="P1828" s="5">
        <f t="shared" si="9"/>
        <v>163141.5747</v>
      </c>
      <c r="Q1828" s="5">
        <f t="shared" si="7"/>
        <v>121611.6803</v>
      </c>
      <c r="R1828" s="5">
        <f t="shared" si="8"/>
        <v>41529.8944</v>
      </c>
    </row>
    <row r="1829" ht="15.75" customHeight="1">
      <c r="A1829" s="4">
        <v>1999.0</v>
      </c>
      <c r="B1829" s="4">
        <v>101.0</v>
      </c>
      <c r="C1829" s="4" t="s">
        <v>18</v>
      </c>
      <c r="D1829" s="5">
        <v>8671.95193895705</v>
      </c>
      <c r="E1829" s="5">
        <f t="shared" si="1"/>
        <v>0</v>
      </c>
      <c r="F1829" s="5">
        <f t="shared" si="2"/>
        <v>8671.951939</v>
      </c>
      <c r="G1829" s="5">
        <v>6614.268002944786</v>
      </c>
      <c r="H1829" s="5">
        <v>3871.042747877301</v>
      </c>
      <c r="I1829" s="5">
        <v>2743.225255067485</v>
      </c>
      <c r="J1829" s="5">
        <v>1013802.8268290798</v>
      </c>
      <c r="K1829" s="5">
        <f t="shared" si="3"/>
        <v>1013802.827</v>
      </c>
      <c r="L1829" s="5">
        <f t="shared" si="4"/>
        <v>0</v>
      </c>
      <c r="M1829" s="5">
        <v>235151.62171018403</v>
      </c>
      <c r="N1829" s="5">
        <f t="shared" si="5"/>
        <v>0</v>
      </c>
      <c r="O1829" s="5">
        <f t="shared" si="6"/>
        <v>235151.6217</v>
      </c>
      <c r="P1829" s="5">
        <f t="shared" si="9"/>
        <v>1264240.668</v>
      </c>
      <c r="Q1829" s="5">
        <f t="shared" si="7"/>
        <v>246566.7989</v>
      </c>
      <c r="R1829" s="5">
        <f t="shared" si="8"/>
        <v>1017673.87</v>
      </c>
    </row>
    <row r="1830" ht="15.75" customHeight="1">
      <c r="A1830" s="4">
        <v>1999.0</v>
      </c>
      <c r="B1830" s="4">
        <v>102.0</v>
      </c>
      <c r="C1830" s="4" t="s">
        <v>18</v>
      </c>
      <c r="D1830" s="5">
        <v>31977.353513435566</v>
      </c>
      <c r="E1830" s="5">
        <f t="shared" si="1"/>
        <v>0</v>
      </c>
      <c r="F1830" s="5">
        <f t="shared" si="2"/>
        <v>31977.35351</v>
      </c>
      <c r="G1830" s="5">
        <v>37240.59014478527</v>
      </c>
      <c r="H1830" s="5">
        <v>25179.444175312878</v>
      </c>
      <c r="I1830" s="5">
        <v>12061.145969472389</v>
      </c>
      <c r="J1830" s="5">
        <v>48773.73607153374</v>
      </c>
      <c r="K1830" s="5">
        <f t="shared" si="3"/>
        <v>48773.73607</v>
      </c>
      <c r="L1830" s="5">
        <f t="shared" si="4"/>
        <v>0</v>
      </c>
      <c r="M1830" s="5">
        <v>179053.60463110427</v>
      </c>
      <c r="N1830" s="5">
        <f t="shared" si="5"/>
        <v>0</v>
      </c>
      <c r="O1830" s="5">
        <f t="shared" si="6"/>
        <v>179053.6046</v>
      </c>
      <c r="P1830" s="5">
        <f t="shared" si="9"/>
        <v>297045.2844</v>
      </c>
      <c r="Q1830" s="5">
        <f t="shared" si="7"/>
        <v>223092.1041</v>
      </c>
      <c r="R1830" s="5">
        <f t="shared" si="8"/>
        <v>73953.18025</v>
      </c>
    </row>
    <row r="1831" ht="15.75" customHeight="1">
      <c r="A1831" s="4">
        <v>1999.0</v>
      </c>
      <c r="B1831" s="4">
        <v>103.0</v>
      </c>
      <c r="C1831" s="4" t="s">
        <v>18</v>
      </c>
      <c r="D1831" s="5">
        <v>14243.024093680975</v>
      </c>
      <c r="E1831" s="5">
        <f t="shared" si="1"/>
        <v>0</v>
      </c>
      <c r="F1831" s="5">
        <f t="shared" si="2"/>
        <v>14243.02409</v>
      </c>
      <c r="G1831" s="5" t="s">
        <v>19</v>
      </c>
      <c r="H1831" s="5" t="s">
        <v>19</v>
      </c>
      <c r="I1831" s="5" t="s">
        <v>19</v>
      </c>
      <c r="J1831" s="5">
        <v>2767.9273707975462</v>
      </c>
      <c r="K1831" s="5">
        <f t="shared" si="3"/>
        <v>2767.927371</v>
      </c>
      <c r="L1831" s="5">
        <f t="shared" si="4"/>
        <v>0</v>
      </c>
      <c r="M1831" s="5">
        <v>3435.541221533742</v>
      </c>
      <c r="N1831" s="5">
        <f t="shared" si="5"/>
        <v>0</v>
      </c>
      <c r="O1831" s="5">
        <f t="shared" si="6"/>
        <v>3435.541222</v>
      </c>
      <c r="P1831" s="5">
        <f t="shared" si="9"/>
        <v>20446.49269</v>
      </c>
      <c r="Q1831" s="5">
        <f t="shared" si="7"/>
        <v>17678.56532</v>
      </c>
      <c r="R1831" s="5">
        <f t="shared" si="8"/>
        <v>2767.927371</v>
      </c>
    </row>
    <row r="1832" ht="15.75" customHeight="1">
      <c r="A1832" s="4">
        <v>1999.0</v>
      </c>
      <c r="B1832" s="4">
        <v>104.0</v>
      </c>
      <c r="C1832" s="4" t="s">
        <v>18</v>
      </c>
      <c r="D1832" s="5">
        <v>8379.132782576684</v>
      </c>
      <c r="E1832" s="5">
        <f t="shared" si="1"/>
        <v>0</v>
      </c>
      <c r="F1832" s="5">
        <f t="shared" si="2"/>
        <v>8379.132783</v>
      </c>
      <c r="G1832" s="5" t="s">
        <v>19</v>
      </c>
      <c r="H1832" s="5" t="s">
        <v>19</v>
      </c>
      <c r="I1832" s="5" t="s">
        <v>19</v>
      </c>
      <c r="J1832" s="5">
        <v>12609.446911411043</v>
      </c>
      <c r="K1832" s="5">
        <f t="shared" si="3"/>
        <v>12609.44691</v>
      </c>
      <c r="L1832" s="5">
        <f t="shared" si="4"/>
        <v>0</v>
      </c>
      <c r="M1832" s="5">
        <v>6178.831765153371</v>
      </c>
      <c r="N1832" s="5">
        <f t="shared" si="5"/>
        <v>0</v>
      </c>
      <c r="O1832" s="5">
        <f t="shared" si="6"/>
        <v>6178.831765</v>
      </c>
      <c r="P1832" s="5">
        <f t="shared" si="9"/>
        <v>27167.41146</v>
      </c>
      <c r="Q1832" s="5">
        <f t="shared" si="7"/>
        <v>14557.96455</v>
      </c>
      <c r="R1832" s="5">
        <f t="shared" si="8"/>
        <v>12609.44691</v>
      </c>
    </row>
    <row r="1833" ht="15.75" customHeight="1">
      <c r="A1833" s="4">
        <v>1999.0</v>
      </c>
      <c r="B1833" s="4">
        <v>105.0</v>
      </c>
      <c r="C1833" s="4" t="s">
        <v>18</v>
      </c>
      <c r="D1833" s="5">
        <v>18785.475109325143</v>
      </c>
      <c r="E1833" s="5">
        <f t="shared" si="1"/>
        <v>0</v>
      </c>
      <c r="F1833" s="5">
        <f t="shared" si="2"/>
        <v>18785.47511</v>
      </c>
      <c r="G1833" s="5">
        <v>1448.6377570552145</v>
      </c>
      <c r="H1833" s="5">
        <v>505.96323612269936</v>
      </c>
      <c r="I1833" s="5">
        <v>942.6745209325152</v>
      </c>
      <c r="J1833" s="5">
        <v>223361.8533684663</v>
      </c>
      <c r="K1833" s="5">
        <f t="shared" si="3"/>
        <v>223361.8534</v>
      </c>
      <c r="L1833" s="5">
        <f t="shared" si="4"/>
        <v>0</v>
      </c>
      <c r="M1833" s="5">
        <v>19392.908276993854</v>
      </c>
      <c r="N1833" s="5">
        <f t="shared" si="5"/>
        <v>0</v>
      </c>
      <c r="O1833" s="5">
        <f t="shared" si="6"/>
        <v>19392.90828</v>
      </c>
      <c r="P1833" s="5">
        <f t="shared" si="9"/>
        <v>262988.8745</v>
      </c>
      <c r="Q1833" s="5">
        <f t="shared" si="7"/>
        <v>39121.05791</v>
      </c>
      <c r="R1833" s="5">
        <f t="shared" si="8"/>
        <v>223867.8166</v>
      </c>
    </row>
    <row r="1834" ht="15.75" customHeight="1">
      <c r="A1834" s="4">
        <v>1999.0</v>
      </c>
      <c r="B1834" s="4">
        <v>106.0</v>
      </c>
      <c r="C1834" s="4" t="s">
        <v>18</v>
      </c>
      <c r="D1834" s="5">
        <v>8852.14834288343</v>
      </c>
      <c r="E1834" s="5">
        <f t="shared" si="1"/>
        <v>0</v>
      </c>
      <c r="F1834" s="5">
        <f t="shared" si="2"/>
        <v>8852.148343</v>
      </c>
      <c r="G1834" s="5">
        <v>4501.376835337423</v>
      </c>
      <c r="H1834" s="5">
        <v>3300.0674758282203</v>
      </c>
      <c r="I1834" s="5">
        <v>1201.3093595092023</v>
      </c>
      <c r="J1834" s="5">
        <v>111189.39989914112</v>
      </c>
      <c r="K1834" s="5">
        <f t="shared" si="3"/>
        <v>111189.3999</v>
      </c>
      <c r="L1834" s="5">
        <f t="shared" si="4"/>
        <v>0</v>
      </c>
      <c r="M1834" s="5">
        <v>159332.3717468711</v>
      </c>
      <c r="N1834" s="5">
        <f t="shared" si="5"/>
        <v>0</v>
      </c>
      <c r="O1834" s="5">
        <f t="shared" si="6"/>
        <v>159332.3717</v>
      </c>
      <c r="P1834" s="5">
        <f t="shared" si="9"/>
        <v>283875.2968</v>
      </c>
      <c r="Q1834" s="5">
        <f t="shared" si="7"/>
        <v>169385.8294</v>
      </c>
      <c r="R1834" s="5">
        <f t="shared" si="8"/>
        <v>114489.4674</v>
      </c>
    </row>
    <row r="1835" ht="15.75" customHeight="1">
      <c r="A1835" s="4">
        <v>1999.0</v>
      </c>
      <c r="B1835" s="4">
        <v>107.0</v>
      </c>
      <c r="C1835" s="4" t="s">
        <v>18</v>
      </c>
      <c r="D1835" s="5">
        <v>8356.608232085886</v>
      </c>
      <c r="E1835" s="5">
        <f t="shared" si="1"/>
        <v>0</v>
      </c>
      <c r="F1835" s="5">
        <f t="shared" si="2"/>
        <v>8356.608232</v>
      </c>
      <c r="G1835" s="5" t="s">
        <v>19</v>
      </c>
      <c r="H1835" s="5" t="s">
        <v>19</v>
      </c>
      <c r="I1835" s="5" t="s">
        <v>19</v>
      </c>
      <c r="J1835" s="5">
        <v>4497.881977546012</v>
      </c>
      <c r="K1835" s="5">
        <f t="shared" si="3"/>
        <v>4497.881978</v>
      </c>
      <c r="L1835" s="5">
        <f t="shared" si="4"/>
        <v>0</v>
      </c>
      <c r="M1835" s="5">
        <v>84415.02552392634</v>
      </c>
      <c r="N1835" s="5">
        <f t="shared" si="5"/>
        <v>0</v>
      </c>
      <c r="O1835" s="5">
        <f t="shared" si="6"/>
        <v>84415.02552</v>
      </c>
      <c r="P1835" s="5">
        <f t="shared" si="9"/>
        <v>97269.51573</v>
      </c>
      <c r="Q1835" s="5">
        <f t="shared" si="7"/>
        <v>92771.63376</v>
      </c>
      <c r="R1835" s="5">
        <f t="shared" si="8"/>
        <v>4497.881978</v>
      </c>
    </row>
    <row r="1836" ht="15.75" customHeight="1">
      <c r="A1836" s="4">
        <v>1999.0</v>
      </c>
      <c r="B1836" s="4">
        <v>108.0</v>
      </c>
      <c r="C1836" s="4" t="s">
        <v>18</v>
      </c>
      <c r="D1836" s="5">
        <v>20174.48905625766</v>
      </c>
      <c r="E1836" s="5">
        <f t="shared" si="1"/>
        <v>0</v>
      </c>
      <c r="F1836" s="5">
        <f t="shared" si="2"/>
        <v>20174.48906</v>
      </c>
      <c r="G1836" s="5">
        <v>6239.74214380368</v>
      </c>
      <c r="H1836" s="5">
        <v>2943.9145833619627</v>
      </c>
      <c r="I1836" s="5">
        <v>3295.827560441717</v>
      </c>
      <c r="J1836" s="5">
        <v>21890.790674601227</v>
      </c>
      <c r="K1836" s="5">
        <f t="shared" si="3"/>
        <v>21890.79067</v>
      </c>
      <c r="L1836" s="5">
        <f t="shared" si="4"/>
        <v>0</v>
      </c>
      <c r="M1836" s="5">
        <v>63572.34654147236</v>
      </c>
      <c r="N1836" s="5">
        <f t="shared" si="5"/>
        <v>0</v>
      </c>
      <c r="O1836" s="5">
        <f t="shared" si="6"/>
        <v>63572.34654</v>
      </c>
      <c r="P1836" s="5">
        <f t="shared" si="9"/>
        <v>111877.3684</v>
      </c>
      <c r="Q1836" s="5">
        <f t="shared" si="7"/>
        <v>87042.66316</v>
      </c>
      <c r="R1836" s="5">
        <f t="shared" si="8"/>
        <v>24834.70526</v>
      </c>
    </row>
    <row r="1837" ht="15.75" customHeight="1">
      <c r="A1837" s="4">
        <v>1999.0</v>
      </c>
      <c r="B1837" s="4">
        <v>120.0</v>
      </c>
      <c r="C1837" s="4" t="s">
        <v>18</v>
      </c>
      <c r="D1837" s="5">
        <v>21360.782048772995</v>
      </c>
      <c r="E1837" s="5">
        <f t="shared" si="1"/>
        <v>0</v>
      </c>
      <c r="F1837" s="5">
        <f t="shared" si="2"/>
        <v>21360.78205</v>
      </c>
      <c r="G1837" s="5">
        <v>2734.745424294478</v>
      </c>
      <c r="H1837" s="5">
        <v>1687.4863238282207</v>
      </c>
      <c r="I1837" s="5">
        <v>1047.2591004662575</v>
      </c>
      <c r="J1837" s="5">
        <v>0.0</v>
      </c>
      <c r="K1837" s="5">
        <f t="shared" si="3"/>
        <v>0</v>
      </c>
      <c r="L1837" s="5">
        <f t="shared" si="4"/>
        <v>0</v>
      </c>
      <c r="M1837" s="5">
        <v>356604.2539260938</v>
      </c>
      <c r="N1837" s="5">
        <f t="shared" si="5"/>
        <v>0</v>
      </c>
      <c r="O1837" s="5">
        <f t="shared" si="6"/>
        <v>356604.2539</v>
      </c>
      <c r="P1837" s="5">
        <f t="shared" si="9"/>
        <v>380699.7814</v>
      </c>
      <c r="Q1837" s="5">
        <f t="shared" si="7"/>
        <v>379012.2951</v>
      </c>
      <c r="R1837" s="5">
        <f t="shared" si="8"/>
        <v>1687.486324</v>
      </c>
    </row>
    <row r="1838" ht="15.75" customHeight="1">
      <c r="A1838" s="4">
        <v>1999.0</v>
      </c>
      <c r="B1838" s="4">
        <v>121.0</v>
      </c>
      <c r="C1838" s="4" t="s">
        <v>18</v>
      </c>
      <c r="D1838" s="5">
        <v>61139.13821552145</v>
      </c>
      <c r="E1838" s="5">
        <f t="shared" si="1"/>
        <v>0</v>
      </c>
      <c r="F1838" s="5">
        <f t="shared" si="2"/>
        <v>61139.13822</v>
      </c>
      <c r="G1838" s="5">
        <v>10684.586773987729</v>
      </c>
      <c r="H1838" s="5">
        <v>4905.582102184048</v>
      </c>
      <c r="I1838" s="5">
        <v>5779.00467180368</v>
      </c>
      <c r="J1838" s="5">
        <v>67858.1559396319</v>
      </c>
      <c r="K1838" s="5">
        <f t="shared" si="3"/>
        <v>67858.15594</v>
      </c>
      <c r="L1838" s="5">
        <f t="shared" si="4"/>
        <v>0</v>
      </c>
      <c r="M1838" s="5">
        <v>2743208.9569325913</v>
      </c>
      <c r="N1838" s="5">
        <f t="shared" si="5"/>
        <v>0</v>
      </c>
      <c r="O1838" s="5">
        <f t="shared" si="6"/>
        <v>2743208.957</v>
      </c>
      <c r="P1838" s="5">
        <f t="shared" si="9"/>
        <v>2882890.838</v>
      </c>
      <c r="Q1838" s="5">
        <f t="shared" si="7"/>
        <v>2810127.1</v>
      </c>
      <c r="R1838" s="5">
        <f t="shared" si="8"/>
        <v>72763.73804</v>
      </c>
    </row>
    <row r="1839" ht="15.75" customHeight="1">
      <c r="A1839" s="4">
        <v>1999.0</v>
      </c>
      <c r="B1839" s="4">
        <v>122.0</v>
      </c>
      <c r="C1839" s="4" t="s">
        <v>18</v>
      </c>
      <c r="D1839" s="5">
        <v>38836.07913788341</v>
      </c>
      <c r="E1839" s="5">
        <f t="shared" si="1"/>
        <v>0</v>
      </c>
      <c r="F1839" s="5">
        <f t="shared" si="2"/>
        <v>38836.07914</v>
      </c>
      <c r="G1839" s="5">
        <v>27052.709458326382</v>
      </c>
      <c r="H1839" s="5">
        <v>18715.396374511904</v>
      </c>
      <c r="I1839" s="5">
        <v>8337.313083814479</v>
      </c>
      <c r="J1839" s="5">
        <v>28574.456567975463</v>
      </c>
      <c r="K1839" s="5">
        <f t="shared" si="3"/>
        <v>28574.45657</v>
      </c>
      <c r="L1839" s="5">
        <f t="shared" si="4"/>
        <v>0</v>
      </c>
      <c r="M1839" s="5">
        <v>261575.8190157055</v>
      </c>
      <c r="N1839" s="5">
        <f t="shared" si="5"/>
        <v>0</v>
      </c>
      <c r="O1839" s="5">
        <f t="shared" si="6"/>
        <v>261575.819</v>
      </c>
      <c r="P1839" s="5">
        <f t="shared" si="9"/>
        <v>356039.0642</v>
      </c>
      <c r="Q1839" s="5">
        <f t="shared" si="7"/>
        <v>308749.2112</v>
      </c>
      <c r="R1839" s="5">
        <f t="shared" si="8"/>
        <v>47289.85294</v>
      </c>
    </row>
    <row r="1840" ht="15.75" customHeight="1">
      <c r="A1840" s="4">
        <v>1999.0</v>
      </c>
      <c r="B1840" s="4">
        <v>123.0</v>
      </c>
      <c r="C1840" s="4" t="s">
        <v>18</v>
      </c>
      <c r="D1840" s="5">
        <v>7650.83898337423</v>
      </c>
      <c r="E1840" s="5">
        <f t="shared" si="1"/>
        <v>0</v>
      </c>
      <c r="F1840" s="5">
        <f t="shared" si="2"/>
        <v>7650.838983</v>
      </c>
      <c r="G1840" s="5" t="s">
        <v>19</v>
      </c>
      <c r="H1840" s="5" t="s">
        <v>19</v>
      </c>
      <c r="I1840" s="5" t="s">
        <v>19</v>
      </c>
      <c r="J1840" s="5">
        <v>0.0</v>
      </c>
      <c r="K1840" s="5">
        <f t="shared" si="3"/>
        <v>0</v>
      </c>
      <c r="L1840" s="5">
        <f t="shared" si="4"/>
        <v>0</v>
      </c>
      <c r="M1840" s="5">
        <v>7134.137700674844</v>
      </c>
      <c r="N1840" s="5">
        <f t="shared" si="5"/>
        <v>0</v>
      </c>
      <c r="O1840" s="5">
        <f t="shared" si="6"/>
        <v>7134.137701</v>
      </c>
      <c r="P1840" s="5">
        <f t="shared" si="9"/>
        <v>14784.97668</v>
      </c>
      <c r="Q1840" s="5">
        <f t="shared" si="7"/>
        <v>14784.97668</v>
      </c>
      <c r="R1840" s="5">
        <f t="shared" si="8"/>
        <v>0</v>
      </c>
    </row>
    <row r="1841" ht="15.75" customHeight="1">
      <c r="A1841" s="4">
        <v>1999.0</v>
      </c>
      <c r="B1841" s="4">
        <v>124.0</v>
      </c>
      <c r="C1841" s="4" t="s">
        <v>18</v>
      </c>
      <c r="D1841" s="5" t="s">
        <v>19</v>
      </c>
      <c r="E1841" s="5" t="str">
        <f t="shared" si="1"/>
        <v/>
      </c>
      <c r="F1841" s="5" t="str">
        <f t="shared" si="2"/>
        <v/>
      </c>
      <c r="G1841" s="5" t="s">
        <v>19</v>
      </c>
      <c r="H1841" s="5" t="s">
        <v>19</v>
      </c>
      <c r="I1841" s="5" t="s">
        <v>19</v>
      </c>
      <c r="J1841" s="5">
        <v>0.0</v>
      </c>
      <c r="K1841" s="5">
        <f t="shared" si="3"/>
        <v>0</v>
      </c>
      <c r="L1841" s="5">
        <f t="shared" si="4"/>
        <v>0</v>
      </c>
      <c r="M1841" s="5">
        <v>97008.05428472391</v>
      </c>
      <c r="N1841" s="5">
        <f t="shared" si="5"/>
        <v>0</v>
      </c>
      <c r="O1841" s="5">
        <f t="shared" si="6"/>
        <v>97008.05428</v>
      </c>
      <c r="P1841" s="5">
        <f t="shared" si="9"/>
        <v>97008.05428</v>
      </c>
      <c r="Q1841" s="5">
        <f t="shared" si="7"/>
        <v>97008.05428</v>
      </c>
      <c r="R1841" s="5">
        <f t="shared" si="8"/>
        <v>0</v>
      </c>
    </row>
    <row r="1842" ht="15.75" customHeight="1">
      <c r="A1842" s="4">
        <v>1999.0</v>
      </c>
      <c r="B1842" s="4">
        <v>125.0</v>
      </c>
      <c r="C1842" s="4" t="s">
        <v>18</v>
      </c>
      <c r="D1842" s="5">
        <v>8416.673700061345</v>
      </c>
      <c r="E1842" s="5">
        <f t="shared" si="1"/>
        <v>0</v>
      </c>
      <c r="F1842" s="5">
        <f t="shared" si="2"/>
        <v>8416.6737</v>
      </c>
      <c r="G1842" s="5">
        <v>657.1868849079754</v>
      </c>
      <c r="H1842" s="5">
        <v>334.9533155337423</v>
      </c>
      <c r="I1842" s="5">
        <v>322.23356937423307</v>
      </c>
      <c r="J1842" s="5">
        <v>1817.8253169325158</v>
      </c>
      <c r="K1842" s="5">
        <f t="shared" si="3"/>
        <v>1817.825317</v>
      </c>
      <c r="L1842" s="5">
        <f t="shared" si="4"/>
        <v>0</v>
      </c>
      <c r="M1842" s="5">
        <v>380302.5262907159</v>
      </c>
      <c r="N1842" s="5">
        <f t="shared" si="5"/>
        <v>0</v>
      </c>
      <c r="O1842" s="5">
        <f t="shared" si="6"/>
        <v>380302.5263</v>
      </c>
      <c r="P1842" s="5">
        <f t="shared" si="9"/>
        <v>391194.2122</v>
      </c>
      <c r="Q1842" s="5">
        <f t="shared" si="7"/>
        <v>389041.4336</v>
      </c>
      <c r="R1842" s="5">
        <f t="shared" si="8"/>
        <v>2152.778632</v>
      </c>
    </row>
    <row r="1843" ht="15.75" customHeight="1">
      <c r="A1843" s="4">
        <v>1999.0</v>
      </c>
      <c r="B1843" s="4">
        <v>126.0</v>
      </c>
      <c r="C1843" s="4" t="s">
        <v>18</v>
      </c>
      <c r="D1843" s="5">
        <v>23117.696987055206</v>
      </c>
      <c r="E1843" s="5">
        <f t="shared" si="1"/>
        <v>0</v>
      </c>
      <c r="F1843" s="5">
        <f t="shared" si="2"/>
        <v>23117.69699</v>
      </c>
      <c r="G1843" s="5">
        <v>1801.9640392638034</v>
      </c>
      <c r="H1843" s="5">
        <v>1161.7368159018404</v>
      </c>
      <c r="I1843" s="5">
        <v>640.2272233619631</v>
      </c>
      <c r="J1843" s="5">
        <v>6150.9497128834355</v>
      </c>
      <c r="K1843" s="5">
        <f t="shared" si="3"/>
        <v>6150.949713</v>
      </c>
      <c r="L1843" s="5">
        <f t="shared" si="4"/>
        <v>0</v>
      </c>
      <c r="M1843" s="5">
        <v>1568146.2636341131</v>
      </c>
      <c r="N1843" s="5">
        <f t="shared" si="5"/>
        <v>0</v>
      </c>
      <c r="O1843" s="5">
        <f t="shared" si="6"/>
        <v>1568146.264</v>
      </c>
      <c r="P1843" s="5">
        <f t="shared" si="9"/>
        <v>1599216.874</v>
      </c>
      <c r="Q1843" s="5">
        <f t="shared" si="7"/>
        <v>1591904.188</v>
      </c>
      <c r="R1843" s="5">
        <f t="shared" si="8"/>
        <v>7312.686529</v>
      </c>
    </row>
    <row r="1844" ht="15.75" customHeight="1">
      <c r="A1844" s="4">
        <v>1999.0</v>
      </c>
      <c r="B1844" s="4">
        <v>127.0</v>
      </c>
      <c r="C1844" s="4" t="s">
        <v>18</v>
      </c>
      <c r="D1844" s="5">
        <v>16713.21646417177</v>
      </c>
      <c r="E1844" s="5">
        <f t="shared" si="1"/>
        <v>0</v>
      </c>
      <c r="F1844" s="5">
        <f t="shared" si="2"/>
        <v>16713.21646</v>
      </c>
      <c r="G1844" s="5" t="s">
        <v>19</v>
      </c>
      <c r="H1844" s="5" t="s">
        <v>19</v>
      </c>
      <c r="I1844" s="5" t="s">
        <v>19</v>
      </c>
      <c r="J1844" s="5">
        <v>0.0</v>
      </c>
      <c r="K1844" s="5">
        <f t="shared" si="3"/>
        <v>0</v>
      </c>
      <c r="L1844" s="5">
        <f t="shared" si="4"/>
        <v>0</v>
      </c>
      <c r="M1844" s="5">
        <v>414120.98932308145</v>
      </c>
      <c r="N1844" s="5">
        <f t="shared" si="5"/>
        <v>0</v>
      </c>
      <c r="O1844" s="5">
        <f t="shared" si="6"/>
        <v>414120.9893</v>
      </c>
      <c r="P1844" s="5">
        <f t="shared" si="9"/>
        <v>430834.2058</v>
      </c>
      <c r="Q1844" s="5">
        <f t="shared" si="7"/>
        <v>430834.2058</v>
      </c>
      <c r="R1844" s="5">
        <f t="shared" si="8"/>
        <v>0</v>
      </c>
    </row>
    <row r="1845" ht="15.75" customHeight="1">
      <c r="A1845" s="4">
        <v>1999.0</v>
      </c>
      <c r="B1845" s="4">
        <v>128.0</v>
      </c>
      <c r="C1845" s="4" t="s">
        <v>18</v>
      </c>
      <c r="D1845" s="5">
        <v>28944.648035354585</v>
      </c>
      <c r="E1845" s="5">
        <f t="shared" si="1"/>
        <v>0</v>
      </c>
      <c r="F1845" s="5">
        <f t="shared" si="2"/>
        <v>28944.64804</v>
      </c>
      <c r="G1845" s="5" t="s">
        <v>19</v>
      </c>
      <c r="H1845" s="5" t="s">
        <v>19</v>
      </c>
      <c r="I1845" s="5" t="s">
        <v>19</v>
      </c>
      <c r="J1845" s="5">
        <v>0.0</v>
      </c>
      <c r="K1845" s="5">
        <f t="shared" si="3"/>
        <v>0</v>
      </c>
      <c r="L1845" s="5">
        <f t="shared" si="4"/>
        <v>0</v>
      </c>
      <c r="M1845" s="5">
        <v>44663.14348102329</v>
      </c>
      <c r="N1845" s="5">
        <f t="shared" si="5"/>
        <v>0</v>
      </c>
      <c r="O1845" s="5">
        <f t="shared" si="6"/>
        <v>44663.14348</v>
      </c>
      <c r="P1845" s="5">
        <f t="shared" si="9"/>
        <v>73607.79152</v>
      </c>
      <c r="Q1845" s="5">
        <f t="shared" si="7"/>
        <v>73607.79152</v>
      </c>
      <c r="R1845" s="5">
        <f t="shared" si="8"/>
        <v>0</v>
      </c>
    </row>
    <row r="1846" ht="15.75" customHeight="1">
      <c r="A1846" s="4">
        <v>1999.0</v>
      </c>
      <c r="B1846" s="4">
        <v>300.0</v>
      </c>
      <c r="C1846" s="4" t="s">
        <v>20</v>
      </c>
      <c r="D1846" s="5">
        <v>9673.363113803676</v>
      </c>
      <c r="E1846" s="5">
        <f t="shared" si="1"/>
        <v>0</v>
      </c>
      <c r="F1846" s="5">
        <f t="shared" si="2"/>
        <v>9673.363114</v>
      </c>
      <c r="G1846" s="5">
        <v>23463.74551595092</v>
      </c>
      <c r="H1846" s="5">
        <v>12492.638010613498</v>
      </c>
      <c r="I1846" s="5">
        <v>10971.10750533742</v>
      </c>
      <c r="J1846" s="5">
        <v>339711.46840417176</v>
      </c>
      <c r="K1846" s="5">
        <f t="shared" si="3"/>
        <v>339711.4684</v>
      </c>
      <c r="L1846" s="5">
        <f t="shared" si="4"/>
        <v>0</v>
      </c>
      <c r="M1846" s="5">
        <v>2054.7459511656434</v>
      </c>
      <c r="N1846" s="5">
        <f t="shared" si="5"/>
        <v>0</v>
      </c>
      <c r="O1846" s="5">
        <f t="shared" si="6"/>
        <v>2054.745951</v>
      </c>
      <c r="P1846" s="5">
        <f t="shared" si="9"/>
        <v>374903.323</v>
      </c>
      <c r="Q1846" s="5">
        <f t="shared" si="7"/>
        <v>22699.21657</v>
      </c>
      <c r="R1846" s="5">
        <f t="shared" si="8"/>
        <v>352204.1064</v>
      </c>
    </row>
    <row r="1847" ht="15.75" customHeight="1">
      <c r="A1847" s="4">
        <v>1999.0</v>
      </c>
      <c r="B1847" s="4">
        <v>301.0</v>
      </c>
      <c r="C1847" s="4" t="s">
        <v>20</v>
      </c>
      <c r="D1847" s="5">
        <v>4272.713282699386</v>
      </c>
      <c r="E1847" s="5">
        <f t="shared" si="1"/>
        <v>0</v>
      </c>
      <c r="F1847" s="5">
        <f t="shared" si="2"/>
        <v>4272.713283</v>
      </c>
      <c r="G1847" s="5">
        <v>2869.9119297546013</v>
      </c>
      <c r="H1847" s="5">
        <v>1036.167727607362</v>
      </c>
      <c r="I1847" s="5">
        <v>1833.7442021472393</v>
      </c>
      <c r="J1847" s="5">
        <v>65046.293213742334</v>
      </c>
      <c r="K1847" s="5">
        <f t="shared" si="3"/>
        <v>65046.29321</v>
      </c>
      <c r="L1847" s="5">
        <f t="shared" si="4"/>
        <v>0</v>
      </c>
      <c r="M1847" s="5">
        <v>264.30342110429433</v>
      </c>
      <c r="N1847" s="5">
        <f t="shared" si="5"/>
        <v>0</v>
      </c>
      <c r="O1847" s="5">
        <f t="shared" si="6"/>
        <v>264.3034211</v>
      </c>
      <c r="P1847" s="5">
        <f t="shared" si="9"/>
        <v>72453.22185</v>
      </c>
      <c r="Q1847" s="5">
        <f t="shared" si="7"/>
        <v>6370.760906</v>
      </c>
      <c r="R1847" s="5">
        <f t="shared" si="8"/>
        <v>66082.46094</v>
      </c>
    </row>
    <row r="1848" ht="15.75" customHeight="1">
      <c r="A1848" s="4">
        <v>1999.0</v>
      </c>
      <c r="B1848" s="4">
        <v>302.0</v>
      </c>
      <c r="C1848" s="4" t="s">
        <v>20</v>
      </c>
      <c r="D1848" s="5">
        <v>16993.74601073619</v>
      </c>
      <c r="E1848" s="5">
        <f t="shared" si="1"/>
        <v>0</v>
      </c>
      <c r="F1848" s="5">
        <f t="shared" si="2"/>
        <v>16993.74601</v>
      </c>
      <c r="G1848" s="5">
        <v>6646.470621165644</v>
      </c>
      <c r="H1848" s="5">
        <v>4908.1629202454</v>
      </c>
      <c r="I1848" s="5">
        <v>1738.3077009202443</v>
      </c>
      <c r="J1848" s="5">
        <v>100553.16505877301</v>
      </c>
      <c r="K1848" s="5">
        <f t="shared" si="3"/>
        <v>100553.1651</v>
      </c>
      <c r="L1848" s="5">
        <f t="shared" si="4"/>
        <v>0</v>
      </c>
      <c r="M1848" s="5">
        <v>10710.682992331283</v>
      </c>
      <c r="N1848" s="5">
        <f t="shared" si="5"/>
        <v>0</v>
      </c>
      <c r="O1848" s="5">
        <f t="shared" si="6"/>
        <v>10710.68299</v>
      </c>
      <c r="P1848" s="5">
        <f t="shared" si="9"/>
        <v>134904.0647</v>
      </c>
      <c r="Q1848" s="5">
        <f t="shared" si="7"/>
        <v>29442.7367</v>
      </c>
      <c r="R1848" s="5">
        <f t="shared" si="8"/>
        <v>105461.328</v>
      </c>
    </row>
    <row r="1849" ht="15.75" customHeight="1">
      <c r="A1849" s="4">
        <v>1999.0</v>
      </c>
      <c r="B1849" s="4">
        <v>303.0</v>
      </c>
      <c r="C1849" s="4" t="s">
        <v>20</v>
      </c>
      <c r="D1849" s="5">
        <v>35541.205942453984</v>
      </c>
      <c r="E1849" s="5">
        <f t="shared" si="1"/>
        <v>0</v>
      </c>
      <c r="F1849" s="5">
        <f t="shared" si="2"/>
        <v>35541.20594</v>
      </c>
      <c r="G1849" s="5">
        <v>6626.019942331288</v>
      </c>
      <c r="H1849" s="5">
        <v>3554.327981411043</v>
      </c>
      <c r="I1849" s="5">
        <v>3071.691960920245</v>
      </c>
      <c r="J1849" s="5">
        <v>13472.792000981593</v>
      </c>
      <c r="K1849" s="5">
        <f t="shared" si="3"/>
        <v>13472.792</v>
      </c>
      <c r="L1849" s="5">
        <f t="shared" si="4"/>
        <v>0</v>
      </c>
      <c r="M1849" s="5">
        <v>13385.689391411037</v>
      </c>
      <c r="N1849" s="5">
        <f t="shared" si="5"/>
        <v>0</v>
      </c>
      <c r="O1849" s="5">
        <f t="shared" si="6"/>
        <v>13385.68939</v>
      </c>
      <c r="P1849" s="5">
        <f t="shared" si="9"/>
        <v>69025.70728</v>
      </c>
      <c r="Q1849" s="5">
        <f t="shared" si="7"/>
        <v>51998.58729</v>
      </c>
      <c r="R1849" s="5">
        <f t="shared" si="8"/>
        <v>17027.11998</v>
      </c>
    </row>
    <row r="1850" ht="15.75" customHeight="1">
      <c r="A1850" s="4">
        <v>1999.0</v>
      </c>
      <c r="B1850" s="4">
        <v>304.0</v>
      </c>
      <c r="C1850" s="4" t="s">
        <v>20</v>
      </c>
      <c r="D1850" s="5">
        <v>34358.067731183415</v>
      </c>
      <c r="E1850" s="5">
        <f t="shared" si="1"/>
        <v>0</v>
      </c>
      <c r="F1850" s="5">
        <f t="shared" si="2"/>
        <v>34358.06773</v>
      </c>
      <c r="G1850" s="5">
        <v>11043.366570552145</v>
      </c>
      <c r="H1850" s="5">
        <v>4403.849180190184</v>
      </c>
      <c r="I1850" s="5">
        <v>6639.517390361962</v>
      </c>
      <c r="J1850" s="5">
        <v>88336.678421227</v>
      </c>
      <c r="K1850" s="5">
        <f t="shared" si="3"/>
        <v>88336.67842</v>
      </c>
      <c r="L1850" s="5">
        <f t="shared" si="4"/>
        <v>0</v>
      </c>
      <c r="M1850" s="5">
        <v>21911.606201226976</v>
      </c>
      <c r="N1850" s="5">
        <f t="shared" si="5"/>
        <v>0</v>
      </c>
      <c r="O1850" s="5">
        <f t="shared" si="6"/>
        <v>21911.6062</v>
      </c>
      <c r="P1850" s="5">
        <f t="shared" si="9"/>
        <v>155649.7189</v>
      </c>
      <c r="Q1850" s="5">
        <f t="shared" si="7"/>
        <v>62909.19132</v>
      </c>
      <c r="R1850" s="5">
        <f t="shared" si="8"/>
        <v>92740.5276</v>
      </c>
    </row>
    <row r="1851" ht="15.75" customHeight="1">
      <c r="A1851" s="4">
        <v>1999.0</v>
      </c>
      <c r="B1851" s="4">
        <v>305.0</v>
      </c>
      <c r="C1851" s="4" t="s">
        <v>20</v>
      </c>
      <c r="D1851" s="5">
        <v>41098.72112134968</v>
      </c>
      <c r="E1851" s="5">
        <f t="shared" si="1"/>
        <v>0</v>
      </c>
      <c r="F1851" s="5">
        <f t="shared" si="2"/>
        <v>41098.72112</v>
      </c>
      <c r="G1851" s="5">
        <v>6380.611796319019</v>
      </c>
      <c r="H1851" s="5">
        <v>3439.8041799386506</v>
      </c>
      <c r="I1851" s="5">
        <v>2940.8076163803685</v>
      </c>
      <c r="J1851" s="5">
        <v>14025.133152147238</v>
      </c>
      <c r="K1851" s="5">
        <f t="shared" si="3"/>
        <v>14025.13315</v>
      </c>
      <c r="L1851" s="5">
        <f t="shared" si="4"/>
        <v>0</v>
      </c>
      <c r="M1851" s="5">
        <v>4836.326310368095</v>
      </c>
      <c r="N1851" s="5">
        <f t="shared" si="5"/>
        <v>0</v>
      </c>
      <c r="O1851" s="5">
        <f t="shared" si="6"/>
        <v>4836.32631</v>
      </c>
      <c r="P1851" s="5">
        <f t="shared" si="9"/>
        <v>66340.79238</v>
      </c>
      <c r="Q1851" s="5">
        <f t="shared" si="7"/>
        <v>48875.85505</v>
      </c>
      <c r="R1851" s="5">
        <f t="shared" si="8"/>
        <v>17464.93733</v>
      </c>
    </row>
    <row r="1852" ht="15.75" customHeight="1">
      <c r="A1852" s="4">
        <v>1999.0</v>
      </c>
      <c r="B1852" s="4">
        <v>306.0</v>
      </c>
      <c r="C1852" s="4" t="s">
        <v>20</v>
      </c>
      <c r="D1852" s="5" t="s">
        <v>19</v>
      </c>
      <c r="E1852" s="5" t="str">
        <f t="shared" si="1"/>
        <v/>
      </c>
      <c r="F1852" s="5" t="str">
        <f t="shared" si="2"/>
        <v/>
      </c>
      <c r="G1852" s="5" t="s">
        <v>19</v>
      </c>
      <c r="H1852" s="5" t="s">
        <v>19</v>
      </c>
      <c r="I1852" s="5" t="s">
        <v>19</v>
      </c>
      <c r="J1852" s="5">
        <v>0.0</v>
      </c>
      <c r="K1852" s="5">
        <f t="shared" si="3"/>
        <v>0</v>
      </c>
      <c r="L1852" s="5">
        <f t="shared" si="4"/>
        <v>0</v>
      </c>
      <c r="M1852" s="5">
        <v>12479.810730368095</v>
      </c>
      <c r="N1852" s="5">
        <f t="shared" si="5"/>
        <v>0</v>
      </c>
      <c r="O1852" s="5">
        <f t="shared" si="6"/>
        <v>12479.81073</v>
      </c>
      <c r="P1852" s="5">
        <f t="shared" si="9"/>
        <v>12479.81073</v>
      </c>
      <c r="Q1852" s="5">
        <f t="shared" si="7"/>
        <v>12479.81073</v>
      </c>
      <c r="R1852" s="5">
        <f t="shared" si="8"/>
        <v>0</v>
      </c>
    </row>
    <row r="1853" ht="15.75" customHeight="1">
      <c r="A1853" s="4">
        <v>1999.0</v>
      </c>
      <c r="B1853" s="4">
        <v>307.0</v>
      </c>
      <c r="C1853" s="4" t="s">
        <v>20</v>
      </c>
      <c r="D1853" s="5" t="s">
        <v>19</v>
      </c>
      <c r="E1853" s="5" t="str">
        <f t="shared" si="1"/>
        <v/>
      </c>
      <c r="F1853" s="5" t="str">
        <f t="shared" si="2"/>
        <v/>
      </c>
      <c r="G1853" s="5" t="s">
        <v>19</v>
      </c>
      <c r="H1853" s="5" t="s">
        <v>19</v>
      </c>
      <c r="I1853" s="5" t="s">
        <v>19</v>
      </c>
      <c r="J1853" s="5">
        <v>0.0</v>
      </c>
      <c r="K1853" s="5">
        <f t="shared" si="3"/>
        <v>0</v>
      </c>
      <c r="L1853" s="5">
        <f t="shared" si="4"/>
        <v>0</v>
      </c>
      <c r="M1853" s="5">
        <v>1084.9229140490793</v>
      </c>
      <c r="N1853" s="5">
        <f t="shared" si="5"/>
        <v>0</v>
      </c>
      <c r="O1853" s="5">
        <f t="shared" si="6"/>
        <v>1084.922914</v>
      </c>
      <c r="P1853" s="5">
        <f t="shared" si="9"/>
        <v>1084.922914</v>
      </c>
      <c r="Q1853" s="5">
        <f t="shared" si="7"/>
        <v>1084.922914</v>
      </c>
      <c r="R1853" s="5">
        <f t="shared" si="8"/>
        <v>0</v>
      </c>
    </row>
    <row r="1854" ht="15.75" customHeight="1">
      <c r="A1854" s="4">
        <v>1999.0</v>
      </c>
      <c r="B1854" s="4">
        <v>308.0</v>
      </c>
      <c r="C1854" s="4" t="s">
        <v>20</v>
      </c>
      <c r="D1854" s="5">
        <v>30035.979212822072</v>
      </c>
      <c r="E1854" s="5">
        <f t="shared" si="1"/>
        <v>0</v>
      </c>
      <c r="F1854" s="5">
        <f t="shared" si="2"/>
        <v>30035.97921</v>
      </c>
      <c r="G1854" s="5">
        <v>24049.99830920245</v>
      </c>
      <c r="H1854" s="5">
        <v>9325.509548466256</v>
      </c>
      <c r="I1854" s="5">
        <v>14724.488760736192</v>
      </c>
      <c r="J1854" s="5">
        <v>31385.97364858896</v>
      </c>
      <c r="K1854" s="5">
        <f t="shared" si="3"/>
        <v>31385.97365</v>
      </c>
      <c r="L1854" s="5">
        <f t="shared" si="4"/>
        <v>0</v>
      </c>
      <c r="M1854" s="5">
        <v>24908.465959877285</v>
      </c>
      <c r="N1854" s="5">
        <f t="shared" si="5"/>
        <v>0</v>
      </c>
      <c r="O1854" s="5">
        <f t="shared" si="6"/>
        <v>24908.46596</v>
      </c>
      <c r="P1854" s="5">
        <f t="shared" si="9"/>
        <v>110380.4171</v>
      </c>
      <c r="Q1854" s="5">
        <f t="shared" si="7"/>
        <v>69668.93393</v>
      </c>
      <c r="R1854" s="5">
        <f t="shared" si="8"/>
        <v>40711.4832</v>
      </c>
    </row>
    <row r="1855" ht="15.75" customHeight="1">
      <c r="A1855" s="4">
        <v>1999.0</v>
      </c>
      <c r="B1855" s="4">
        <v>309.0</v>
      </c>
      <c r="C1855" s="4" t="s">
        <v>20</v>
      </c>
      <c r="D1855" s="5" t="s">
        <v>19</v>
      </c>
      <c r="E1855" s="5" t="str">
        <f t="shared" si="1"/>
        <v/>
      </c>
      <c r="F1855" s="5" t="str">
        <f t="shared" si="2"/>
        <v/>
      </c>
      <c r="G1855" s="5">
        <v>8473.397930368097</v>
      </c>
      <c r="H1855" s="5">
        <v>3289.832535153374</v>
      </c>
      <c r="I1855" s="5">
        <v>5183.565395214723</v>
      </c>
      <c r="J1855" s="5">
        <v>7034.227013374233</v>
      </c>
      <c r="K1855" s="5">
        <f t="shared" si="3"/>
        <v>7034.227013</v>
      </c>
      <c r="L1855" s="5">
        <f t="shared" si="4"/>
        <v>0</v>
      </c>
      <c r="M1855" s="5">
        <v>1144.604331717791</v>
      </c>
      <c r="N1855" s="5">
        <f t="shared" si="5"/>
        <v>0</v>
      </c>
      <c r="O1855" s="5">
        <f t="shared" si="6"/>
        <v>1144.604332</v>
      </c>
      <c r="P1855" s="5">
        <f t="shared" si="9"/>
        <v>16652.22928</v>
      </c>
      <c r="Q1855" s="5">
        <f t="shared" si="7"/>
        <v>6328.169727</v>
      </c>
      <c r="R1855" s="5">
        <f t="shared" si="8"/>
        <v>10324.05955</v>
      </c>
    </row>
    <row r="1856" ht="15.75" customHeight="1">
      <c r="A1856" s="4">
        <v>1999.0</v>
      </c>
      <c r="B1856" s="4">
        <v>310.0</v>
      </c>
      <c r="C1856" s="4" t="s">
        <v>20</v>
      </c>
      <c r="D1856" s="5" t="s">
        <v>19</v>
      </c>
      <c r="E1856" s="5" t="str">
        <f t="shared" si="1"/>
        <v/>
      </c>
      <c r="F1856" s="5" t="str">
        <f t="shared" si="2"/>
        <v/>
      </c>
      <c r="G1856" s="5" t="s">
        <v>19</v>
      </c>
      <c r="H1856" s="5" t="s">
        <v>19</v>
      </c>
      <c r="I1856" s="5" t="s">
        <v>19</v>
      </c>
      <c r="J1856" s="5">
        <v>27395.03807595092</v>
      </c>
      <c r="K1856" s="5">
        <f t="shared" si="3"/>
        <v>27395.03808</v>
      </c>
      <c r="L1856" s="5">
        <f t="shared" si="4"/>
        <v>0</v>
      </c>
      <c r="M1856" s="5">
        <v>1214.9431453987722</v>
      </c>
      <c r="N1856" s="5">
        <f t="shared" si="5"/>
        <v>0</v>
      </c>
      <c r="O1856" s="5">
        <f t="shared" si="6"/>
        <v>1214.943145</v>
      </c>
      <c r="P1856" s="5">
        <f t="shared" si="9"/>
        <v>28609.98122</v>
      </c>
      <c r="Q1856" s="5">
        <f t="shared" si="7"/>
        <v>1214.943145</v>
      </c>
      <c r="R1856" s="5">
        <f t="shared" si="8"/>
        <v>27395.03808</v>
      </c>
    </row>
    <row r="1857" ht="15.75" customHeight="1">
      <c r="A1857" s="4">
        <v>1999.0</v>
      </c>
      <c r="B1857" s="4">
        <v>311.0</v>
      </c>
      <c r="C1857" s="4" t="s">
        <v>20</v>
      </c>
      <c r="D1857" s="5" t="s">
        <v>19</v>
      </c>
      <c r="E1857" s="5" t="str">
        <f t="shared" si="1"/>
        <v/>
      </c>
      <c r="F1857" s="5" t="str">
        <f t="shared" si="2"/>
        <v/>
      </c>
      <c r="G1857" s="5">
        <v>3524.333652453988</v>
      </c>
      <c r="H1857" s="5">
        <v>2610.8699978527616</v>
      </c>
      <c r="I1857" s="5">
        <v>913.4636546012266</v>
      </c>
      <c r="J1857" s="5">
        <v>16180.346663558284</v>
      </c>
      <c r="K1857" s="5">
        <f t="shared" si="3"/>
        <v>16180.34666</v>
      </c>
      <c r="L1857" s="5">
        <f t="shared" si="4"/>
        <v>0</v>
      </c>
      <c r="M1857" s="5">
        <v>1756.3388628220855</v>
      </c>
      <c r="N1857" s="5">
        <f t="shared" si="5"/>
        <v>0</v>
      </c>
      <c r="O1857" s="5">
        <f t="shared" si="6"/>
        <v>1756.338863</v>
      </c>
      <c r="P1857" s="5">
        <f t="shared" si="9"/>
        <v>21461.01918</v>
      </c>
      <c r="Q1857" s="5">
        <f t="shared" si="7"/>
        <v>2669.802517</v>
      </c>
      <c r="R1857" s="5">
        <f t="shared" si="8"/>
        <v>18791.21666</v>
      </c>
    </row>
    <row r="1858" ht="15.75" customHeight="1">
      <c r="A1858" s="4">
        <v>1999.0</v>
      </c>
      <c r="B1858" s="4">
        <v>312.0</v>
      </c>
      <c r="C1858" s="4" t="s">
        <v>20</v>
      </c>
      <c r="D1858" s="5" t="s">
        <v>19</v>
      </c>
      <c r="E1858" s="5" t="str">
        <f t="shared" si="1"/>
        <v/>
      </c>
      <c r="F1858" s="5" t="str">
        <f t="shared" si="2"/>
        <v/>
      </c>
      <c r="G1858" s="5" t="s">
        <v>19</v>
      </c>
      <c r="H1858" s="5" t="s">
        <v>19</v>
      </c>
      <c r="I1858" s="5" t="s">
        <v>19</v>
      </c>
      <c r="J1858" s="5">
        <v>9037.817463680984</v>
      </c>
      <c r="K1858" s="5">
        <f t="shared" si="3"/>
        <v>9037.817464</v>
      </c>
      <c r="L1858" s="5">
        <f t="shared" si="4"/>
        <v>0</v>
      </c>
      <c r="M1858" s="5">
        <v>1856.518385337422</v>
      </c>
      <c r="N1858" s="5">
        <f t="shared" si="5"/>
        <v>0</v>
      </c>
      <c r="O1858" s="5">
        <f t="shared" si="6"/>
        <v>1856.518385</v>
      </c>
      <c r="P1858" s="5">
        <f t="shared" si="9"/>
        <v>10894.33585</v>
      </c>
      <c r="Q1858" s="5">
        <f t="shared" si="7"/>
        <v>1856.518385</v>
      </c>
      <c r="R1858" s="5">
        <f t="shared" si="8"/>
        <v>9037.817464</v>
      </c>
    </row>
    <row r="1859" ht="15.75" customHeight="1">
      <c r="A1859" s="4">
        <v>1999.0</v>
      </c>
      <c r="B1859" s="4">
        <v>313.0</v>
      </c>
      <c r="C1859" s="4" t="s">
        <v>20</v>
      </c>
      <c r="D1859" s="5">
        <v>35636.66971125275</v>
      </c>
      <c r="E1859" s="5">
        <f t="shared" si="1"/>
        <v>0</v>
      </c>
      <c r="F1859" s="5">
        <f t="shared" si="2"/>
        <v>35636.66971</v>
      </c>
      <c r="G1859" s="5">
        <v>4853.627776687116</v>
      </c>
      <c r="H1859" s="5">
        <v>1903.2765101840491</v>
      </c>
      <c r="I1859" s="5">
        <v>2950.351266503067</v>
      </c>
      <c r="J1859" s="5">
        <v>1321.2866753374235</v>
      </c>
      <c r="K1859" s="5">
        <f t="shared" si="3"/>
        <v>1321.286675</v>
      </c>
      <c r="L1859" s="5">
        <f t="shared" si="4"/>
        <v>0</v>
      </c>
      <c r="M1859" s="5">
        <v>3116.222593987729</v>
      </c>
      <c r="N1859" s="5">
        <f t="shared" si="5"/>
        <v>0</v>
      </c>
      <c r="O1859" s="5">
        <f t="shared" si="6"/>
        <v>3116.222594</v>
      </c>
      <c r="P1859" s="5">
        <f t="shared" si="9"/>
        <v>44927.80676</v>
      </c>
      <c r="Q1859" s="5">
        <f t="shared" si="7"/>
        <v>41703.24357</v>
      </c>
      <c r="R1859" s="5">
        <f t="shared" si="8"/>
        <v>3224.563186</v>
      </c>
    </row>
    <row r="1860" ht="15.75" customHeight="1">
      <c r="A1860" s="4">
        <v>1999.0</v>
      </c>
      <c r="B1860" s="4">
        <v>314.0</v>
      </c>
      <c r="C1860" s="4" t="s">
        <v>20</v>
      </c>
      <c r="D1860" s="5">
        <v>8119.649192822084</v>
      </c>
      <c r="E1860" s="5">
        <f t="shared" si="1"/>
        <v>0</v>
      </c>
      <c r="F1860" s="5">
        <f t="shared" si="2"/>
        <v>8119.649193</v>
      </c>
      <c r="G1860" s="5">
        <v>3619.770153680981</v>
      </c>
      <c r="H1860" s="5">
        <v>2139.1410060736193</v>
      </c>
      <c r="I1860" s="5">
        <v>1480.6291476073616</v>
      </c>
      <c r="J1860" s="5">
        <v>10440.330778895706</v>
      </c>
      <c r="K1860" s="5">
        <f t="shared" si="3"/>
        <v>10440.33078</v>
      </c>
      <c r="L1860" s="5">
        <f t="shared" si="4"/>
        <v>0</v>
      </c>
      <c r="M1860" s="5">
        <v>1698.7889243558275</v>
      </c>
      <c r="N1860" s="5">
        <f t="shared" si="5"/>
        <v>0</v>
      </c>
      <c r="O1860" s="5">
        <f t="shared" si="6"/>
        <v>1698.788924</v>
      </c>
      <c r="P1860" s="5">
        <f t="shared" si="9"/>
        <v>23878.53905</v>
      </c>
      <c r="Q1860" s="5">
        <f t="shared" si="7"/>
        <v>11299.06726</v>
      </c>
      <c r="R1860" s="5">
        <f t="shared" si="8"/>
        <v>12579.47178</v>
      </c>
    </row>
    <row r="1861" ht="15.75" customHeight="1">
      <c r="A1861" s="4">
        <v>1999.0</v>
      </c>
      <c r="B1861" s="4">
        <v>320.0</v>
      </c>
      <c r="C1861" s="4" t="s">
        <v>20</v>
      </c>
      <c r="D1861" s="5">
        <v>174874.9836735582</v>
      </c>
      <c r="E1861" s="5">
        <f t="shared" si="1"/>
        <v>0</v>
      </c>
      <c r="F1861" s="5">
        <f t="shared" si="2"/>
        <v>174874.9837</v>
      </c>
      <c r="G1861" s="5">
        <v>43069.12962515338</v>
      </c>
      <c r="H1861" s="5">
        <v>21080.559742453992</v>
      </c>
      <c r="I1861" s="5">
        <v>21988.569882699387</v>
      </c>
      <c r="J1861" s="5">
        <v>47051.88492625767</v>
      </c>
      <c r="K1861" s="5">
        <f t="shared" si="3"/>
        <v>47051.88493</v>
      </c>
      <c r="L1861" s="5">
        <f t="shared" si="4"/>
        <v>0</v>
      </c>
      <c r="M1861" s="5">
        <v>109204.20545852758</v>
      </c>
      <c r="N1861" s="5">
        <f t="shared" si="5"/>
        <v>0</v>
      </c>
      <c r="O1861" s="5">
        <f t="shared" si="6"/>
        <v>109204.2055</v>
      </c>
      <c r="P1861" s="5">
        <f t="shared" si="9"/>
        <v>374200.2037</v>
      </c>
      <c r="Q1861" s="5">
        <f t="shared" si="7"/>
        <v>306067.759</v>
      </c>
      <c r="R1861" s="5">
        <f t="shared" si="8"/>
        <v>68132.44467</v>
      </c>
    </row>
    <row r="1862" ht="15.75" customHeight="1">
      <c r="A1862" s="4">
        <v>1999.0</v>
      </c>
      <c r="B1862" s="4">
        <v>321.0</v>
      </c>
      <c r="C1862" s="4" t="s">
        <v>20</v>
      </c>
      <c r="D1862" s="5">
        <v>164271.11025621282</v>
      </c>
      <c r="E1862" s="5">
        <f t="shared" si="1"/>
        <v>0</v>
      </c>
      <c r="F1862" s="5">
        <f t="shared" si="2"/>
        <v>164271.1103</v>
      </c>
      <c r="G1862" s="5">
        <v>23925.65818188957</v>
      </c>
      <c r="H1862" s="5">
        <v>13088.10724312638</v>
      </c>
      <c r="I1862" s="5">
        <v>10837.550938763188</v>
      </c>
      <c r="J1862" s="5">
        <v>14371.700148957058</v>
      </c>
      <c r="K1862" s="5">
        <f t="shared" si="3"/>
        <v>14371.70015</v>
      </c>
      <c r="L1862" s="5">
        <f t="shared" si="4"/>
        <v>0</v>
      </c>
      <c r="M1862" s="5">
        <v>22470.053752269923</v>
      </c>
      <c r="N1862" s="5">
        <f t="shared" si="5"/>
        <v>0</v>
      </c>
      <c r="O1862" s="5">
        <f t="shared" si="6"/>
        <v>22470.05375</v>
      </c>
      <c r="P1862" s="5">
        <f t="shared" si="9"/>
        <v>225038.5223</v>
      </c>
      <c r="Q1862" s="5">
        <f t="shared" si="7"/>
        <v>197578.7149</v>
      </c>
      <c r="R1862" s="5">
        <f t="shared" si="8"/>
        <v>27459.80739</v>
      </c>
    </row>
    <row r="1863" ht="15.75" customHeight="1">
      <c r="A1863" s="4">
        <v>1999.0</v>
      </c>
      <c r="B1863" s="4">
        <v>322.0</v>
      </c>
      <c r="C1863" s="4" t="s">
        <v>20</v>
      </c>
      <c r="D1863" s="5">
        <v>24919.180963435574</v>
      </c>
      <c r="E1863" s="5">
        <f t="shared" si="1"/>
        <v>0</v>
      </c>
      <c r="F1863" s="5">
        <f t="shared" si="2"/>
        <v>24919.18096</v>
      </c>
      <c r="G1863" s="5" t="s">
        <v>19</v>
      </c>
      <c r="H1863" s="5" t="s">
        <v>19</v>
      </c>
      <c r="I1863" s="5" t="s">
        <v>19</v>
      </c>
      <c r="J1863" s="5">
        <v>0.0</v>
      </c>
      <c r="K1863" s="5">
        <f t="shared" si="3"/>
        <v>0</v>
      </c>
      <c r="L1863" s="5">
        <f t="shared" si="4"/>
        <v>0</v>
      </c>
      <c r="M1863" s="5">
        <v>20492.041052392633</v>
      </c>
      <c r="N1863" s="5">
        <f t="shared" si="5"/>
        <v>0</v>
      </c>
      <c r="O1863" s="5">
        <f t="shared" si="6"/>
        <v>20492.04105</v>
      </c>
      <c r="P1863" s="5">
        <f t="shared" si="9"/>
        <v>45411.22202</v>
      </c>
      <c r="Q1863" s="5">
        <f t="shared" si="7"/>
        <v>45411.22202</v>
      </c>
      <c r="R1863" s="5">
        <f t="shared" si="8"/>
        <v>0</v>
      </c>
    </row>
    <row r="1864" ht="15.75" customHeight="1">
      <c r="A1864" s="4">
        <v>1999.0</v>
      </c>
      <c r="B1864" s="4">
        <v>323.0</v>
      </c>
      <c r="C1864" s="4" t="s">
        <v>20</v>
      </c>
      <c r="D1864" s="5">
        <v>12407.302032453983</v>
      </c>
      <c r="E1864" s="5">
        <f t="shared" si="1"/>
        <v>0</v>
      </c>
      <c r="F1864" s="5">
        <f t="shared" si="2"/>
        <v>12407.30203</v>
      </c>
      <c r="G1864" s="5">
        <v>1417.9137325153372</v>
      </c>
      <c r="H1864" s="5">
        <v>933.9143334355828</v>
      </c>
      <c r="I1864" s="5">
        <v>483.9993990797544</v>
      </c>
      <c r="J1864" s="5">
        <v>0.0</v>
      </c>
      <c r="K1864" s="5">
        <f t="shared" si="3"/>
        <v>0</v>
      </c>
      <c r="L1864" s="5">
        <f t="shared" si="4"/>
        <v>0</v>
      </c>
      <c r="M1864" s="5">
        <v>235839.64783472387</v>
      </c>
      <c r="N1864" s="5">
        <f t="shared" si="5"/>
        <v>0</v>
      </c>
      <c r="O1864" s="5">
        <f t="shared" si="6"/>
        <v>235839.6478</v>
      </c>
      <c r="P1864" s="5">
        <f t="shared" si="9"/>
        <v>249664.8636</v>
      </c>
      <c r="Q1864" s="5">
        <f t="shared" si="7"/>
        <v>248730.9493</v>
      </c>
      <c r="R1864" s="5">
        <f t="shared" si="8"/>
        <v>933.9143334</v>
      </c>
    </row>
    <row r="1865" ht="15.75" customHeight="1">
      <c r="A1865" s="4">
        <v>1999.0</v>
      </c>
      <c r="B1865" s="4">
        <v>324.0</v>
      </c>
      <c r="C1865" s="4" t="s">
        <v>20</v>
      </c>
      <c r="D1865" s="5" t="s">
        <v>19</v>
      </c>
      <c r="E1865" s="5" t="str">
        <f t="shared" si="1"/>
        <v/>
      </c>
      <c r="F1865" s="5" t="str">
        <f t="shared" si="2"/>
        <v/>
      </c>
      <c r="G1865" s="5" t="s">
        <v>19</v>
      </c>
      <c r="H1865" s="5" t="s">
        <v>19</v>
      </c>
      <c r="I1865" s="5" t="s">
        <v>19</v>
      </c>
      <c r="J1865" s="5">
        <v>0.0</v>
      </c>
      <c r="K1865" s="5">
        <f t="shared" si="3"/>
        <v>0</v>
      </c>
      <c r="L1865" s="5">
        <f t="shared" si="4"/>
        <v>0</v>
      </c>
      <c r="M1865" s="5">
        <v>47067.32374858894</v>
      </c>
      <c r="N1865" s="5">
        <f t="shared" si="5"/>
        <v>0</v>
      </c>
      <c r="O1865" s="5">
        <f t="shared" si="6"/>
        <v>47067.32375</v>
      </c>
      <c r="P1865" s="5">
        <f t="shared" si="9"/>
        <v>47067.32375</v>
      </c>
      <c r="Q1865" s="5">
        <f t="shared" si="7"/>
        <v>47067.32375</v>
      </c>
      <c r="R1865" s="5">
        <f t="shared" si="8"/>
        <v>0</v>
      </c>
    </row>
    <row r="1866" ht="15.75" customHeight="1">
      <c r="A1866" s="4">
        <v>1999.0</v>
      </c>
      <c r="B1866" s="4">
        <v>325.0</v>
      </c>
      <c r="C1866" s="4" t="s">
        <v>20</v>
      </c>
      <c r="D1866" s="5">
        <v>4944.9933446625755</v>
      </c>
      <c r="E1866" s="5">
        <f t="shared" si="1"/>
        <v>0</v>
      </c>
      <c r="F1866" s="5">
        <f t="shared" si="2"/>
        <v>4944.993345</v>
      </c>
      <c r="G1866" s="5" t="s">
        <v>19</v>
      </c>
      <c r="H1866" s="5" t="s">
        <v>19</v>
      </c>
      <c r="I1866" s="5" t="s">
        <v>19</v>
      </c>
      <c r="J1866" s="5">
        <v>0.0</v>
      </c>
      <c r="K1866" s="5">
        <f t="shared" si="3"/>
        <v>0</v>
      </c>
      <c r="L1866" s="5">
        <f t="shared" si="4"/>
        <v>0</v>
      </c>
      <c r="M1866" s="5">
        <v>7044.538764110426</v>
      </c>
      <c r="N1866" s="5">
        <f t="shared" si="5"/>
        <v>0</v>
      </c>
      <c r="O1866" s="5">
        <f t="shared" si="6"/>
        <v>7044.538764</v>
      </c>
      <c r="P1866" s="5">
        <f t="shared" si="9"/>
        <v>11989.53211</v>
      </c>
      <c r="Q1866" s="5">
        <f t="shared" si="7"/>
        <v>11989.53211</v>
      </c>
      <c r="R1866" s="5">
        <f t="shared" si="8"/>
        <v>0</v>
      </c>
    </row>
    <row r="1867" ht="15.75" customHeight="1">
      <c r="A1867" s="4">
        <v>1999.0</v>
      </c>
      <c r="B1867" s="4">
        <v>326.0</v>
      </c>
      <c r="C1867" s="4" t="s">
        <v>20</v>
      </c>
      <c r="D1867" s="5" t="s">
        <v>19</v>
      </c>
      <c r="E1867" s="5" t="str">
        <f t="shared" si="1"/>
        <v/>
      </c>
      <c r="F1867" s="5" t="str">
        <f t="shared" si="2"/>
        <v/>
      </c>
      <c r="G1867" s="5" t="s">
        <v>19</v>
      </c>
      <c r="H1867" s="5" t="s">
        <v>19</v>
      </c>
      <c r="I1867" s="5" t="s">
        <v>19</v>
      </c>
      <c r="J1867" s="5">
        <v>0.0</v>
      </c>
      <c r="K1867" s="5">
        <f t="shared" si="3"/>
        <v>0</v>
      </c>
      <c r="L1867" s="5">
        <f t="shared" si="4"/>
        <v>0</v>
      </c>
      <c r="M1867" s="5">
        <v>12281.583164539872</v>
      </c>
      <c r="N1867" s="5">
        <f t="shared" si="5"/>
        <v>0</v>
      </c>
      <c r="O1867" s="5">
        <f t="shared" si="6"/>
        <v>12281.58316</v>
      </c>
      <c r="P1867" s="5">
        <f t="shared" si="9"/>
        <v>12281.58316</v>
      </c>
      <c r="Q1867" s="5">
        <f t="shared" si="7"/>
        <v>12281.58316</v>
      </c>
      <c r="R1867" s="5">
        <f t="shared" si="8"/>
        <v>0</v>
      </c>
    </row>
    <row r="1868" ht="15.75" customHeight="1">
      <c r="A1868" s="4">
        <v>1999.0</v>
      </c>
      <c r="B1868" s="4">
        <v>327.0</v>
      </c>
      <c r="C1868" s="4" t="s">
        <v>20</v>
      </c>
      <c r="D1868" s="5">
        <v>131330.4329890018</v>
      </c>
      <c r="E1868" s="5">
        <f t="shared" si="1"/>
        <v>0</v>
      </c>
      <c r="F1868" s="5">
        <f t="shared" si="2"/>
        <v>131330.433</v>
      </c>
      <c r="G1868" s="5">
        <v>10884.532964938651</v>
      </c>
      <c r="H1868" s="5">
        <v>4713.608795601228</v>
      </c>
      <c r="I1868" s="5">
        <v>6170.924169337423</v>
      </c>
      <c r="J1868" s="5">
        <v>433.20874601226996</v>
      </c>
      <c r="K1868" s="5">
        <f t="shared" si="3"/>
        <v>433.208746</v>
      </c>
      <c r="L1868" s="5">
        <f t="shared" si="4"/>
        <v>0</v>
      </c>
      <c r="M1868" s="5">
        <v>84564.09273023921</v>
      </c>
      <c r="N1868" s="5">
        <f t="shared" si="5"/>
        <v>0</v>
      </c>
      <c r="O1868" s="5">
        <f t="shared" si="6"/>
        <v>84564.09273</v>
      </c>
      <c r="P1868" s="5">
        <f t="shared" si="9"/>
        <v>227212.2674</v>
      </c>
      <c r="Q1868" s="5">
        <f t="shared" si="7"/>
        <v>222065.4499</v>
      </c>
      <c r="R1868" s="5">
        <f t="shared" si="8"/>
        <v>5146.817542</v>
      </c>
    </row>
    <row r="1869" ht="15.75" customHeight="1">
      <c r="A1869" s="4">
        <v>1999.0</v>
      </c>
      <c r="B1869" s="4">
        <v>328.0</v>
      </c>
      <c r="C1869" s="4" t="s">
        <v>20</v>
      </c>
      <c r="D1869" s="5">
        <v>24470.994255460115</v>
      </c>
      <c r="E1869" s="5">
        <f t="shared" si="1"/>
        <v>0</v>
      </c>
      <c r="F1869" s="5">
        <f t="shared" si="2"/>
        <v>24470.99426</v>
      </c>
      <c r="G1869" s="5" t="s">
        <v>19</v>
      </c>
      <c r="H1869" s="5" t="s">
        <v>19</v>
      </c>
      <c r="I1869" s="5" t="s">
        <v>19</v>
      </c>
      <c r="J1869" s="5">
        <v>0.0</v>
      </c>
      <c r="K1869" s="5">
        <f t="shared" si="3"/>
        <v>0</v>
      </c>
      <c r="L1869" s="5">
        <f t="shared" si="4"/>
        <v>0</v>
      </c>
      <c r="M1869" s="5">
        <v>296785.03267049056</v>
      </c>
      <c r="N1869" s="5">
        <f t="shared" si="5"/>
        <v>0</v>
      </c>
      <c r="O1869" s="5">
        <f t="shared" si="6"/>
        <v>296785.0327</v>
      </c>
      <c r="P1869" s="5">
        <f t="shared" si="9"/>
        <v>321256.0269</v>
      </c>
      <c r="Q1869" s="5">
        <f t="shared" si="7"/>
        <v>321256.0269</v>
      </c>
      <c r="R1869" s="5">
        <f t="shared" si="8"/>
        <v>0</v>
      </c>
    </row>
    <row r="1870" ht="15.75" customHeight="1">
      <c r="A1870" s="4">
        <v>1999.0</v>
      </c>
      <c r="B1870" s="4">
        <v>331.0</v>
      </c>
      <c r="C1870" s="4" t="s">
        <v>20</v>
      </c>
      <c r="D1870" s="5">
        <v>223166.87736456006</v>
      </c>
      <c r="E1870" s="5">
        <f t="shared" si="1"/>
        <v>0</v>
      </c>
      <c r="F1870" s="5">
        <f t="shared" si="2"/>
        <v>223166.8774</v>
      </c>
      <c r="G1870" s="5">
        <v>324516.348075408</v>
      </c>
      <c r="H1870" s="5">
        <v>69386.0584155724</v>
      </c>
      <c r="I1870" s="5">
        <v>255130.28965983563</v>
      </c>
      <c r="J1870" s="5">
        <v>7326.6429169325165</v>
      </c>
      <c r="K1870" s="5">
        <f t="shared" si="3"/>
        <v>7326.642917</v>
      </c>
      <c r="L1870" s="5">
        <f t="shared" si="4"/>
        <v>0</v>
      </c>
      <c r="M1870" s="5">
        <v>72052.52295975457</v>
      </c>
      <c r="N1870" s="5">
        <f t="shared" si="5"/>
        <v>0</v>
      </c>
      <c r="O1870" s="5">
        <f t="shared" si="6"/>
        <v>72052.52296</v>
      </c>
      <c r="P1870" s="5">
        <f t="shared" si="9"/>
        <v>627062.3913</v>
      </c>
      <c r="Q1870" s="5">
        <f t="shared" si="7"/>
        <v>550349.69</v>
      </c>
      <c r="R1870" s="5">
        <f t="shared" si="8"/>
        <v>76712.70133</v>
      </c>
    </row>
    <row r="1871" ht="15.75" customHeight="1">
      <c r="A1871" s="4">
        <v>1999.0</v>
      </c>
      <c r="B1871" s="4">
        <v>332.0</v>
      </c>
      <c r="C1871" s="4" t="s">
        <v>20</v>
      </c>
      <c r="D1871" s="5" t="s">
        <v>19</v>
      </c>
      <c r="E1871" s="5" t="str">
        <f t="shared" si="1"/>
        <v/>
      </c>
      <c r="F1871" s="5" t="str">
        <f t="shared" si="2"/>
        <v/>
      </c>
      <c r="G1871" s="5" t="s">
        <v>19</v>
      </c>
      <c r="H1871" s="5" t="s">
        <v>19</v>
      </c>
      <c r="I1871" s="5" t="s">
        <v>19</v>
      </c>
      <c r="J1871" s="5">
        <v>0.0</v>
      </c>
      <c r="K1871" s="5">
        <f t="shared" si="3"/>
        <v>0</v>
      </c>
      <c r="L1871" s="5">
        <f t="shared" si="4"/>
        <v>0</v>
      </c>
      <c r="M1871" s="5">
        <v>165558.38409220852</v>
      </c>
      <c r="N1871" s="5">
        <f t="shared" si="5"/>
        <v>0</v>
      </c>
      <c r="O1871" s="5">
        <f t="shared" si="6"/>
        <v>165558.3841</v>
      </c>
      <c r="P1871" s="5">
        <f t="shared" si="9"/>
        <v>165558.3841</v>
      </c>
      <c r="Q1871" s="5">
        <f t="shared" si="7"/>
        <v>165558.3841</v>
      </c>
      <c r="R1871" s="5">
        <f t="shared" si="8"/>
        <v>0</v>
      </c>
    </row>
    <row r="1872" ht="15.75" customHeight="1">
      <c r="A1872" s="4">
        <v>1999.0</v>
      </c>
      <c r="B1872" s="4">
        <v>333.0</v>
      </c>
      <c r="C1872" s="4" t="s">
        <v>20</v>
      </c>
      <c r="D1872" s="5" t="s">
        <v>19</v>
      </c>
      <c r="E1872" s="5" t="str">
        <f t="shared" si="1"/>
        <v/>
      </c>
      <c r="F1872" s="5" t="str">
        <f t="shared" si="2"/>
        <v/>
      </c>
      <c r="G1872" s="5" t="s">
        <v>19</v>
      </c>
      <c r="H1872" s="5" t="s">
        <v>19</v>
      </c>
      <c r="I1872" s="5" t="s">
        <v>19</v>
      </c>
      <c r="J1872" s="5">
        <v>0.0</v>
      </c>
      <c r="K1872" s="5">
        <f t="shared" si="3"/>
        <v>0</v>
      </c>
      <c r="L1872" s="5">
        <f t="shared" si="4"/>
        <v>0</v>
      </c>
      <c r="M1872" s="5">
        <v>13076.624907055211</v>
      </c>
      <c r="N1872" s="5">
        <f t="shared" si="5"/>
        <v>0</v>
      </c>
      <c r="O1872" s="5">
        <f t="shared" si="6"/>
        <v>13076.62491</v>
      </c>
      <c r="P1872" s="5">
        <f t="shared" si="9"/>
        <v>13076.62491</v>
      </c>
      <c r="Q1872" s="5">
        <f t="shared" si="7"/>
        <v>13076.62491</v>
      </c>
      <c r="R1872" s="5">
        <f t="shared" si="8"/>
        <v>0</v>
      </c>
    </row>
    <row r="1873" ht="15.75" customHeight="1">
      <c r="A1873" s="4">
        <v>1999.0</v>
      </c>
      <c r="B1873" s="4">
        <v>400.0</v>
      </c>
      <c r="C1873" s="4" t="s">
        <v>21</v>
      </c>
      <c r="D1873" s="5">
        <v>264.76428147239255</v>
      </c>
      <c r="E1873" s="5">
        <f t="shared" si="1"/>
        <v>0</v>
      </c>
      <c r="F1873" s="5">
        <f t="shared" si="2"/>
        <v>264.7642815</v>
      </c>
      <c r="G1873" s="5" t="s">
        <v>19</v>
      </c>
      <c r="H1873" s="5" t="s">
        <v>19</v>
      </c>
      <c r="I1873" s="5" t="s">
        <v>19</v>
      </c>
      <c r="J1873" s="5">
        <v>246588.0061621472</v>
      </c>
      <c r="K1873" s="5">
        <f t="shared" si="3"/>
        <v>246588.0062</v>
      </c>
      <c r="L1873" s="5">
        <f t="shared" si="4"/>
        <v>0</v>
      </c>
      <c r="M1873" s="5">
        <v>2154.5798284049088</v>
      </c>
      <c r="N1873" s="5">
        <f t="shared" si="5"/>
        <v>0</v>
      </c>
      <c r="O1873" s="5">
        <f t="shared" si="6"/>
        <v>2154.579828</v>
      </c>
      <c r="P1873" s="5">
        <f t="shared" si="9"/>
        <v>249007.3503</v>
      </c>
      <c r="Q1873" s="5">
        <f t="shared" si="7"/>
        <v>2419.34411</v>
      </c>
      <c r="R1873" s="5">
        <f t="shared" si="8"/>
        <v>246588.0062</v>
      </c>
    </row>
    <row r="1874" ht="15.75" customHeight="1">
      <c r="A1874" s="4">
        <v>1999.0</v>
      </c>
      <c r="B1874" s="4">
        <v>401.0</v>
      </c>
      <c r="C1874" s="4" t="s">
        <v>21</v>
      </c>
      <c r="D1874" s="5">
        <v>1110.539069509202</v>
      </c>
      <c r="E1874" s="5">
        <f t="shared" si="1"/>
        <v>0</v>
      </c>
      <c r="F1874" s="5">
        <f t="shared" si="2"/>
        <v>1110.53907</v>
      </c>
      <c r="G1874" s="5">
        <v>12126.158005398771</v>
      </c>
      <c r="H1874" s="5">
        <v>9531.329788858893</v>
      </c>
      <c r="I1874" s="5">
        <v>2594.8282165398778</v>
      </c>
      <c r="J1874" s="5">
        <v>418527.8085563191</v>
      </c>
      <c r="K1874" s="5">
        <f t="shared" si="3"/>
        <v>418527.8086</v>
      </c>
      <c r="L1874" s="5">
        <f t="shared" si="4"/>
        <v>0</v>
      </c>
      <c r="M1874" s="5">
        <v>1157.7388522085894</v>
      </c>
      <c r="N1874" s="5">
        <f t="shared" si="5"/>
        <v>0</v>
      </c>
      <c r="O1874" s="5">
        <f t="shared" si="6"/>
        <v>1157.738852</v>
      </c>
      <c r="P1874" s="5">
        <f t="shared" si="9"/>
        <v>432922.2445</v>
      </c>
      <c r="Q1874" s="5">
        <f t="shared" si="7"/>
        <v>4863.106138</v>
      </c>
      <c r="R1874" s="5">
        <f t="shared" si="8"/>
        <v>428059.1383</v>
      </c>
    </row>
    <row r="1875" ht="15.75" customHeight="1">
      <c r="A1875" s="4">
        <v>1999.0</v>
      </c>
      <c r="B1875" s="4">
        <v>402.0</v>
      </c>
      <c r="C1875" s="4" t="s">
        <v>21</v>
      </c>
      <c r="D1875" s="5">
        <v>1095.8299427607358</v>
      </c>
      <c r="E1875" s="5">
        <f t="shared" si="1"/>
        <v>0</v>
      </c>
      <c r="F1875" s="5">
        <f t="shared" si="2"/>
        <v>1095.829943</v>
      </c>
      <c r="G1875" s="5">
        <v>2748.878475582822</v>
      </c>
      <c r="H1875" s="5">
        <v>2008.3065880736197</v>
      </c>
      <c r="I1875" s="5">
        <v>740.5718875092023</v>
      </c>
      <c r="J1875" s="5">
        <v>262609.1255685276</v>
      </c>
      <c r="K1875" s="5">
        <f t="shared" si="3"/>
        <v>262609.1256</v>
      </c>
      <c r="L1875" s="5">
        <f t="shared" si="4"/>
        <v>0</v>
      </c>
      <c r="M1875" s="5">
        <v>7752.132251779141</v>
      </c>
      <c r="N1875" s="5">
        <f t="shared" si="5"/>
        <v>0</v>
      </c>
      <c r="O1875" s="5">
        <f t="shared" si="6"/>
        <v>7752.132252</v>
      </c>
      <c r="P1875" s="5">
        <f t="shared" si="9"/>
        <v>274205.9662</v>
      </c>
      <c r="Q1875" s="5">
        <f t="shared" si="7"/>
        <v>9588.534082</v>
      </c>
      <c r="R1875" s="5">
        <f t="shared" si="8"/>
        <v>264617.4322</v>
      </c>
    </row>
    <row r="1876" ht="15.75" customHeight="1">
      <c r="A1876" s="4">
        <v>1999.0</v>
      </c>
      <c r="B1876" s="4">
        <v>403.0</v>
      </c>
      <c r="C1876" s="4" t="s">
        <v>21</v>
      </c>
      <c r="D1876" s="5">
        <v>9994.851625582816</v>
      </c>
      <c r="E1876" s="5">
        <f t="shared" si="1"/>
        <v>0</v>
      </c>
      <c r="F1876" s="5">
        <f t="shared" si="2"/>
        <v>9994.851626</v>
      </c>
      <c r="G1876" s="5">
        <v>29841.93779533742</v>
      </c>
      <c r="H1876" s="5">
        <v>17301.681387190187</v>
      </c>
      <c r="I1876" s="5">
        <v>12540.256408147234</v>
      </c>
      <c r="J1876" s="5">
        <v>1202488.201925767</v>
      </c>
      <c r="K1876" s="5">
        <f t="shared" si="3"/>
        <v>1202488.202</v>
      </c>
      <c r="L1876" s="5">
        <f t="shared" si="4"/>
        <v>0</v>
      </c>
      <c r="M1876" s="5">
        <v>32939.303519263805</v>
      </c>
      <c r="N1876" s="5">
        <f t="shared" si="5"/>
        <v>0</v>
      </c>
      <c r="O1876" s="5">
        <f t="shared" si="6"/>
        <v>32939.30352</v>
      </c>
      <c r="P1876" s="5">
        <f t="shared" si="9"/>
        <v>1275264.295</v>
      </c>
      <c r="Q1876" s="5">
        <f t="shared" si="7"/>
        <v>55474.41155</v>
      </c>
      <c r="R1876" s="5">
        <f t="shared" si="8"/>
        <v>1219789.883</v>
      </c>
    </row>
    <row r="1877" ht="15.75" customHeight="1">
      <c r="A1877" s="4">
        <v>1999.0</v>
      </c>
      <c r="B1877" s="4">
        <v>404.0</v>
      </c>
      <c r="C1877" s="4" t="s">
        <v>21</v>
      </c>
      <c r="D1877" s="5">
        <v>41693.01976852759</v>
      </c>
      <c r="E1877" s="5">
        <f t="shared" si="1"/>
        <v>0</v>
      </c>
      <c r="F1877" s="5">
        <f t="shared" si="2"/>
        <v>41693.01977</v>
      </c>
      <c r="G1877" s="5">
        <v>30725.25350085889</v>
      </c>
      <c r="H1877" s="5">
        <v>19314.2278906503</v>
      </c>
      <c r="I1877" s="5">
        <v>11411.025610208588</v>
      </c>
      <c r="J1877" s="5">
        <v>722859.929019816</v>
      </c>
      <c r="K1877" s="5">
        <f t="shared" si="3"/>
        <v>722859.929</v>
      </c>
      <c r="L1877" s="5">
        <f t="shared" si="4"/>
        <v>0</v>
      </c>
      <c r="M1877" s="5">
        <v>7306.941136196321</v>
      </c>
      <c r="N1877" s="5">
        <f t="shared" si="5"/>
        <v>0</v>
      </c>
      <c r="O1877" s="5">
        <f t="shared" si="6"/>
        <v>7306.941136</v>
      </c>
      <c r="P1877" s="5">
        <f t="shared" si="9"/>
        <v>802585.1434</v>
      </c>
      <c r="Q1877" s="5">
        <f t="shared" si="7"/>
        <v>60410.98651</v>
      </c>
      <c r="R1877" s="5">
        <f t="shared" si="8"/>
        <v>742174.1569</v>
      </c>
    </row>
    <row r="1878" ht="15.75" customHeight="1">
      <c r="A1878" s="4">
        <v>1999.0</v>
      </c>
      <c r="B1878" s="4">
        <v>405.0</v>
      </c>
      <c r="C1878" s="4" t="s">
        <v>21</v>
      </c>
      <c r="D1878" s="5">
        <v>14944.472776441713</v>
      </c>
      <c r="E1878" s="5">
        <f t="shared" si="1"/>
        <v>0</v>
      </c>
      <c r="F1878" s="5">
        <f t="shared" si="2"/>
        <v>14944.47278</v>
      </c>
      <c r="G1878" s="5">
        <v>9101.68502969325</v>
      </c>
      <c r="H1878" s="5">
        <v>5784.657892319018</v>
      </c>
      <c r="I1878" s="5">
        <v>3317.0271373742316</v>
      </c>
      <c r="J1878" s="5">
        <v>179030.1583598773</v>
      </c>
      <c r="K1878" s="5">
        <f t="shared" si="3"/>
        <v>179030.1584</v>
      </c>
      <c r="L1878" s="5">
        <f t="shared" si="4"/>
        <v>0</v>
      </c>
      <c r="M1878" s="5">
        <v>1472.276053435583</v>
      </c>
      <c r="N1878" s="5">
        <f t="shared" si="5"/>
        <v>0</v>
      </c>
      <c r="O1878" s="5">
        <f t="shared" si="6"/>
        <v>1472.276053</v>
      </c>
      <c r="P1878" s="5">
        <f t="shared" si="9"/>
        <v>204548.5922</v>
      </c>
      <c r="Q1878" s="5">
        <f t="shared" si="7"/>
        <v>19733.77597</v>
      </c>
      <c r="R1878" s="5">
        <f t="shared" si="8"/>
        <v>184814.8163</v>
      </c>
    </row>
    <row r="1879" ht="15.75" customHeight="1">
      <c r="A1879" s="4">
        <v>1999.0</v>
      </c>
      <c r="B1879" s="4">
        <v>406.0</v>
      </c>
      <c r="C1879" s="4" t="s">
        <v>21</v>
      </c>
      <c r="D1879" s="5">
        <v>1397.3670411042942</v>
      </c>
      <c r="E1879" s="5">
        <f t="shared" si="1"/>
        <v>0</v>
      </c>
      <c r="F1879" s="5">
        <f t="shared" si="2"/>
        <v>1397.367041</v>
      </c>
      <c r="G1879" s="5" t="s">
        <v>19</v>
      </c>
      <c r="H1879" s="5" t="s">
        <v>19</v>
      </c>
      <c r="I1879" s="5" t="s">
        <v>19</v>
      </c>
      <c r="J1879" s="5">
        <v>99158.60158490798</v>
      </c>
      <c r="K1879" s="5">
        <f t="shared" si="3"/>
        <v>99158.60158</v>
      </c>
      <c r="L1879" s="5">
        <f t="shared" si="4"/>
        <v>0</v>
      </c>
      <c r="M1879" s="5">
        <v>3239.733172638038</v>
      </c>
      <c r="N1879" s="5">
        <f t="shared" si="5"/>
        <v>0</v>
      </c>
      <c r="O1879" s="5">
        <f t="shared" si="6"/>
        <v>3239.733173</v>
      </c>
      <c r="P1879" s="5">
        <f t="shared" si="9"/>
        <v>103795.7018</v>
      </c>
      <c r="Q1879" s="5">
        <f t="shared" si="7"/>
        <v>4637.100214</v>
      </c>
      <c r="R1879" s="5">
        <f t="shared" si="8"/>
        <v>99158.60158</v>
      </c>
    </row>
    <row r="1880" ht="15.75" customHeight="1">
      <c r="A1880" s="4">
        <v>1999.0</v>
      </c>
      <c r="B1880" s="4">
        <v>407.0</v>
      </c>
      <c r="C1880" s="4" t="s">
        <v>21</v>
      </c>
      <c r="D1880" s="5" t="s">
        <v>19</v>
      </c>
      <c r="E1880" s="5" t="str">
        <f t="shared" si="1"/>
        <v/>
      </c>
      <c r="F1880" s="5" t="str">
        <f t="shared" si="2"/>
        <v/>
      </c>
      <c r="G1880" s="5" t="s">
        <v>19</v>
      </c>
      <c r="H1880" s="5" t="s">
        <v>19</v>
      </c>
      <c r="I1880" s="5" t="s">
        <v>19</v>
      </c>
      <c r="J1880" s="5">
        <v>347001.9145796933</v>
      </c>
      <c r="K1880" s="5">
        <f t="shared" si="3"/>
        <v>347001.9146</v>
      </c>
      <c r="L1880" s="5">
        <f t="shared" si="4"/>
        <v>0</v>
      </c>
      <c r="M1880" s="5">
        <v>494.7912126993865</v>
      </c>
      <c r="N1880" s="5">
        <f t="shared" si="5"/>
        <v>0</v>
      </c>
      <c r="O1880" s="5">
        <f t="shared" si="6"/>
        <v>494.7912127</v>
      </c>
      <c r="P1880" s="5">
        <f t="shared" si="9"/>
        <v>347496.7058</v>
      </c>
      <c r="Q1880" s="5">
        <f t="shared" si="7"/>
        <v>494.7912127</v>
      </c>
      <c r="R1880" s="5">
        <f t="shared" si="8"/>
        <v>347001.9146</v>
      </c>
    </row>
    <row r="1881" ht="15.75" customHeight="1">
      <c r="A1881" s="4">
        <v>1999.0</v>
      </c>
      <c r="B1881" s="4">
        <v>408.0</v>
      </c>
      <c r="C1881" s="4" t="s">
        <v>21</v>
      </c>
      <c r="D1881" s="5" t="s">
        <v>19</v>
      </c>
      <c r="E1881" s="5" t="str">
        <f t="shared" si="1"/>
        <v/>
      </c>
      <c r="F1881" s="5" t="str">
        <f t="shared" si="2"/>
        <v/>
      </c>
      <c r="G1881" s="5">
        <v>1575.8352186503066</v>
      </c>
      <c r="H1881" s="5">
        <v>925.714859386503</v>
      </c>
      <c r="I1881" s="5">
        <v>650.1203592638036</v>
      </c>
      <c r="J1881" s="5">
        <v>92467.17787533742</v>
      </c>
      <c r="K1881" s="5">
        <f t="shared" si="3"/>
        <v>92467.17788</v>
      </c>
      <c r="L1881" s="5">
        <f t="shared" si="4"/>
        <v>0</v>
      </c>
      <c r="M1881" s="5">
        <v>464.54725104294494</v>
      </c>
      <c r="N1881" s="5">
        <f t="shared" si="5"/>
        <v>0</v>
      </c>
      <c r="O1881" s="5">
        <f t="shared" si="6"/>
        <v>464.547251</v>
      </c>
      <c r="P1881" s="5">
        <f t="shared" si="9"/>
        <v>94507.56035</v>
      </c>
      <c r="Q1881" s="5">
        <f t="shared" si="7"/>
        <v>1114.66761</v>
      </c>
      <c r="R1881" s="5">
        <f t="shared" si="8"/>
        <v>93392.89273</v>
      </c>
    </row>
    <row r="1882" ht="15.75" customHeight="1">
      <c r="A1882" s="4">
        <v>1999.0</v>
      </c>
      <c r="B1882" s="4">
        <v>409.0</v>
      </c>
      <c r="C1882" s="4" t="s">
        <v>21</v>
      </c>
      <c r="D1882" s="5">
        <v>1956.3138575460114</v>
      </c>
      <c r="E1882" s="5">
        <f t="shared" si="1"/>
        <v>0</v>
      </c>
      <c r="F1882" s="5">
        <f t="shared" si="2"/>
        <v>1956.313858</v>
      </c>
      <c r="G1882" s="5">
        <v>5116.164566380367</v>
      </c>
      <c r="H1882" s="5">
        <v>3698.6195221595085</v>
      </c>
      <c r="I1882" s="5">
        <v>1417.545044220859</v>
      </c>
      <c r="J1882" s="5">
        <v>107280.86231981595</v>
      </c>
      <c r="K1882" s="5">
        <f t="shared" si="3"/>
        <v>107280.8623</v>
      </c>
      <c r="L1882" s="5">
        <f t="shared" si="4"/>
        <v>0</v>
      </c>
      <c r="M1882" s="5">
        <v>1074.2655180368101</v>
      </c>
      <c r="N1882" s="5">
        <f t="shared" si="5"/>
        <v>0</v>
      </c>
      <c r="O1882" s="5">
        <f t="shared" si="6"/>
        <v>1074.265518</v>
      </c>
      <c r="P1882" s="5">
        <f t="shared" si="9"/>
        <v>115427.6063</v>
      </c>
      <c r="Q1882" s="5">
        <f t="shared" si="7"/>
        <v>4448.12442</v>
      </c>
      <c r="R1882" s="5">
        <f t="shared" si="8"/>
        <v>110979.4818</v>
      </c>
    </row>
    <row r="1883" ht="15.75" customHeight="1">
      <c r="A1883" s="4">
        <v>1999.0</v>
      </c>
      <c r="B1883" s="4">
        <v>420.0</v>
      </c>
      <c r="C1883" s="4" t="s">
        <v>21</v>
      </c>
      <c r="D1883" s="5">
        <v>3839.5233551521455</v>
      </c>
      <c r="E1883" s="5">
        <f t="shared" si="1"/>
        <v>0</v>
      </c>
      <c r="F1883" s="5">
        <f t="shared" si="2"/>
        <v>3839.523355</v>
      </c>
      <c r="G1883" s="5">
        <v>10380.726171288343</v>
      </c>
      <c r="H1883" s="5">
        <v>2440.7779574969322</v>
      </c>
      <c r="I1883" s="5">
        <v>7939.948213791411</v>
      </c>
      <c r="J1883" s="5">
        <v>595.7388358282209</v>
      </c>
      <c r="K1883" s="5">
        <f t="shared" si="3"/>
        <v>595.7388358</v>
      </c>
      <c r="L1883" s="5">
        <f t="shared" si="4"/>
        <v>0</v>
      </c>
      <c r="M1883" s="5">
        <v>57117.53622588958</v>
      </c>
      <c r="N1883" s="5">
        <f t="shared" si="5"/>
        <v>0</v>
      </c>
      <c r="O1883" s="5">
        <f t="shared" si="6"/>
        <v>57117.53623</v>
      </c>
      <c r="P1883" s="5">
        <f t="shared" si="9"/>
        <v>71933.52459</v>
      </c>
      <c r="Q1883" s="5">
        <f t="shared" si="7"/>
        <v>68897.00779</v>
      </c>
      <c r="R1883" s="5">
        <f t="shared" si="8"/>
        <v>3036.516793</v>
      </c>
    </row>
    <row r="1884" ht="15.75" customHeight="1">
      <c r="A1884" s="4">
        <v>1999.0</v>
      </c>
      <c r="B1884" s="4">
        <v>421.0</v>
      </c>
      <c r="C1884" s="4" t="s">
        <v>21</v>
      </c>
      <c r="D1884" s="5">
        <v>15790.24756447852</v>
      </c>
      <c r="E1884" s="5">
        <f t="shared" si="1"/>
        <v>0</v>
      </c>
      <c r="F1884" s="5">
        <f t="shared" si="2"/>
        <v>15790.24756</v>
      </c>
      <c r="G1884" s="5" t="s">
        <v>19</v>
      </c>
      <c r="H1884" s="5" t="s">
        <v>19</v>
      </c>
      <c r="I1884" s="5" t="s">
        <v>19</v>
      </c>
      <c r="J1884" s="5">
        <v>2446.7845042944787</v>
      </c>
      <c r="K1884" s="5">
        <f t="shared" si="3"/>
        <v>2446.784504</v>
      </c>
      <c r="L1884" s="5">
        <f t="shared" si="4"/>
        <v>0</v>
      </c>
      <c r="M1884" s="5">
        <v>288741.52145098173</v>
      </c>
      <c r="N1884" s="5">
        <f t="shared" si="5"/>
        <v>0</v>
      </c>
      <c r="O1884" s="5">
        <f t="shared" si="6"/>
        <v>288741.5215</v>
      </c>
      <c r="P1884" s="5">
        <f t="shared" si="9"/>
        <v>306978.5535</v>
      </c>
      <c r="Q1884" s="5">
        <f t="shared" si="7"/>
        <v>304531.769</v>
      </c>
      <c r="R1884" s="5">
        <f t="shared" si="8"/>
        <v>2446.784504</v>
      </c>
    </row>
    <row r="1885" ht="15.75" customHeight="1">
      <c r="A1885" s="4">
        <v>1999.0</v>
      </c>
      <c r="B1885" s="4">
        <v>422.0</v>
      </c>
      <c r="C1885" s="4" t="s">
        <v>21</v>
      </c>
      <c r="D1885" s="5">
        <v>10745.017089754596</v>
      </c>
      <c r="E1885" s="5">
        <f t="shared" si="1"/>
        <v>0</v>
      </c>
      <c r="F1885" s="5">
        <f t="shared" si="2"/>
        <v>10745.01709</v>
      </c>
      <c r="G1885" s="5">
        <v>4805.237438036809</v>
      </c>
      <c r="H1885" s="5">
        <v>3136.124080883435</v>
      </c>
      <c r="I1885" s="5">
        <v>1669.1133571533742</v>
      </c>
      <c r="J1885" s="5">
        <v>2914.865018159509</v>
      </c>
      <c r="K1885" s="5">
        <f t="shared" si="3"/>
        <v>2914.865018</v>
      </c>
      <c r="L1885" s="5">
        <f t="shared" si="4"/>
        <v>0</v>
      </c>
      <c r="M1885" s="5">
        <v>169044.38952404913</v>
      </c>
      <c r="N1885" s="5">
        <f t="shared" si="5"/>
        <v>0</v>
      </c>
      <c r="O1885" s="5">
        <f t="shared" si="6"/>
        <v>169044.3895</v>
      </c>
      <c r="P1885" s="5">
        <f t="shared" si="9"/>
        <v>187509.5091</v>
      </c>
      <c r="Q1885" s="5">
        <f t="shared" si="7"/>
        <v>181458.52</v>
      </c>
      <c r="R1885" s="5">
        <f t="shared" si="8"/>
        <v>6050.989099</v>
      </c>
    </row>
    <row r="1886" ht="15.75" customHeight="1">
      <c r="A1886" s="4">
        <v>1999.0</v>
      </c>
      <c r="B1886" s="4">
        <v>423.0</v>
      </c>
      <c r="C1886" s="4" t="s">
        <v>21</v>
      </c>
      <c r="D1886" s="5">
        <v>12532.175989693247</v>
      </c>
      <c r="E1886" s="5">
        <f t="shared" si="1"/>
        <v>0</v>
      </c>
      <c r="F1886" s="5">
        <f t="shared" si="2"/>
        <v>12532.17599</v>
      </c>
      <c r="G1886" s="5">
        <v>12825.744044171777</v>
      </c>
      <c r="H1886" s="5">
        <v>6720.265887607362</v>
      </c>
      <c r="I1886" s="5">
        <v>6105.478156564415</v>
      </c>
      <c r="J1886" s="5">
        <v>12366.899940184048</v>
      </c>
      <c r="K1886" s="5">
        <f t="shared" si="3"/>
        <v>12366.89994</v>
      </c>
      <c r="L1886" s="5">
        <f t="shared" si="4"/>
        <v>0</v>
      </c>
      <c r="M1886" s="5">
        <v>525180.345371779</v>
      </c>
      <c r="N1886" s="5">
        <f t="shared" si="5"/>
        <v>0</v>
      </c>
      <c r="O1886" s="5">
        <f t="shared" si="6"/>
        <v>525180.3454</v>
      </c>
      <c r="P1886" s="5">
        <f t="shared" si="9"/>
        <v>562905.1653</v>
      </c>
      <c r="Q1886" s="5">
        <f t="shared" si="7"/>
        <v>543817.9995</v>
      </c>
      <c r="R1886" s="5">
        <f t="shared" si="8"/>
        <v>19087.16583</v>
      </c>
    </row>
    <row r="1887" ht="15.75" customHeight="1">
      <c r="A1887" s="4">
        <v>1999.0</v>
      </c>
      <c r="B1887" s="4">
        <v>424.0</v>
      </c>
      <c r="C1887" s="4" t="s">
        <v>21</v>
      </c>
      <c r="D1887" s="5">
        <v>49635.94821269937</v>
      </c>
      <c r="E1887" s="5">
        <f t="shared" si="1"/>
        <v>0</v>
      </c>
      <c r="F1887" s="5">
        <f t="shared" si="2"/>
        <v>49635.94821</v>
      </c>
      <c r="G1887" s="5">
        <v>7017.059964662576</v>
      </c>
      <c r="H1887" s="5">
        <v>3056.9789936687116</v>
      </c>
      <c r="I1887" s="5">
        <v>3960.0809709938644</v>
      </c>
      <c r="J1887" s="5">
        <v>1117.0103171779142</v>
      </c>
      <c r="K1887" s="5">
        <f t="shared" si="3"/>
        <v>1117.010317</v>
      </c>
      <c r="L1887" s="5">
        <f t="shared" si="4"/>
        <v>0</v>
      </c>
      <c r="M1887" s="5">
        <v>201450.18955969333</v>
      </c>
      <c r="N1887" s="5">
        <f t="shared" si="5"/>
        <v>0</v>
      </c>
      <c r="O1887" s="5">
        <f t="shared" si="6"/>
        <v>201450.1896</v>
      </c>
      <c r="P1887" s="5">
        <f t="shared" si="9"/>
        <v>259220.2081</v>
      </c>
      <c r="Q1887" s="5">
        <f t="shared" si="7"/>
        <v>255046.2187</v>
      </c>
      <c r="R1887" s="5">
        <f t="shared" si="8"/>
        <v>4173.989311</v>
      </c>
    </row>
    <row r="1888" ht="15.75" customHeight="1">
      <c r="A1888" s="4">
        <v>1999.0</v>
      </c>
      <c r="B1888" s="4">
        <v>425.0</v>
      </c>
      <c r="C1888" s="4" t="s">
        <v>21</v>
      </c>
      <c r="D1888" s="5">
        <v>20982.56930668711</v>
      </c>
      <c r="E1888" s="5">
        <f t="shared" si="1"/>
        <v>0</v>
      </c>
      <c r="F1888" s="5">
        <f t="shared" si="2"/>
        <v>20982.56931</v>
      </c>
      <c r="G1888" s="5">
        <v>2487.417026748466</v>
      </c>
      <c r="H1888" s="5">
        <v>1307.307244171779</v>
      </c>
      <c r="I1888" s="5">
        <v>1180.109782576687</v>
      </c>
      <c r="J1888" s="5">
        <v>212.76386993865032</v>
      </c>
      <c r="K1888" s="5">
        <f t="shared" si="3"/>
        <v>212.7638699</v>
      </c>
      <c r="L1888" s="5">
        <f t="shared" si="4"/>
        <v>0</v>
      </c>
      <c r="M1888" s="5">
        <v>234919.36728717806</v>
      </c>
      <c r="N1888" s="5">
        <f t="shared" si="5"/>
        <v>0</v>
      </c>
      <c r="O1888" s="5">
        <f t="shared" si="6"/>
        <v>234919.3673</v>
      </c>
      <c r="P1888" s="5">
        <f t="shared" si="9"/>
        <v>258602.1175</v>
      </c>
      <c r="Q1888" s="5">
        <f t="shared" si="7"/>
        <v>257082.0464</v>
      </c>
      <c r="R1888" s="5">
        <f t="shared" si="8"/>
        <v>1520.071114</v>
      </c>
    </row>
    <row r="1889" ht="15.75" customHeight="1">
      <c r="A1889" s="4">
        <v>1999.0</v>
      </c>
      <c r="B1889" s="4">
        <v>426.0</v>
      </c>
      <c r="C1889" s="4" t="s">
        <v>21</v>
      </c>
      <c r="D1889" s="5">
        <v>1956.3138575460114</v>
      </c>
      <c r="E1889" s="5">
        <f t="shared" si="1"/>
        <v>0</v>
      </c>
      <c r="F1889" s="5">
        <f t="shared" si="2"/>
        <v>1956.313858</v>
      </c>
      <c r="G1889" s="5" t="s">
        <v>19</v>
      </c>
      <c r="H1889" s="5" t="s">
        <v>19</v>
      </c>
      <c r="I1889" s="5" t="s">
        <v>19</v>
      </c>
      <c r="J1889" s="5">
        <v>0.0</v>
      </c>
      <c r="K1889" s="5">
        <f t="shared" si="3"/>
        <v>0</v>
      </c>
      <c r="L1889" s="5">
        <f t="shared" si="4"/>
        <v>0</v>
      </c>
      <c r="M1889" s="5">
        <v>255758.66662693257</v>
      </c>
      <c r="N1889" s="5">
        <f t="shared" si="5"/>
        <v>0</v>
      </c>
      <c r="O1889" s="5">
        <f t="shared" si="6"/>
        <v>255758.6666</v>
      </c>
      <c r="P1889" s="5">
        <f t="shared" si="9"/>
        <v>257714.9805</v>
      </c>
      <c r="Q1889" s="5">
        <f t="shared" si="7"/>
        <v>257714.9805</v>
      </c>
      <c r="R1889" s="5">
        <f t="shared" si="8"/>
        <v>0</v>
      </c>
    </row>
    <row r="1890" ht="15.75" customHeight="1">
      <c r="A1890" s="4">
        <v>1999.0</v>
      </c>
      <c r="B1890" s="4">
        <v>427.0</v>
      </c>
      <c r="C1890" s="4" t="s">
        <v>21</v>
      </c>
      <c r="D1890" s="5">
        <v>3791.277419417176</v>
      </c>
      <c r="E1890" s="5">
        <f t="shared" si="1"/>
        <v>0</v>
      </c>
      <c r="F1890" s="5">
        <f t="shared" si="2"/>
        <v>3791.277419</v>
      </c>
      <c r="G1890" s="5" t="s">
        <v>19</v>
      </c>
      <c r="H1890" s="5" t="s">
        <v>19</v>
      </c>
      <c r="I1890" s="5" t="s">
        <v>19</v>
      </c>
      <c r="J1890" s="5">
        <v>0.0</v>
      </c>
      <c r="K1890" s="5">
        <f t="shared" si="3"/>
        <v>0</v>
      </c>
      <c r="L1890" s="5">
        <f t="shared" si="4"/>
        <v>0</v>
      </c>
      <c r="M1890" s="5">
        <v>343930.70268165646</v>
      </c>
      <c r="N1890" s="5">
        <f t="shared" si="5"/>
        <v>0</v>
      </c>
      <c r="O1890" s="5">
        <f t="shared" si="6"/>
        <v>343930.7027</v>
      </c>
      <c r="P1890" s="5">
        <f t="shared" si="9"/>
        <v>347721.9801</v>
      </c>
      <c r="Q1890" s="5">
        <f t="shared" si="7"/>
        <v>347721.9801</v>
      </c>
      <c r="R1890" s="5">
        <f t="shared" si="8"/>
        <v>0</v>
      </c>
    </row>
    <row r="1891" ht="15.75" customHeight="1">
      <c r="A1891" s="4">
        <v>1999.0</v>
      </c>
      <c r="B1891" s="4">
        <v>428.0</v>
      </c>
      <c r="C1891" s="4" t="s">
        <v>21</v>
      </c>
      <c r="D1891" s="5">
        <v>13392.659904478523</v>
      </c>
      <c r="E1891" s="5">
        <f t="shared" si="1"/>
        <v>0</v>
      </c>
      <c r="F1891" s="5">
        <f t="shared" si="2"/>
        <v>13392.6599</v>
      </c>
      <c r="G1891" s="5" t="s">
        <v>19</v>
      </c>
      <c r="H1891" s="5" t="s">
        <v>19</v>
      </c>
      <c r="I1891" s="5" t="s">
        <v>19</v>
      </c>
      <c r="J1891" s="5">
        <v>0.0</v>
      </c>
      <c r="K1891" s="5">
        <f t="shared" si="3"/>
        <v>0</v>
      </c>
      <c r="L1891" s="5">
        <f t="shared" si="4"/>
        <v>0</v>
      </c>
      <c r="M1891" s="5">
        <v>212720.29943134962</v>
      </c>
      <c r="N1891" s="5">
        <f t="shared" si="5"/>
        <v>0</v>
      </c>
      <c r="O1891" s="5">
        <f t="shared" si="6"/>
        <v>212720.2994</v>
      </c>
      <c r="P1891" s="5">
        <f t="shared" si="9"/>
        <v>226112.9593</v>
      </c>
      <c r="Q1891" s="5">
        <f t="shared" si="7"/>
        <v>226112.9593</v>
      </c>
      <c r="R1891" s="5">
        <f t="shared" si="8"/>
        <v>0</v>
      </c>
    </row>
    <row r="1892" ht="15.75" customHeight="1">
      <c r="A1892" s="4">
        <v>1999.0</v>
      </c>
      <c r="B1892" s="4">
        <v>429.0</v>
      </c>
      <c r="C1892" s="4" t="s">
        <v>21</v>
      </c>
      <c r="D1892" s="5">
        <v>37118.48134975459</v>
      </c>
      <c r="E1892" s="5">
        <f t="shared" si="1"/>
        <v>0</v>
      </c>
      <c r="F1892" s="5">
        <f t="shared" si="2"/>
        <v>37118.48135</v>
      </c>
      <c r="G1892" s="5">
        <v>7801.444311165644</v>
      </c>
      <c r="H1892" s="5">
        <v>3010.3399244171783</v>
      </c>
      <c r="I1892" s="5">
        <v>4791.104386748466</v>
      </c>
      <c r="J1892" s="5">
        <v>340.4221919018405</v>
      </c>
      <c r="K1892" s="5">
        <f t="shared" si="3"/>
        <v>340.4221919</v>
      </c>
      <c r="L1892" s="5">
        <f t="shared" si="4"/>
        <v>0</v>
      </c>
      <c r="M1892" s="5">
        <v>33495.79241374231</v>
      </c>
      <c r="N1892" s="5">
        <f t="shared" si="5"/>
        <v>0</v>
      </c>
      <c r="O1892" s="5">
        <f t="shared" si="6"/>
        <v>33495.79241</v>
      </c>
      <c r="P1892" s="5">
        <f t="shared" si="9"/>
        <v>78756.14027</v>
      </c>
      <c r="Q1892" s="5">
        <f t="shared" si="7"/>
        <v>75405.37815</v>
      </c>
      <c r="R1892" s="5">
        <f t="shared" si="8"/>
        <v>3350.762116</v>
      </c>
    </row>
    <row r="1893" ht="15.75" customHeight="1">
      <c r="A1893" s="4">
        <v>1999.0</v>
      </c>
      <c r="B1893" s="4">
        <v>500.0</v>
      </c>
      <c r="C1893" s="4" t="s">
        <v>22</v>
      </c>
      <c r="D1893" s="5">
        <v>19722.8650980368</v>
      </c>
      <c r="E1893" s="5">
        <f t="shared" si="1"/>
        <v>0</v>
      </c>
      <c r="F1893" s="5">
        <f t="shared" si="2"/>
        <v>19722.8651</v>
      </c>
      <c r="G1893" s="5">
        <v>51766.52489693252</v>
      </c>
      <c r="H1893" s="5">
        <v>34673.48267938651</v>
      </c>
      <c r="I1893" s="5">
        <v>17093.04221754601</v>
      </c>
      <c r="J1893" s="5">
        <v>1882924.3978609203</v>
      </c>
      <c r="K1893" s="5">
        <f t="shared" si="3"/>
        <v>1882924.398</v>
      </c>
      <c r="L1893" s="5">
        <f t="shared" si="4"/>
        <v>0</v>
      </c>
      <c r="M1893" s="5">
        <v>39197.24503900367</v>
      </c>
      <c r="N1893" s="5">
        <f t="shared" si="5"/>
        <v>0</v>
      </c>
      <c r="O1893" s="5">
        <f t="shared" si="6"/>
        <v>39197.24504</v>
      </c>
      <c r="P1893" s="5">
        <f t="shared" si="9"/>
        <v>1993611.033</v>
      </c>
      <c r="Q1893" s="5">
        <f t="shared" si="7"/>
        <v>76013.15235</v>
      </c>
      <c r="R1893" s="5">
        <f t="shared" si="8"/>
        <v>1917597.881</v>
      </c>
    </row>
    <row r="1894" ht="15.75" customHeight="1">
      <c r="A1894" s="4">
        <v>1999.0</v>
      </c>
      <c r="B1894" s="4">
        <v>501.0</v>
      </c>
      <c r="C1894" s="4" t="s">
        <v>22</v>
      </c>
      <c r="D1894" s="5" t="s">
        <v>19</v>
      </c>
      <c r="E1894" s="5" t="str">
        <f t="shared" si="1"/>
        <v/>
      </c>
      <c r="F1894" s="5" t="str">
        <f t="shared" si="2"/>
        <v/>
      </c>
      <c r="G1894" s="5">
        <v>3715.878742944785</v>
      </c>
      <c r="H1894" s="5">
        <v>2444.096152147239</v>
      </c>
      <c r="I1894" s="5">
        <v>1271.7825907975457</v>
      </c>
      <c r="J1894" s="5">
        <v>12714.158227546013</v>
      </c>
      <c r="K1894" s="5">
        <f t="shared" si="3"/>
        <v>12714.15823</v>
      </c>
      <c r="L1894" s="5">
        <f t="shared" si="4"/>
        <v>0</v>
      </c>
      <c r="M1894" s="5">
        <v>5740.745580245397</v>
      </c>
      <c r="N1894" s="5">
        <f t="shared" si="5"/>
        <v>0</v>
      </c>
      <c r="O1894" s="5">
        <f t="shared" si="6"/>
        <v>5740.74558</v>
      </c>
      <c r="P1894" s="5">
        <f t="shared" si="9"/>
        <v>22170.78255</v>
      </c>
      <c r="Q1894" s="5">
        <f t="shared" si="7"/>
        <v>7012.528171</v>
      </c>
      <c r="R1894" s="5">
        <f t="shared" si="8"/>
        <v>15158.25438</v>
      </c>
    </row>
    <row r="1895" ht="15.75" customHeight="1">
      <c r="A1895" s="4">
        <v>1999.0</v>
      </c>
      <c r="B1895" s="4">
        <v>502.0</v>
      </c>
      <c r="C1895" s="4" t="s">
        <v>22</v>
      </c>
      <c r="D1895" s="5">
        <v>6234.922312453985</v>
      </c>
      <c r="E1895" s="5">
        <f t="shared" si="1"/>
        <v>0</v>
      </c>
      <c r="F1895" s="5">
        <f t="shared" si="2"/>
        <v>6234.922312</v>
      </c>
      <c r="G1895" s="5">
        <v>2287.7876773006137</v>
      </c>
      <c r="H1895" s="5">
        <v>1280.308507607362</v>
      </c>
      <c r="I1895" s="5">
        <v>1007.4791696932518</v>
      </c>
      <c r="J1895" s="5">
        <v>424.35638644171786</v>
      </c>
      <c r="K1895" s="5">
        <f t="shared" si="3"/>
        <v>424.3563864</v>
      </c>
      <c r="L1895" s="5">
        <f t="shared" si="4"/>
        <v>0</v>
      </c>
      <c r="M1895" s="5">
        <v>10271.886314355823</v>
      </c>
      <c r="N1895" s="5">
        <f t="shared" si="5"/>
        <v>0</v>
      </c>
      <c r="O1895" s="5">
        <f t="shared" si="6"/>
        <v>10271.88631</v>
      </c>
      <c r="P1895" s="5">
        <f t="shared" si="9"/>
        <v>19218.95269</v>
      </c>
      <c r="Q1895" s="5">
        <f t="shared" si="7"/>
        <v>17514.2878</v>
      </c>
      <c r="R1895" s="5">
        <f t="shared" si="8"/>
        <v>1704.664894</v>
      </c>
    </row>
    <row r="1896" ht="15.75" customHeight="1">
      <c r="A1896" s="4">
        <v>1999.0</v>
      </c>
      <c r="B1896" s="4">
        <v>503.0</v>
      </c>
      <c r="C1896" s="4" t="s">
        <v>22</v>
      </c>
      <c r="D1896" s="5" t="s">
        <v>19</v>
      </c>
      <c r="E1896" s="5" t="str">
        <f t="shared" si="1"/>
        <v/>
      </c>
      <c r="F1896" s="5" t="str">
        <f t="shared" si="2"/>
        <v/>
      </c>
      <c r="G1896" s="5">
        <v>4426.371810429448</v>
      </c>
      <c r="H1896" s="5">
        <v>2633.0873080981596</v>
      </c>
      <c r="I1896" s="5">
        <v>1793.284502331288</v>
      </c>
      <c r="J1896" s="5">
        <v>228303.7359056442</v>
      </c>
      <c r="K1896" s="5">
        <f t="shared" si="3"/>
        <v>228303.7359</v>
      </c>
      <c r="L1896" s="5">
        <f t="shared" si="4"/>
        <v>0</v>
      </c>
      <c r="M1896" s="5">
        <v>25474.86335226994</v>
      </c>
      <c r="N1896" s="5">
        <f t="shared" si="5"/>
        <v>0</v>
      </c>
      <c r="O1896" s="5">
        <f t="shared" si="6"/>
        <v>25474.86335</v>
      </c>
      <c r="P1896" s="5">
        <f t="shared" si="9"/>
        <v>258204.9711</v>
      </c>
      <c r="Q1896" s="5">
        <f t="shared" si="7"/>
        <v>27268.14785</v>
      </c>
      <c r="R1896" s="5">
        <f t="shared" si="8"/>
        <v>230936.8232</v>
      </c>
    </row>
    <row r="1897" ht="15.75" customHeight="1">
      <c r="A1897" s="4">
        <v>1999.0</v>
      </c>
      <c r="B1897" s="4">
        <v>504.0</v>
      </c>
      <c r="C1897" s="4" t="s">
        <v>22</v>
      </c>
      <c r="D1897" s="5">
        <v>11384.86410331288</v>
      </c>
      <c r="E1897" s="5">
        <f t="shared" si="1"/>
        <v>0</v>
      </c>
      <c r="F1897" s="5">
        <f t="shared" si="2"/>
        <v>11384.8641</v>
      </c>
      <c r="G1897" s="5">
        <v>10763.969972392639</v>
      </c>
      <c r="H1897" s="5">
        <v>6113.082352638038</v>
      </c>
      <c r="I1897" s="5">
        <v>4650.887619754601</v>
      </c>
      <c r="J1897" s="5">
        <v>182930.66928779142</v>
      </c>
      <c r="K1897" s="5">
        <f t="shared" si="3"/>
        <v>182930.6693</v>
      </c>
      <c r="L1897" s="5">
        <f t="shared" si="4"/>
        <v>0</v>
      </c>
      <c r="M1897" s="5">
        <v>42470.29918435581</v>
      </c>
      <c r="N1897" s="5">
        <f t="shared" si="5"/>
        <v>0</v>
      </c>
      <c r="O1897" s="5">
        <f t="shared" si="6"/>
        <v>42470.29918</v>
      </c>
      <c r="P1897" s="5">
        <f t="shared" si="9"/>
        <v>247549.8025</v>
      </c>
      <c r="Q1897" s="5">
        <f t="shared" si="7"/>
        <v>58506.05091</v>
      </c>
      <c r="R1897" s="5">
        <f t="shared" si="8"/>
        <v>189043.7516</v>
      </c>
    </row>
    <row r="1898" ht="15.75" customHeight="1">
      <c r="A1898" s="4">
        <v>1999.0</v>
      </c>
      <c r="B1898" s="4">
        <v>505.0</v>
      </c>
      <c r="C1898" s="4" t="s">
        <v>22</v>
      </c>
      <c r="D1898" s="5">
        <v>5640.412437607359</v>
      </c>
      <c r="E1898" s="5">
        <f t="shared" si="1"/>
        <v>0</v>
      </c>
      <c r="F1898" s="5">
        <f t="shared" si="2"/>
        <v>5640.412438</v>
      </c>
      <c r="G1898" s="5">
        <v>13648.571826380368</v>
      </c>
      <c r="H1898" s="5">
        <v>4089.598096441719</v>
      </c>
      <c r="I1898" s="5">
        <v>9558.973729938649</v>
      </c>
      <c r="J1898" s="5">
        <v>6045.700726319019</v>
      </c>
      <c r="K1898" s="5">
        <f t="shared" si="3"/>
        <v>6045.700726</v>
      </c>
      <c r="L1898" s="5">
        <f t="shared" si="4"/>
        <v>0</v>
      </c>
      <c r="M1898" s="5">
        <v>41109.49373245398</v>
      </c>
      <c r="N1898" s="5">
        <f t="shared" si="5"/>
        <v>0</v>
      </c>
      <c r="O1898" s="5">
        <f t="shared" si="6"/>
        <v>41109.49373</v>
      </c>
      <c r="P1898" s="5">
        <f t="shared" si="9"/>
        <v>66444.17872</v>
      </c>
      <c r="Q1898" s="5">
        <f t="shared" si="7"/>
        <v>56308.8799</v>
      </c>
      <c r="R1898" s="5">
        <f t="shared" si="8"/>
        <v>10135.29882</v>
      </c>
    </row>
    <row r="1899" ht="15.75" customHeight="1">
      <c r="A1899" s="4">
        <v>1999.0</v>
      </c>
      <c r="B1899" s="4">
        <v>506.0</v>
      </c>
      <c r="C1899" s="4" t="s">
        <v>22</v>
      </c>
      <c r="D1899" s="5">
        <v>6926.040041963189</v>
      </c>
      <c r="E1899" s="5">
        <f t="shared" si="1"/>
        <v>0</v>
      </c>
      <c r="F1899" s="5">
        <f t="shared" si="2"/>
        <v>6926.040042</v>
      </c>
      <c r="G1899" s="5">
        <v>5975.246697546012</v>
      </c>
      <c r="H1899" s="5">
        <v>2976.9659527607364</v>
      </c>
      <c r="I1899" s="5">
        <v>2998.2807447852756</v>
      </c>
      <c r="J1899" s="5">
        <v>1049444.365914172</v>
      </c>
      <c r="K1899" s="5">
        <f t="shared" si="3"/>
        <v>1049444.366</v>
      </c>
      <c r="L1899" s="5">
        <f t="shared" si="4"/>
        <v>0</v>
      </c>
      <c r="M1899" s="5">
        <v>20021.886666871156</v>
      </c>
      <c r="N1899" s="5">
        <f t="shared" si="5"/>
        <v>0</v>
      </c>
      <c r="O1899" s="5">
        <f t="shared" si="6"/>
        <v>20021.88667</v>
      </c>
      <c r="P1899" s="5">
        <f t="shared" si="9"/>
        <v>1082367.539</v>
      </c>
      <c r="Q1899" s="5">
        <f t="shared" si="7"/>
        <v>29946.20745</v>
      </c>
      <c r="R1899" s="5">
        <f t="shared" si="8"/>
        <v>1052421.332</v>
      </c>
    </row>
    <row r="1900" ht="15.75" customHeight="1">
      <c r="A1900" s="4">
        <v>1999.0</v>
      </c>
      <c r="B1900" s="4">
        <v>507.0</v>
      </c>
      <c r="C1900" s="4" t="s">
        <v>22</v>
      </c>
      <c r="D1900" s="5" t="s">
        <v>19</v>
      </c>
      <c r="E1900" s="5" t="str">
        <f t="shared" si="1"/>
        <v/>
      </c>
      <c r="F1900" s="5" t="str">
        <f t="shared" si="2"/>
        <v/>
      </c>
      <c r="G1900" s="5" t="s">
        <v>19</v>
      </c>
      <c r="H1900" s="5" t="s">
        <v>19</v>
      </c>
      <c r="I1900" s="5" t="s">
        <v>19</v>
      </c>
      <c r="J1900" s="5">
        <v>0.0</v>
      </c>
      <c r="K1900" s="5">
        <f t="shared" si="3"/>
        <v>0</v>
      </c>
      <c r="L1900" s="5">
        <f t="shared" si="4"/>
        <v>0</v>
      </c>
      <c r="M1900" s="5">
        <v>0.0</v>
      </c>
      <c r="N1900" s="5">
        <f t="shared" si="5"/>
        <v>0</v>
      </c>
      <c r="O1900" s="5">
        <f t="shared" si="6"/>
        <v>0</v>
      </c>
      <c r="P1900" s="5">
        <f t="shared" si="9"/>
        <v>0</v>
      </c>
      <c r="Q1900" s="5">
        <f t="shared" si="7"/>
        <v>0</v>
      </c>
      <c r="R1900" s="5">
        <f t="shared" si="8"/>
        <v>0</v>
      </c>
    </row>
    <row r="1901" ht="15.75" customHeight="1">
      <c r="A1901" s="4">
        <v>1999.0</v>
      </c>
      <c r="B1901" s="4">
        <v>508.0</v>
      </c>
      <c r="C1901" s="4" t="s">
        <v>22</v>
      </c>
      <c r="D1901" s="5">
        <v>3592.7718011668694</v>
      </c>
      <c r="E1901" s="5">
        <f t="shared" si="1"/>
        <v>0</v>
      </c>
      <c r="F1901" s="5">
        <f t="shared" si="2"/>
        <v>3592.771801</v>
      </c>
      <c r="G1901" s="5" t="s">
        <v>19</v>
      </c>
      <c r="H1901" s="5" t="s">
        <v>19</v>
      </c>
      <c r="I1901" s="5" t="s">
        <v>19</v>
      </c>
      <c r="J1901" s="5">
        <v>0.0</v>
      </c>
      <c r="K1901" s="5">
        <f t="shared" si="3"/>
        <v>0</v>
      </c>
      <c r="L1901" s="5">
        <f t="shared" si="4"/>
        <v>0</v>
      </c>
      <c r="M1901" s="5">
        <v>37495.31151073618</v>
      </c>
      <c r="N1901" s="5">
        <f t="shared" si="5"/>
        <v>0</v>
      </c>
      <c r="O1901" s="5">
        <f t="shared" si="6"/>
        <v>37495.31151</v>
      </c>
      <c r="P1901" s="5">
        <f t="shared" si="9"/>
        <v>41088.08331</v>
      </c>
      <c r="Q1901" s="5">
        <f t="shared" si="7"/>
        <v>41088.08331</v>
      </c>
      <c r="R1901" s="5">
        <f t="shared" si="8"/>
        <v>0</v>
      </c>
    </row>
    <row r="1902" ht="15.75" customHeight="1">
      <c r="A1902" s="4">
        <v>1999.0</v>
      </c>
      <c r="B1902" s="4">
        <v>520.0</v>
      </c>
      <c r="C1902" s="4" t="s">
        <v>22</v>
      </c>
      <c r="D1902" s="5">
        <v>26804.963982147234</v>
      </c>
      <c r="E1902" s="5">
        <f t="shared" si="1"/>
        <v>0</v>
      </c>
      <c r="F1902" s="5">
        <f t="shared" si="2"/>
        <v>26804.96398</v>
      </c>
      <c r="G1902" s="5">
        <v>21826.347033128834</v>
      </c>
      <c r="H1902" s="5">
        <v>13564.73364441718</v>
      </c>
      <c r="I1902" s="5">
        <v>8261.613388711654</v>
      </c>
      <c r="J1902" s="5">
        <v>9479.129671165645</v>
      </c>
      <c r="K1902" s="5">
        <f t="shared" si="3"/>
        <v>9479.129671</v>
      </c>
      <c r="L1902" s="5">
        <f t="shared" si="4"/>
        <v>0</v>
      </c>
      <c r="M1902" s="5">
        <v>570411.6014138649</v>
      </c>
      <c r="N1902" s="5">
        <f t="shared" si="5"/>
        <v>0</v>
      </c>
      <c r="O1902" s="5">
        <f t="shared" si="6"/>
        <v>570411.6014</v>
      </c>
      <c r="P1902" s="5">
        <f t="shared" si="9"/>
        <v>628522.0421</v>
      </c>
      <c r="Q1902" s="5">
        <f t="shared" si="7"/>
        <v>605478.1788</v>
      </c>
      <c r="R1902" s="5">
        <f t="shared" si="8"/>
        <v>23043.86332</v>
      </c>
    </row>
    <row r="1903" ht="15.75" customHeight="1">
      <c r="A1903" s="4">
        <v>1999.0</v>
      </c>
      <c r="B1903" s="4">
        <v>521.0</v>
      </c>
      <c r="C1903" s="4" t="s">
        <v>22</v>
      </c>
      <c r="D1903" s="5">
        <v>11540.922945460119</v>
      </c>
      <c r="E1903" s="5">
        <f t="shared" si="1"/>
        <v>0</v>
      </c>
      <c r="F1903" s="5">
        <f t="shared" si="2"/>
        <v>11540.92295</v>
      </c>
      <c r="G1903" s="5">
        <v>2714.0835177914105</v>
      </c>
      <c r="H1903" s="5">
        <v>1293.0973828220856</v>
      </c>
      <c r="I1903" s="5">
        <v>1420.986134969325</v>
      </c>
      <c r="J1903" s="5">
        <v>0.0</v>
      </c>
      <c r="K1903" s="5">
        <f t="shared" si="3"/>
        <v>0</v>
      </c>
      <c r="L1903" s="5">
        <f t="shared" si="4"/>
        <v>0</v>
      </c>
      <c r="M1903" s="5">
        <v>30174.2757282822</v>
      </c>
      <c r="N1903" s="5">
        <f t="shared" si="5"/>
        <v>0</v>
      </c>
      <c r="O1903" s="5">
        <f t="shared" si="6"/>
        <v>30174.27573</v>
      </c>
      <c r="P1903" s="5">
        <f t="shared" si="9"/>
        <v>44429.28219</v>
      </c>
      <c r="Q1903" s="5">
        <f t="shared" si="7"/>
        <v>43136.18481</v>
      </c>
      <c r="R1903" s="5">
        <f t="shared" si="8"/>
        <v>1293.097383</v>
      </c>
    </row>
    <row r="1904" ht="15.75" customHeight="1">
      <c r="A1904" s="4">
        <v>1999.0</v>
      </c>
      <c r="B1904" s="4">
        <v>522.0</v>
      </c>
      <c r="C1904" s="4" t="s">
        <v>22</v>
      </c>
      <c r="D1904" s="5" t="s">
        <v>19</v>
      </c>
      <c r="E1904" s="5" t="str">
        <f t="shared" si="1"/>
        <v/>
      </c>
      <c r="F1904" s="5" t="str">
        <f t="shared" si="2"/>
        <v/>
      </c>
      <c r="G1904" s="5" t="s">
        <v>19</v>
      </c>
      <c r="H1904" s="5" t="s">
        <v>19</v>
      </c>
      <c r="I1904" s="5" t="s">
        <v>19</v>
      </c>
      <c r="J1904" s="5">
        <v>0.0</v>
      </c>
      <c r="K1904" s="5">
        <f t="shared" si="3"/>
        <v>0</v>
      </c>
      <c r="L1904" s="5">
        <f t="shared" si="4"/>
        <v>0</v>
      </c>
      <c r="M1904" s="5">
        <v>14178.714869815944</v>
      </c>
      <c r="N1904" s="5">
        <f t="shared" si="5"/>
        <v>0</v>
      </c>
      <c r="O1904" s="5">
        <f t="shared" si="6"/>
        <v>14178.71487</v>
      </c>
      <c r="P1904" s="5">
        <f t="shared" si="9"/>
        <v>14178.71487</v>
      </c>
      <c r="Q1904" s="5">
        <f t="shared" si="7"/>
        <v>14178.71487</v>
      </c>
      <c r="R1904" s="5">
        <f t="shared" si="8"/>
        <v>0</v>
      </c>
    </row>
    <row r="1905" ht="15.75" customHeight="1">
      <c r="A1905" s="4">
        <v>1999.0</v>
      </c>
      <c r="B1905" s="4">
        <v>523.0</v>
      </c>
      <c r="C1905" s="4" t="s">
        <v>22</v>
      </c>
      <c r="D1905" s="5" t="s">
        <v>19</v>
      </c>
      <c r="E1905" s="5" t="str">
        <f t="shared" si="1"/>
        <v/>
      </c>
      <c r="F1905" s="5" t="str">
        <f t="shared" si="2"/>
        <v/>
      </c>
      <c r="G1905" s="5" t="s">
        <v>19</v>
      </c>
      <c r="H1905" s="5" t="s">
        <v>19</v>
      </c>
      <c r="I1905" s="5" t="s">
        <v>19</v>
      </c>
      <c r="J1905" s="5">
        <v>0.0</v>
      </c>
      <c r="K1905" s="5">
        <f t="shared" si="3"/>
        <v>0</v>
      </c>
      <c r="L1905" s="5">
        <f t="shared" si="4"/>
        <v>0</v>
      </c>
      <c r="M1905" s="5">
        <v>237250.82148435578</v>
      </c>
      <c r="N1905" s="5">
        <f t="shared" si="5"/>
        <v>0</v>
      </c>
      <c r="O1905" s="5">
        <f t="shared" si="6"/>
        <v>237250.8215</v>
      </c>
      <c r="P1905" s="5">
        <f t="shared" si="9"/>
        <v>237250.8215</v>
      </c>
      <c r="Q1905" s="5">
        <f t="shared" si="7"/>
        <v>237250.8215</v>
      </c>
      <c r="R1905" s="5">
        <f t="shared" si="8"/>
        <v>0</v>
      </c>
    </row>
    <row r="1906" ht="15.75" customHeight="1">
      <c r="A1906" s="4">
        <v>1999.0</v>
      </c>
      <c r="B1906" s="4">
        <v>524.0</v>
      </c>
      <c r="C1906" s="4" t="s">
        <v>22</v>
      </c>
      <c r="D1906" s="5">
        <v>12804.256429509198</v>
      </c>
      <c r="E1906" s="5">
        <f t="shared" si="1"/>
        <v>0</v>
      </c>
      <c r="F1906" s="5">
        <f t="shared" si="2"/>
        <v>12804.25643</v>
      </c>
      <c r="G1906" s="5">
        <v>14785.360734355829</v>
      </c>
      <c r="H1906" s="5">
        <v>10042.10901582822</v>
      </c>
      <c r="I1906" s="5">
        <v>4743.251718527608</v>
      </c>
      <c r="J1906" s="5">
        <v>8790.239433435583</v>
      </c>
      <c r="K1906" s="5">
        <f t="shared" si="3"/>
        <v>8790.239433</v>
      </c>
      <c r="L1906" s="5">
        <f t="shared" si="4"/>
        <v>0</v>
      </c>
      <c r="M1906" s="5">
        <v>382061.98229785275</v>
      </c>
      <c r="N1906" s="5">
        <f t="shared" si="5"/>
        <v>0</v>
      </c>
      <c r="O1906" s="5">
        <f t="shared" si="6"/>
        <v>382061.9823</v>
      </c>
      <c r="P1906" s="5">
        <f t="shared" si="9"/>
        <v>418441.8389</v>
      </c>
      <c r="Q1906" s="5">
        <f t="shared" si="7"/>
        <v>399609.4904</v>
      </c>
      <c r="R1906" s="5">
        <f t="shared" si="8"/>
        <v>18832.34845</v>
      </c>
    </row>
    <row r="1907" ht="15.75" customHeight="1">
      <c r="A1907" s="4">
        <v>1999.0</v>
      </c>
      <c r="B1907" s="4">
        <v>525.0</v>
      </c>
      <c r="C1907" s="4" t="s">
        <v>22</v>
      </c>
      <c r="D1907" s="5">
        <v>4919.569214355827</v>
      </c>
      <c r="E1907" s="5">
        <f t="shared" si="1"/>
        <v>0</v>
      </c>
      <c r="F1907" s="5">
        <f t="shared" si="2"/>
        <v>4919.569214</v>
      </c>
      <c r="G1907" s="5" t="s">
        <v>19</v>
      </c>
      <c r="H1907" s="5" t="s">
        <v>19</v>
      </c>
      <c r="I1907" s="5" t="s">
        <v>19</v>
      </c>
      <c r="J1907" s="5">
        <v>0.0</v>
      </c>
      <c r="K1907" s="5">
        <f t="shared" si="3"/>
        <v>0</v>
      </c>
      <c r="L1907" s="5">
        <f t="shared" si="4"/>
        <v>0</v>
      </c>
      <c r="M1907" s="5">
        <v>115206.3260762883</v>
      </c>
      <c r="N1907" s="5">
        <f t="shared" si="5"/>
        <v>0</v>
      </c>
      <c r="O1907" s="5">
        <f t="shared" si="6"/>
        <v>115206.3261</v>
      </c>
      <c r="P1907" s="5">
        <f t="shared" si="9"/>
        <v>120125.8953</v>
      </c>
      <c r="Q1907" s="5">
        <f t="shared" si="7"/>
        <v>120125.8953</v>
      </c>
      <c r="R1907" s="5">
        <f t="shared" si="8"/>
        <v>0</v>
      </c>
    </row>
    <row r="1908" ht="15.75" customHeight="1">
      <c r="A1908" s="4">
        <v>1999.0</v>
      </c>
      <c r="B1908" s="4">
        <v>526.0</v>
      </c>
      <c r="C1908" s="4" t="s">
        <v>22</v>
      </c>
      <c r="D1908" s="5">
        <v>22948.081169079745</v>
      </c>
      <c r="E1908" s="5">
        <f t="shared" si="1"/>
        <v>0</v>
      </c>
      <c r="F1908" s="5">
        <f t="shared" si="2"/>
        <v>22948.08117</v>
      </c>
      <c r="G1908" s="5">
        <v>2252.26302392638</v>
      </c>
      <c r="H1908" s="5">
        <v>1345.6738698159506</v>
      </c>
      <c r="I1908" s="5">
        <v>906.5891541104293</v>
      </c>
      <c r="J1908" s="5">
        <v>0.0</v>
      </c>
      <c r="K1908" s="5">
        <f t="shared" si="3"/>
        <v>0</v>
      </c>
      <c r="L1908" s="5">
        <f t="shared" si="4"/>
        <v>0</v>
      </c>
      <c r="M1908" s="5">
        <v>18273.324822760733</v>
      </c>
      <c r="N1908" s="5">
        <f t="shared" si="5"/>
        <v>0</v>
      </c>
      <c r="O1908" s="5">
        <f t="shared" si="6"/>
        <v>18273.32482</v>
      </c>
      <c r="P1908" s="5">
        <f t="shared" si="9"/>
        <v>43473.66902</v>
      </c>
      <c r="Q1908" s="5">
        <f t="shared" si="7"/>
        <v>42127.99515</v>
      </c>
      <c r="R1908" s="5">
        <f t="shared" si="8"/>
        <v>1345.67387</v>
      </c>
    </row>
    <row r="1909" ht="15.75" customHeight="1">
      <c r="A1909" s="4">
        <v>1999.0</v>
      </c>
      <c r="B1909" s="4">
        <v>527.0</v>
      </c>
      <c r="C1909" s="4" t="s">
        <v>22</v>
      </c>
      <c r="D1909" s="5" t="s">
        <v>19</v>
      </c>
      <c r="E1909" s="5" t="str">
        <f t="shared" si="1"/>
        <v/>
      </c>
      <c r="F1909" s="5" t="str">
        <f t="shared" si="2"/>
        <v/>
      </c>
      <c r="G1909" s="5" t="s">
        <v>19</v>
      </c>
      <c r="H1909" s="5" t="s">
        <v>19</v>
      </c>
      <c r="I1909" s="5" t="s">
        <v>19</v>
      </c>
      <c r="J1909" s="5">
        <v>0.0</v>
      </c>
      <c r="K1909" s="5">
        <f t="shared" si="3"/>
        <v>0</v>
      </c>
      <c r="L1909" s="5">
        <f t="shared" si="4"/>
        <v>0</v>
      </c>
      <c r="M1909" s="5">
        <v>17134.442840613494</v>
      </c>
      <c r="N1909" s="5">
        <f t="shared" si="5"/>
        <v>0</v>
      </c>
      <c r="O1909" s="5">
        <f t="shared" si="6"/>
        <v>17134.44284</v>
      </c>
      <c r="P1909" s="5">
        <f t="shared" si="9"/>
        <v>17134.44284</v>
      </c>
      <c r="Q1909" s="5">
        <f t="shared" si="7"/>
        <v>17134.44284</v>
      </c>
      <c r="R1909" s="5">
        <f t="shared" si="8"/>
        <v>0</v>
      </c>
    </row>
    <row r="1910" ht="15.75" customHeight="1">
      <c r="A1910" s="4">
        <v>1999.0</v>
      </c>
      <c r="B1910" s="4">
        <v>528.0</v>
      </c>
      <c r="C1910" s="4" t="s">
        <v>22</v>
      </c>
      <c r="D1910" s="5" t="s">
        <v>19</v>
      </c>
      <c r="E1910" s="5" t="str">
        <f t="shared" si="1"/>
        <v/>
      </c>
      <c r="F1910" s="5" t="str">
        <f t="shared" si="2"/>
        <v/>
      </c>
      <c r="G1910" s="5" t="s">
        <v>19</v>
      </c>
      <c r="H1910" s="5" t="s">
        <v>19</v>
      </c>
      <c r="I1910" s="5" t="s">
        <v>19</v>
      </c>
      <c r="J1910" s="5">
        <v>0.0</v>
      </c>
      <c r="K1910" s="5">
        <f t="shared" si="3"/>
        <v>0</v>
      </c>
      <c r="L1910" s="5">
        <f t="shared" si="4"/>
        <v>0</v>
      </c>
      <c r="M1910" s="5">
        <v>25428.52768276073</v>
      </c>
      <c r="N1910" s="5">
        <f t="shared" si="5"/>
        <v>0</v>
      </c>
      <c r="O1910" s="5">
        <f t="shared" si="6"/>
        <v>25428.52768</v>
      </c>
      <c r="P1910" s="5">
        <f t="shared" si="9"/>
        <v>25428.52768</v>
      </c>
      <c r="Q1910" s="5">
        <f t="shared" si="7"/>
        <v>25428.52768</v>
      </c>
      <c r="R1910" s="5">
        <f t="shared" si="8"/>
        <v>0</v>
      </c>
    </row>
    <row r="1911" ht="15.75" customHeight="1">
      <c r="A1911" s="4">
        <v>1998.0</v>
      </c>
      <c r="B1911" s="4">
        <v>100.0</v>
      </c>
      <c r="C1911" s="4" t="s">
        <v>18</v>
      </c>
      <c r="D1911" s="5">
        <v>7046.083353614076</v>
      </c>
      <c r="E1911" s="5">
        <f t="shared" si="1"/>
        <v>0</v>
      </c>
      <c r="F1911" s="5">
        <f t="shared" si="2"/>
        <v>7046.083354</v>
      </c>
      <c r="G1911" s="5">
        <v>6001.749910245128</v>
      </c>
      <c r="H1911" s="5">
        <v>4223.668151552482</v>
      </c>
      <c r="I1911" s="5">
        <v>1778.081758692646</v>
      </c>
      <c r="J1911" s="5">
        <v>117712.88883758645</v>
      </c>
      <c r="K1911" s="5">
        <f t="shared" si="3"/>
        <v>117712.8888</v>
      </c>
      <c r="L1911" s="5">
        <f t="shared" si="4"/>
        <v>0</v>
      </c>
      <c r="M1911" s="5">
        <v>44581.55280345693</v>
      </c>
      <c r="N1911" s="5">
        <f t="shared" si="5"/>
        <v>0</v>
      </c>
      <c r="O1911" s="5">
        <f t="shared" si="6"/>
        <v>44581.5528</v>
      </c>
      <c r="P1911" s="5">
        <f t="shared" si="9"/>
        <v>175342.2749</v>
      </c>
      <c r="Q1911" s="5">
        <f t="shared" si="7"/>
        <v>53405.71792</v>
      </c>
      <c r="R1911" s="5">
        <f t="shared" si="8"/>
        <v>121936.557</v>
      </c>
    </row>
    <row r="1912" ht="15.75" customHeight="1">
      <c r="A1912" s="4">
        <v>1998.0</v>
      </c>
      <c r="B1912" s="4">
        <v>101.0</v>
      </c>
      <c r="C1912" s="4" t="s">
        <v>18</v>
      </c>
      <c r="D1912" s="5">
        <v>11530.65387234443</v>
      </c>
      <c r="E1912" s="5">
        <f t="shared" si="1"/>
        <v>0</v>
      </c>
      <c r="F1912" s="5">
        <f t="shared" si="2"/>
        <v>11530.65387</v>
      </c>
      <c r="G1912" s="5">
        <v>17064.082676052796</v>
      </c>
      <c r="H1912" s="5">
        <v>9815.648405681959</v>
      </c>
      <c r="I1912" s="5">
        <v>7248.434270370837</v>
      </c>
      <c r="J1912" s="5">
        <v>1052849.8248203646</v>
      </c>
      <c r="K1912" s="5">
        <f t="shared" si="3"/>
        <v>1052849.825</v>
      </c>
      <c r="L1912" s="5">
        <f t="shared" si="4"/>
        <v>0</v>
      </c>
      <c r="M1912" s="5">
        <v>173017.19488070393</v>
      </c>
      <c r="N1912" s="5">
        <f t="shared" si="5"/>
        <v>0</v>
      </c>
      <c r="O1912" s="5">
        <f t="shared" si="6"/>
        <v>173017.1949</v>
      </c>
      <c r="P1912" s="5">
        <f t="shared" si="9"/>
        <v>1254461.756</v>
      </c>
      <c r="Q1912" s="5">
        <f t="shared" si="7"/>
        <v>191796.283</v>
      </c>
      <c r="R1912" s="5">
        <f t="shared" si="8"/>
        <v>1062665.473</v>
      </c>
    </row>
    <row r="1913" ht="15.75" customHeight="1">
      <c r="A1913" s="4">
        <v>1998.0</v>
      </c>
      <c r="B1913" s="4">
        <v>102.0</v>
      </c>
      <c r="C1913" s="4" t="s">
        <v>18</v>
      </c>
      <c r="D1913" s="5">
        <v>31468.915938466354</v>
      </c>
      <c r="E1913" s="5">
        <f t="shared" si="1"/>
        <v>0</v>
      </c>
      <c r="F1913" s="5">
        <f t="shared" si="2"/>
        <v>31468.91594</v>
      </c>
      <c r="G1913" s="5">
        <v>17078.56216920176</v>
      </c>
      <c r="H1913" s="5">
        <v>7650.964179912006</v>
      </c>
      <c r="I1913" s="5">
        <v>9427.597989289752</v>
      </c>
      <c r="J1913" s="5">
        <v>75333.77317749843</v>
      </c>
      <c r="K1913" s="5">
        <f t="shared" si="3"/>
        <v>75333.77318</v>
      </c>
      <c r="L1913" s="5">
        <f t="shared" si="4"/>
        <v>0</v>
      </c>
      <c r="M1913" s="5">
        <v>103124.60275776239</v>
      </c>
      <c r="N1913" s="5">
        <f t="shared" si="5"/>
        <v>0</v>
      </c>
      <c r="O1913" s="5">
        <f t="shared" si="6"/>
        <v>103124.6028</v>
      </c>
      <c r="P1913" s="5">
        <f t="shared" si="9"/>
        <v>227005.854</v>
      </c>
      <c r="Q1913" s="5">
        <f t="shared" si="7"/>
        <v>144021.1167</v>
      </c>
      <c r="R1913" s="5">
        <f t="shared" si="8"/>
        <v>82984.73736</v>
      </c>
    </row>
    <row r="1914" ht="15.75" customHeight="1">
      <c r="A1914" s="4">
        <v>1998.0</v>
      </c>
      <c r="B1914" s="4">
        <v>103.0</v>
      </c>
      <c r="C1914" s="4" t="s">
        <v>18</v>
      </c>
      <c r="D1914" s="5">
        <v>17476.748230798228</v>
      </c>
      <c r="E1914" s="5">
        <f t="shared" si="1"/>
        <v>0</v>
      </c>
      <c r="F1914" s="5">
        <f t="shared" si="2"/>
        <v>17476.74823</v>
      </c>
      <c r="G1914" s="5">
        <v>3171.008999622879</v>
      </c>
      <c r="H1914" s="5">
        <v>1568.1291080326841</v>
      </c>
      <c r="I1914" s="5">
        <v>1602.8798915901948</v>
      </c>
      <c r="J1914" s="5">
        <v>9897.087685355124</v>
      </c>
      <c r="K1914" s="5">
        <f t="shared" si="3"/>
        <v>9897.087685</v>
      </c>
      <c r="L1914" s="5">
        <f t="shared" si="4"/>
        <v>0</v>
      </c>
      <c r="M1914" s="5">
        <v>3430.5971954116903</v>
      </c>
      <c r="N1914" s="5">
        <f t="shared" si="5"/>
        <v>0</v>
      </c>
      <c r="O1914" s="5">
        <f t="shared" si="6"/>
        <v>3430.597195</v>
      </c>
      <c r="P1914" s="5">
        <f t="shared" si="9"/>
        <v>33975.44211</v>
      </c>
      <c r="Q1914" s="5">
        <f t="shared" si="7"/>
        <v>22510.22532</v>
      </c>
      <c r="R1914" s="5">
        <f t="shared" si="8"/>
        <v>11465.21679</v>
      </c>
    </row>
    <row r="1915" ht="15.75" customHeight="1">
      <c r="A1915" s="4">
        <v>1998.0</v>
      </c>
      <c r="B1915" s="4">
        <v>104.0</v>
      </c>
      <c r="C1915" s="4" t="s">
        <v>18</v>
      </c>
      <c r="D1915" s="5">
        <v>5930.709896983026</v>
      </c>
      <c r="E1915" s="5">
        <f t="shared" si="1"/>
        <v>0</v>
      </c>
      <c r="F1915" s="5">
        <f t="shared" si="2"/>
        <v>5930.709897</v>
      </c>
      <c r="G1915" s="5" t="s">
        <v>19</v>
      </c>
      <c r="H1915" s="5" t="s">
        <v>19</v>
      </c>
      <c r="I1915" s="5" t="s">
        <v>19</v>
      </c>
      <c r="J1915" s="5">
        <v>11973.281747831552</v>
      </c>
      <c r="K1915" s="5">
        <f t="shared" si="3"/>
        <v>11973.28175</v>
      </c>
      <c r="L1915" s="5">
        <f t="shared" si="4"/>
        <v>0</v>
      </c>
      <c r="M1915" s="5">
        <v>2905.774588434945</v>
      </c>
      <c r="N1915" s="5">
        <f t="shared" si="5"/>
        <v>0</v>
      </c>
      <c r="O1915" s="5">
        <f t="shared" si="6"/>
        <v>2905.774588</v>
      </c>
      <c r="P1915" s="5">
        <f t="shared" si="9"/>
        <v>20809.76623</v>
      </c>
      <c r="Q1915" s="5">
        <f t="shared" si="7"/>
        <v>8836.484485</v>
      </c>
      <c r="R1915" s="5">
        <f t="shared" si="8"/>
        <v>11973.28175</v>
      </c>
    </row>
    <row r="1916" ht="15.75" customHeight="1">
      <c r="A1916" s="4">
        <v>1998.0</v>
      </c>
      <c r="B1916" s="4">
        <v>105.0</v>
      </c>
      <c r="C1916" s="4" t="s">
        <v>18</v>
      </c>
      <c r="D1916" s="5">
        <v>23930.529817787545</v>
      </c>
      <c r="E1916" s="5">
        <f t="shared" si="1"/>
        <v>0</v>
      </c>
      <c r="F1916" s="5">
        <f t="shared" si="2"/>
        <v>23930.52982</v>
      </c>
      <c r="G1916" s="5">
        <v>5169.179054179761</v>
      </c>
      <c r="H1916" s="5">
        <v>2719.248813375236</v>
      </c>
      <c r="I1916" s="5">
        <v>2449.930240804525</v>
      </c>
      <c r="J1916" s="5">
        <v>193395.50762991834</v>
      </c>
      <c r="K1916" s="5">
        <f t="shared" si="3"/>
        <v>193395.5076</v>
      </c>
      <c r="L1916" s="5">
        <f t="shared" si="4"/>
        <v>0</v>
      </c>
      <c r="M1916" s="5">
        <v>17402.226056819607</v>
      </c>
      <c r="N1916" s="5">
        <f t="shared" si="5"/>
        <v>0</v>
      </c>
      <c r="O1916" s="5">
        <f t="shared" si="6"/>
        <v>17402.22606</v>
      </c>
      <c r="P1916" s="5">
        <f t="shared" si="9"/>
        <v>239897.4426</v>
      </c>
      <c r="Q1916" s="5">
        <f t="shared" si="7"/>
        <v>43782.68612</v>
      </c>
      <c r="R1916" s="5">
        <f t="shared" si="8"/>
        <v>196114.7564</v>
      </c>
    </row>
    <row r="1917" ht="15.75" customHeight="1">
      <c r="A1917" s="4">
        <v>1998.0</v>
      </c>
      <c r="B1917" s="4">
        <v>106.0</v>
      </c>
      <c r="C1917" s="4" t="s">
        <v>18</v>
      </c>
      <c r="D1917" s="5">
        <v>11899.880947642985</v>
      </c>
      <c r="E1917" s="5">
        <f t="shared" si="1"/>
        <v>0</v>
      </c>
      <c r="F1917" s="5">
        <f t="shared" si="2"/>
        <v>11899.88095</v>
      </c>
      <c r="G1917" s="5">
        <v>4047.0183351351347</v>
      </c>
      <c r="H1917" s="5">
        <v>2464.4097339534883</v>
      </c>
      <c r="I1917" s="5">
        <v>1582.6086011816465</v>
      </c>
      <c r="J1917" s="5">
        <v>110516.5413961031</v>
      </c>
      <c r="K1917" s="5">
        <f t="shared" si="3"/>
        <v>110516.5414</v>
      </c>
      <c r="L1917" s="5">
        <f t="shared" si="4"/>
        <v>0</v>
      </c>
      <c r="M1917" s="5">
        <v>96510.62210458826</v>
      </c>
      <c r="N1917" s="5">
        <f t="shared" si="5"/>
        <v>0</v>
      </c>
      <c r="O1917" s="5">
        <f t="shared" si="6"/>
        <v>96510.6221</v>
      </c>
      <c r="P1917" s="5">
        <f t="shared" si="9"/>
        <v>222974.0628</v>
      </c>
      <c r="Q1917" s="5">
        <f t="shared" si="7"/>
        <v>109993.1117</v>
      </c>
      <c r="R1917" s="5">
        <f t="shared" si="8"/>
        <v>112980.9511</v>
      </c>
    </row>
    <row r="1918" ht="15.75" customHeight="1">
      <c r="A1918" s="4">
        <v>1998.0</v>
      </c>
      <c r="B1918" s="4">
        <v>107.0</v>
      </c>
      <c r="C1918" s="4" t="s">
        <v>18</v>
      </c>
      <c r="D1918" s="5">
        <v>18715.197379195466</v>
      </c>
      <c r="E1918" s="5">
        <f t="shared" si="1"/>
        <v>0</v>
      </c>
      <c r="F1918" s="5">
        <f t="shared" si="2"/>
        <v>18715.19738</v>
      </c>
      <c r="G1918" s="5">
        <v>3431.639876304211</v>
      </c>
      <c r="H1918" s="5">
        <v>2354.3655860213703</v>
      </c>
      <c r="I1918" s="5">
        <v>1077.2742902828409</v>
      </c>
      <c r="J1918" s="5">
        <v>9081.239070018857</v>
      </c>
      <c r="K1918" s="5">
        <f t="shared" si="3"/>
        <v>9081.23907</v>
      </c>
      <c r="L1918" s="5">
        <f t="shared" si="4"/>
        <v>0</v>
      </c>
      <c r="M1918" s="5">
        <v>46064.8352293526</v>
      </c>
      <c r="N1918" s="5">
        <f t="shared" si="5"/>
        <v>0</v>
      </c>
      <c r="O1918" s="5">
        <f t="shared" si="6"/>
        <v>46064.83523</v>
      </c>
      <c r="P1918" s="5">
        <f t="shared" si="9"/>
        <v>77292.91155</v>
      </c>
      <c r="Q1918" s="5">
        <f t="shared" si="7"/>
        <v>65857.3069</v>
      </c>
      <c r="R1918" s="5">
        <f t="shared" si="8"/>
        <v>11435.60466</v>
      </c>
    </row>
    <row r="1919" ht="15.75" customHeight="1">
      <c r="A1919" s="4">
        <v>1998.0</v>
      </c>
      <c r="B1919" s="4">
        <v>108.0</v>
      </c>
      <c r="C1919" s="4" t="s">
        <v>18</v>
      </c>
      <c r="D1919" s="5">
        <v>17776.745229478307</v>
      </c>
      <c r="E1919" s="5">
        <f t="shared" si="1"/>
        <v>0</v>
      </c>
      <c r="F1919" s="5">
        <f t="shared" si="2"/>
        <v>17776.74523</v>
      </c>
      <c r="G1919" s="5">
        <v>8376.386786675048</v>
      </c>
      <c r="H1919" s="5">
        <v>5059.134906247643</v>
      </c>
      <c r="I1919" s="5">
        <v>3317.251880427405</v>
      </c>
      <c r="J1919" s="5">
        <v>31913.747215084855</v>
      </c>
      <c r="K1919" s="5">
        <f t="shared" si="3"/>
        <v>31913.74722</v>
      </c>
      <c r="L1919" s="5">
        <f t="shared" si="4"/>
        <v>0</v>
      </c>
      <c r="M1919" s="5">
        <v>34490.36908629791</v>
      </c>
      <c r="N1919" s="5">
        <f t="shared" si="5"/>
        <v>0</v>
      </c>
      <c r="O1919" s="5">
        <f t="shared" si="6"/>
        <v>34490.36909</v>
      </c>
      <c r="P1919" s="5">
        <f t="shared" si="9"/>
        <v>92557.24832</v>
      </c>
      <c r="Q1919" s="5">
        <f t="shared" si="7"/>
        <v>55584.3662</v>
      </c>
      <c r="R1919" s="5">
        <f t="shared" si="8"/>
        <v>36972.88212</v>
      </c>
    </row>
    <row r="1920" ht="15.75" customHeight="1">
      <c r="A1920" s="4">
        <v>1998.0</v>
      </c>
      <c r="B1920" s="4">
        <v>120.0</v>
      </c>
      <c r="C1920" s="4" t="s">
        <v>18</v>
      </c>
      <c r="D1920" s="5">
        <v>35296.7237970094</v>
      </c>
      <c r="E1920" s="5">
        <f t="shared" si="1"/>
        <v>0</v>
      </c>
      <c r="F1920" s="5">
        <f t="shared" si="2"/>
        <v>35296.7238</v>
      </c>
      <c r="G1920" s="5">
        <v>4944.746910370835</v>
      </c>
      <c r="H1920" s="5">
        <v>3000.150980465116</v>
      </c>
      <c r="I1920" s="5">
        <v>1944.5959299057195</v>
      </c>
      <c r="J1920" s="5">
        <v>31075.39243104966</v>
      </c>
      <c r="K1920" s="5">
        <f t="shared" si="3"/>
        <v>31075.39243</v>
      </c>
      <c r="L1920" s="5">
        <f t="shared" si="4"/>
        <v>0</v>
      </c>
      <c r="M1920" s="5">
        <v>243584.1739219</v>
      </c>
      <c r="N1920" s="5">
        <f t="shared" si="5"/>
        <v>0</v>
      </c>
      <c r="O1920" s="5">
        <f t="shared" si="6"/>
        <v>243584.1739</v>
      </c>
      <c r="P1920" s="5">
        <f t="shared" si="9"/>
        <v>314901.0371</v>
      </c>
      <c r="Q1920" s="5">
        <f t="shared" si="7"/>
        <v>280825.4936</v>
      </c>
      <c r="R1920" s="5">
        <f t="shared" si="8"/>
        <v>34075.54341</v>
      </c>
    </row>
    <row r="1921" ht="15.75" customHeight="1">
      <c r="A1921" s="4">
        <v>1998.0</v>
      </c>
      <c r="B1921" s="4">
        <v>121.0</v>
      </c>
      <c r="C1921" s="4" t="s">
        <v>18</v>
      </c>
      <c r="D1921" s="5">
        <v>55114.833219044594</v>
      </c>
      <c r="E1921" s="5">
        <f t="shared" si="1"/>
        <v>0</v>
      </c>
      <c r="F1921" s="5">
        <f t="shared" si="2"/>
        <v>55114.83322</v>
      </c>
      <c r="G1921" s="5">
        <v>32520.941612570714</v>
      </c>
      <c r="H1921" s="5">
        <v>22102.946291891898</v>
      </c>
      <c r="I1921" s="5">
        <v>10417.995320678816</v>
      </c>
      <c r="J1921" s="5">
        <v>343466.64051439357</v>
      </c>
      <c r="K1921" s="5">
        <f t="shared" si="3"/>
        <v>343466.6405</v>
      </c>
      <c r="L1921" s="5">
        <f t="shared" si="4"/>
        <v>0</v>
      </c>
      <c r="M1921" s="5">
        <v>1674554.9368622876</v>
      </c>
      <c r="N1921" s="5">
        <f t="shared" si="5"/>
        <v>0</v>
      </c>
      <c r="O1921" s="5">
        <f t="shared" si="6"/>
        <v>1674554.937</v>
      </c>
      <c r="P1921" s="5">
        <f t="shared" si="9"/>
        <v>2105657.352</v>
      </c>
      <c r="Q1921" s="5">
        <f t="shared" si="7"/>
        <v>1740087.765</v>
      </c>
      <c r="R1921" s="5">
        <f t="shared" si="8"/>
        <v>365569.5868</v>
      </c>
    </row>
    <row r="1922" ht="15.75" customHeight="1">
      <c r="A1922" s="4">
        <v>1998.0</v>
      </c>
      <c r="B1922" s="4">
        <v>122.0</v>
      </c>
      <c r="C1922" s="4" t="s">
        <v>18</v>
      </c>
      <c r="D1922" s="5">
        <v>52991.77753607791</v>
      </c>
      <c r="E1922" s="5">
        <f t="shared" si="1"/>
        <v>0</v>
      </c>
      <c r="F1922" s="5">
        <f t="shared" si="2"/>
        <v>52991.77754</v>
      </c>
      <c r="G1922" s="5">
        <v>54022.98893878065</v>
      </c>
      <c r="H1922" s="5">
        <v>38296.811429692025</v>
      </c>
      <c r="I1922" s="5">
        <v>15726.177509088622</v>
      </c>
      <c r="J1922" s="5">
        <v>8023.449141169077</v>
      </c>
      <c r="K1922" s="5">
        <f t="shared" si="3"/>
        <v>8023.449141</v>
      </c>
      <c r="L1922" s="5">
        <f t="shared" si="4"/>
        <v>0</v>
      </c>
      <c r="M1922" s="5">
        <v>199019.48028481385</v>
      </c>
      <c r="N1922" s="5">
        <f t="shared" si="5"/>
        <v>0</v>
      </c>
      <c r="O1922" s="5">
        <f t="shared" si="6"/>
        <v>199019.4803</v>
      </c>
      <c r="P1922" s="5">
        <f t="shared" si="9"/>
        <v>314057.6959</v>
      </c>
      <c r="Q1922" s="5">
        <f t="shared" si="7"/>
        <v>267737.4353</v>
      </c>
      <c r="R1922" s="5">
        <f t="shared" si="8"/>
        <v>46320.26057</v>
      </c>
    </row>
    <row r="1923" ht="15.75" customHeight="1">
      <c r="A1923" s="4">
        <v>1998.0</v>
      </c>
      <c r="B1923" s="4">
        <v>123.0</v>
      </c>
      <c r="C1923" s="4" t="s">
        <v>18</v>
      </c>
      <c r="D1923" s="5">
        <v>41107.281049905694</v>
      </c>
      <c r="E1923" s="5">
        <f t="shared" si="1"/>
        <v>0</v>
      </c>
      <c r="F1923" s="5">
        <f t="shared" si="2"/>
        <v>41107.28105</v>
      </c>
      <c r="G1923" s="5" t="s">
        <v>19</v>
      </c>
      <c r="H1923" s="5" t="s">
        <v>19</v>
      </c>
      <c r="I1923" s="5" t="s">
        <v>19</v>
      </c>
      <c r="J1923" s="5">
        <v>0.0</v>
      </c>
      <c r="K1923" s="5">
        <f t="shared" si="3"/>
        <v>0</v>
      </c>
      <c r="L1923" s="5">
        <f t="shared" si="4"/>
        <v>0</v>
      </c>
      <c r="M1923" s="5">
        <v>7596.756577435572</v>
      </c>
      <c r="N1923" s="5">
        <f t="shared" si="5"/>
        <v>0</v>
      </c>
      <c r="O1923" s="5">
        <f t="shared" si="6"/>
        <v>7596.756577</v>
      </c>
      <c r="P1923" s="5">
        <f t="shared" si="9"/>
        <v>48704.03763</v>
      </c>
      <c r="Q1923" s="5">
        <f t="shared" si="7"/>
        <v>48704.03763</v>
      </c>
      <c r="R1923" s="5">
        <f t="shared" si="8"/>
        <v>0</v>
      </c>
    </row>
    <row r="1924" ht="15.75" customHeight="1">
      <c r="A1924" s="4">
        <v>1998.0</v>
      </c>
      <c r="B1924" s="4">
        <v>124.0</v>
      </c>
      <c r="C1924" s="4" t="s">
        <v>18</v>
      </c>
      <c r="D1924" s="5">
        <v>20253.643526272772</v>
      </c>
      <c r="E1924" s="5">
        <f t="shared" si="1"/>
        <v>0</v>
      </c>
      <c r="F1924" s="5">
        <f t="shared" si="2"/>
        <v>20253.64353</v>
      </c>
      <c r="G1924" s="5" t="s">
        <v>19</v>
      </c>
      <c r="H1924" s="5" t="s">
        <v>19</v>
      </c>
      <c r="I1924" s="5" t="s">
        <v>19</v>
      </c>
      <c r="J1924" s="5">
        <v>180.04934959145194</v>
      </c>
      <c r="K1924" s="5">
        <f t="shared" si="3"/>
        <v>180.0493496</v>
      </c>
      <c r="L1924" s="5">
        <f t="shared" si="4"/>
        <v>0</v>
      </c>
      <c r="M1924" s="5">
        <v>46097.25670314266</v>
      </c>
      <c r="N1924" s="5">
        <f t="shared" si="5"/>
        <v>0</v>
      </c>
      <c r="O1924" s="5">
        <f t="shared" si="6"/>
        <v>46097.2567</v>
      </c>
      <c r="P1924" s="5">
        <f t="shared" si="9"/>
        <v>66530.94958</v>
      </c>
      <c r="Q1924" s="5">
        <f t="shared" si="7"/>
        <v>66350.90023</v>
      </c>
      <c r="R1924" s="5">
        <f t="shared" si="8"/>
        <v>180.0493496</v>
      </c>
    </row>
    <row r="1925" ht="15.75" customHeight="1">
      <c r="A1925" s="4">
        <v>1998.0</v>
      </c>
      <c r="B1925" s="4">
        <v>125.0</v>
      </c>
      <c r="C1925" s="4" t="s">
        <v>18</v>
      </c>
      <c r="D1925" s="5">
        <v>9999.899956002508</v>
      </c>
      <c r="E1925" s="5">
        <f t="shared" si="1"/>
        <v>0</v>
      </c>
      <c r="F1925" s="5">
        <f t="shared" si="2"/>
        <v>9999.899956</v>
      </c>
      <c r="G1925" s="5" t="s">
        <v>19</v>
      </c>
      <c r="H1925" s="5" t="s">
        <v>19</v>
      </c>
      <c r="I1925" s="5" t="s">
        <v>19</v>
      </c>
      <c r="J1925" s="5">
        <v>33939.30239798869</v>
      </c>
      <c r="K1925" s="5">
        <f t="shared" si="3"/>
        <v>33939.3024</v>
      </c>
      <c r="L1925" s="5">
        <f t="shared" si="4"/>
        <v>0</v>
      </c>
      <c r="M1925" s="5">
        <v>573065.759976367</v>
      </c>
      <c r="N1925" s="5">
        <f t="shared" si="5"/>
        <v>0</v>
      </c>
      <c r="O1925" s="5">
        <f t="shared" si="6"/>
        <v>573065.76</v>
      </c>
      <c r="P1925" s="5">
        <f t="shared" si="9"/>
        <v>617004.9623</v>
      </c>
      <c r="Q1925" s="5">
        <f t="shared" si="7"/>
        <v>583065.6599</v>
      </c>
      <c r="R1925" s="5">
        <f t="shared" si="8"/>
        <v>33939.3024</v>
      </c>
    </row>
    <row r="1926" ht="15.75" customHeight="1">
      <c r="A1926" s="4">
        <v>1998.0</v>
      </c>
      <c r="B1926" s="4">
        <v>126.0</v>
      </c>
      <c r="C1926" s="4" t="s">
        <v>18</v>
      </c>
      <c r="D1926" s="5">
        <v>28499.71487460715</v>
      </c>
      <c r="E1926" s="5">
        <f t="shared" si="1"/>
        <v>0</v>
      </c>
      <c r="F1926" s="5">
        <f t="shared" si="2"/>
        <v>28499.71487</v>
      </c>
      <c r="G1926" s="5">
        <v>4039.778588560654</v>
      </c>
      <c r="H1926" s="5">
        <v>2727.936509264614</v>
      </c>
      <c r="I1926" s="5">
        <v>1311.84207929604</v>
      </c>
      <c r="J1926" s="5">
        <v>11495.02566297926</v>
      </c>
      <c r="K1926" s="5">
        <f t="shared" si="3"/>
        <v>11495.02566</v>
      </c>
      <c r="L1926" s="5">
        <f t="shared" si="4"/>
        <v>0</v>
      </c>
      <c r="M1926" s="5">
        <v>1102664.4553108108</v>
      </c>
      <c r="N1926" s="5">
        <f t="shared" si="5"/>
        <v>0</v>
      </c>
      <c r="O1926" s="5">
        <f t="shared" si="6"/>
        <v>1102664.455</v>
      </c>
      <c r="P1926" s="5">
        <f t="shared" si="9"/>
        <v>1146698.974</v>
      </c>
      <c r="Q1926" s="5">
        <f t="shared" si="7"/>
        <v>1132476.012</v>
      </c>
      <c r="R1926" s="5">
        <f t="shared" si="8"/>
        <v>14222.96217</v>
      </c>
    </row>
    <row r="1927" ht="15.75" customHeight="1">
      <c r="A1927" s="4">
        <v>1998.0</v>
      </c>
      <c r="B1927" s="4">
        <v>127.0</v>
      </c>
      <c r="C1927" s="4" t="s">
        <v>18</v>
      </c>
      <c r="D1927" s="5">
        <v>7922.997657448141</v>
      </c>
      <c r="E1927" s="5">
        <f t="shared" si="1"/>
        <v>0</v>
      </c>
      <c r="F1927" s="5">
        <f t="shared" si="2"/>
        <v>7922.997657</v>
      </c>
      <c r="G1927" s="5">
        <v>2381.8766230044002</v>
      </c>
      <c r="H1927" s="5">
        <v>1440.7095683218108</v>
      </c>
      <c r="I1927" s="5">
        <v>941.1670546825894</v>
      </c>
      <c r="J1927" s="5">
        <v>258.82094003771215</v>
      </c>
      <c r="K1927" s="5">
        <f t="shared" si="3"/>
        <v>258.82094</v>
      </c>
      <c r="L1927" s="5">
        <f t="shared" si="4"/>
        <v>0</v>
      </c>
      <c r="M1927" s="5">
        <v>281825.6872622877</v>
      </c>
      <c r="N1927" s="5">
        <f t="shared" si="5"/>
        <v>0</v>
      </c>
      <c r="O1927" s="5">
        <f t="shared" si="6"/>
        <v>281825.6873</v>
      </c>
      <c r="P1927" s="5">
        <f t="shared" si="9"/>
        <v>292389.3825</v>
      </c>
      <c r="Q1927" s="5">
        <f t="shared" si="7"/>
        <v>290689.852</v>
      </c>
      <c r="R1927" s="5">
        <f t="shared" si="8"/>
        <v>1699.530508</v>
      </c>
    </row>
    <row r="1928" ht="15.75" customHeight="1">
      <c r="A1928" s="4">
        <v>1998.0</v>
      </c>
      <c r="B1928" s="4">
        <v>128.0</v>
      </c>
      <c r="C1928" s="4" t="s">
        <v>18</v>
      </c>
      <c r="D1928" s="5">
        <v>10189.128832093014</v>
      </c>
      <c r="E1928" s="5">
        <f t="shared" si="1"/>
        <v>0</v>
      </c>
      <c r="F1928" s="5">
        <f t="shared" si="2"/>
        <v>10189.12883</v>
      </c>
      <c r="G1928" s="5">
        <v>586.419472532998</v>
      </c>
      <c r="H1928" s="5">
        <v>360.5393794091765</v>
      </c>
      <c r="I1928" s="5">
        <v>225.88009312382155</v>
      </c>
      <c r="J1928" s="5">
        <v>0.0</v>
      </c>
      <c r="K1928" s="5">
        <f t="shared" si="3"/>
        <v>0</v>
      </c>
      <c r="L1928" s="5">
        <f t="shared" si="4"/>
        <v>0</v>
      </c>
      <c r="M1928" s="5">
        <v>6187.415375202385</v>
      </c>
      <c r="N1928" s="5">
        <f t="shared" si="5"/>
        <v>0</v>
      </c>
      <c r="O1928" s="5">
        <f t="shared" si="6"/>
        <v>6187.415375</v>
      </c>
      <c r="P1928" s="5">
        <f t="shared" si="9"/>
        <v>16962.96368</v>
      </c>
      <c r="Q1928" s="5">
        <f t="shared" si="7"/>
        <v>16602.4243</v>
      </c>
      <c r="R1928" s="5">
        <f t="shared" si="8"/>
        <v>360.5393794</v>
      </c>
    </row>
    <row r="1929" ht="15.75" customHeight="1">
      <c r="A1929" s="4">
        <v>1998.0</v>
      </c>
      <c r="B1929" s="4">
        <v>300.0</v>
      </c>
      <c r="C1929" s="4" t="s">
        <v>20</v>
      </c>
      <c r="D1929" s="5">
        <v>5479.465149214328</v>
      </c>
      <c r="E1929" s="5">
        <f t="shared" si="1"/>
        <v>0</v>
      </c>
      <c r="F1929" s="5">
        <f t="shared" si="2"/>
        <v>5479.465149</v>
      </c>
      <c r="G1929" s="5">
        <v>24576.67719956002</v>
      </c>
      <c r="H1929" s="5">
        <v>13426.031329478312</v>
      </c>
      <c r="I1929" s="5">
        <v>11150.64587008171</v>
      </c>
      <c r="J1929" s="5">
        <v>1081131.5800419864</v>
      </c>
      <c r="K1929" s="5">
        <f t="shared" si="3"/>
        <v>1081131.58</v>
      </c>
      <c r="L1929" s="5">
        <f t="shared" si="4"/>
        <v>0</v>
      </c>
      <c r="M1929" s="5">
        <v>1415.0556837209297</v>
      </c>
      <c r="N1929" s="5">
        <f t="shared" si="5"/>
        <v>0</v>
      </c>
      <c r="O1929" s="5">
        <f t="shared" si="6"/>
        <v>1415.055684</v>
      </c>
      <c r="P1929" s="5">
        <f t="shared" si="9"/>
        <v>1112602.778</v>
      </c>
      <c r="Q1929" s="5">
        <f t="shared" si="7"/>
        <v>18045.1667</v>
      </c>
      <c r="R1929" s="5">
        <f t="shared" si="8"/>
        <v>1094557.611</v>
      </c>
    </row>
    <row r="1930" ht="15.75" customHeight="1">
      <c r="A1930" s="4">
        <v>1998.0</v>
      </c>
      <c r="B1930" s="4">
        <v>301.0</v>
      </c>
      <c r="C1930" s="4" t="s">
        <v>20</v>
      </c>
      <c r="D1930" s="5">
        <v>4132.557514770581</v>
      </c>
      <c r="E1930" s="5">
        <f t="shared" si="1"/>
        <v>0</v>
      </c>
      <c r="F1930" s="5">
        <f t="shared" si="2"/>
        <v>4132.557515</v>
      </c>
      <c r="G1930" s="5">
        <v>3135.813601194217</v>
      </c>
      <c r="H1930" s="5">
        <v>1406.5765240100566</v>
      </c>
      <c r="I1930" s="5">
        <v>1729.2370771841604</v>
      </c>
      <c r="J1930" s="5">
        <v>297203.83362803276</v>
      </c>
      <c r="K1930" s="5">
        <f t="shared" si="3"/>
        <v>297203.8336</v>
      </c>
      <c r="L1930" s="5">
        <f t="shared" si="4"/>
        <v>0</v>
      </c>
      <c r="M1930" s="5">
        <v>146.30976976744182</v>
      </c>
      <c r="N1930" s="5">
        <f t="shared" si="5"/>
        <v>0</v>
      </c>
      <c r="O1930" s="5">
        <f t="shared" si="6"/>
        <v>146.3097698</v>
      </c>
      <c r="P1930" s="5">
        <f t="shared" si="9"/>
        <v>304618.5145</v>
      </c>
      <c r="Q1930" s="5">
        <f t="shared" si="7"/>
        <v>6008.104362</v>
      </c>
      <c r="R1930" s="5">
        <f t="shared" si="8"/>
        <v>298610.4102</v>
      </c>
    </row>
    <row r="1931" ht="15.75" customHeight="1">
      <c r="A1931" s="4">
        <v>1998.0</v>
      </c>
      <c r="B1931" s="4">
        <v>302.0</v>
      </c>
      <c r="C1931" s="4" t="s">
        <v>20</v>
      </c>
      <c r="D1931" s="5">
        <v>13438.464807291004</v>
      </c>
      <c r="E1931" s="5">
        <f t="shared" si="1"/>
        <v>0</v>
      </c>
      <c r="F1931" s="5">
        <f t="shared" si="2"/>
        <v>13438.46481</v>
      </c>
      <c r="G1931" s="5">
        <v>12228.974645191702</v>
      </c>
      <c r="H1931" s="5">
        <v>8195.019331049652</v>
      </c>
      <c r="I1931" s="5">
        <v>4033.9553141420492</v>
      </c>
      <c r="J1931" s="5">
        <v>116732.29664123195</v>
      </c>
      <c r="K1931" s="5">
        <f t="shared" si="3"/>
        <v>116732.2966</v>
      </c>
      <c r="L1931" s="5">
        <f t="shared" si="4"/>
        <v>0</v>
      </c>
      <c r="M1931" s="5">
        <v>5468.054679069766</v>
      </c>
      <c r="N1931" s="5">
        <f t="shared" si="5"/>
        <v>0</v>
      </c>
      <c r="O1931" s="5">
        <f t="shared" si="6"/>
        <v>5468.054679</v>
      </c>
      <c r="P1931" s="5">
        <f t="shared" si="9"/>
        <v>147867.7908</v>
      </c>
      <c r="Q1931" s="5">
        <f t="shared" si="7"/>
        <v>22940.4748</v>
      </c>
      <c r="R1931" s="5">
        <f t="shared" si="8"/>
        <v>124927.316</v>
      </c>
    </row>
    <row r="1932" ht="15.75" customHeight="1">
      <c r="A1932" s="4">
        <v>1998.0</v>
      </c>
      <c r="B1932" s="4">
        <v>303.0</v>
      </c>
      <c r="C1932" s="4" t="s">
        <v>20</v>
      </c>
      <c r="D1932" s="5">
        <v>23922.9162799497</v>
      </c>
      <c r="E1932" s="5">
        <f t="shared" si="1"/>
        <v>0</v>
      </c>
      <c r="F1932" s="5">
        <f t="shared" si="2"/>
        <v>23922.91628</v>
      </c>
      <c r="G1932" s="5">
        <v>7165.578518541798</v>
      </c>
      <c r="H1932" s="5">
        <v>3666.597195160277</v>
      </c>
      <c r="I1932" s="5">
        <v>3498.981323381521</v>
      </c>
      <c r="J1932" s="5">
        <v>10818.306090509117</v>
      </c>
      <c r="K1932" s="5">
        <f t="shared" si="3"/>
        <v>10818.30609</v>
      </c>
      <c r="L1932" s="5">
        <f t="shared" si="4"/>
        <v>0</v>
      </c>
      <c r="M1932" s="5">
        <v>13034.671876744178</v>
      </c>
      <c r="N1932" s="5">
        <f t="shared" si="5"/>
        <v>0</v>
      </c>
      <c r="O1932" s="5">
        <f t="shared" si="6"/>
        <v>13034.67188</v>
      </c>
      <c r="P1932" s="5">
        <f t="shared" si="9"/>
        <v>54941.47277</v>
      </c>
      <c r="Q1932" s="5">
        <f t="shared" si="7"/>
        <v>40456.56948</v>
      </c>
      <c r="R1932" s="5">
        <f t="shared" si="8"/>
        <v>14484.90329</v>
      </c>
    </row>
    <row r="1933" ht="15.75" customHeight="1">
      <c r="A1933" s="4">
        <v>1998.0</v>
      </c>
      <c r="B1933" s="4">
        <v>304.0</v>
      </c>
      <c r="C1933" s="4" t="s">
        <v>20</v>
      </c>
      <c r="D1933" s="5">
        <v>22032.653861156497</v>
      </c>
      <c r="E1933" s="5">
        <f t="shared" si="1"/>
        <v>0</v>
      </c>
      <c r="F1933" s="5">
        <f t="shared" si="2"/>
        <v>22032.65386</v>
      </c>
      <c r="G1933" s="5">
        <v>20875.160031112508</v>
      </c>
      <c r="H1933" s="5">
        <v>8621.043005153992</v>
      </c>
      <c r="I1933" s="5">
        <v>12254.117025958516</v>
      </c>
      <c r="J1933" s="5">
        <v>28621.35442099309</v>
      </c>
      <c r="K1933" s="5">
        <f t="shared" si="3"/>
        <v>28621.35442</v>
      </c>
      <c r="L1933" s="5">
        <f t="shared" si="4"/>
        <v>0</v>
      </c>
      <c r="M1933" s="5">
        <v>7551.331102325577</v>
      </c>
      <c r="N1933" s="5">
        <f t="shared" si="5"/>
        <v>0</v>
      </c>
      <c r="O1933" s="5">
        <f t="shared" si="6"/>
        <v>7551.331102</v>
      </c>
      <c r="P1933" s="5">
        <f t="shared" si="9"/>
        <v>79080.49942</v>
      </c>
      <c r="Q1933" s="5">
        <f t="shared" si="7"/>
        <v>41838.10199</v>
      </c>
      <c r="R1933" s="5">
        <f t="shared" si="8"/>
        <v>37242.39743</v>
      </c>
    </row>
    <row r="1934" ht="15.75" customHeight="1">
      <c r="A1934" s="4">
        <v>1998.0</v>
      </c>
      <c r="B1934" s="4">
        <v>305.0</v>
      </c>
      <c r="C1934" s="4" t="s">
        <v>20</v>
      </c>
      <c r="D1934" s="5">
        <v>49628.95459868005</v>
      </c>
      <c r="E1934" s="5">
        <f t="shared" si="1"/>
        <v>0</v>
      </c>
      <c r="F1934" s="5">
        <f t="shared" si="2"/>
        <v>49628.9546</v>
      </c>
      <c r="G1934" s="5">
        <v>21447.847593023256</v>
      </c>
      <c r="H1934" s="5">
        <v>11652.096686486488</v>
      </c>
      <c r="I1934" s="5">
        <v>9795.750906536769</v>
      </c>
      <c r="J1934" s="5">
        <v>208715.6376569454</v>
      </c>
      <c r="K1934" s="5">
        <f t="shared" si="3"/>
        <v>208715.6377</v>
      </c>
      <c r="L1934" s="5">
        <f t="shared" si="4"/>
        <v>0</v>
      </c>
      <c r="M1934" s="5">
        <v>3255.9383093023253</v>
      </c>
      <c r="N1934" s="5">
        <f t="shared" si="5"/>
        <v>0</v>
      </c>
      <c r="O1934" s="5">
        <f t="shared" si="6"/>
        <v>3255.938309</v>
      </c>
      <c r="P1934" s="5">
        <f t="shared" si="9"/>
        <v>283048.3782</v>
      </c>
      <c r="Q1934" s="5">
        <f t="shared" si="7"/>
        <v>62680.64381</v>
      </c>
      <c r="R1934" s="5">
        <f t="shared" si="8"/>
        <v>220367.7343</v>
      </c>
    </row>
    <row r="1935" ht="15.75" customHeight="1">
      <c r="A1935" s="4">
        <v>1998.0</v>
      </c>
      <c r="B1935" s="4">
        <v>306.0</v>
      </c>
      <c r="C1935" s="4" t="s">
        <v>20</v>
      </c>
      <c r="D1935" s="5">
        <v>3367.2690861093633</v>
      </c>
      <c r="E1935" s="5">
        <f t="shared" si="1"/>
        <v>0</v>
      </c>
      <c r="F1935" s="5">
        <f t="shared" si="2"/>
        <v>3367.269086</v>
      </c>
      <c r="G1935" s="5">
        <v>2709.7899270898806</v>
      </c>
      <c r="H1935" s="5">
        <v>1958.3121019484604</v>
      </c>
      <c r="I1935" s="5">
        <v>751.4778251414202</v>
      </c>
      <c r="J1935" s="5">
        <v>0.0</v>
      </c>
      <c r="K1935" s="5">
        <f t="shared" si="3"/>
        <v>0</v>
      </c>
      <c r="L1935" s="5">
        <f t="shared" si="4"/>
        <v>0</v>
      </c>
      <c r="M1935" s="5">
        <v>12569.53783255814</v>
      </c>
      <c r="N1935" s="5">
        <f t="shared" si="5"/>
        <v>0</v>
      </c>
      <c r="O1935" s="5">
        <f t="shared" si="6"/>
        <v>12569.53783</v>
      </c>
      <c r="P1935" s="5">
        <f t="shared" si="9"/>
        <v>18646.59685</v>
      </c>
      <c r="Q1935" s="5">
        <f t="shared" si="7"/>
        <v>16688.28474</v>
      </c>
      <c r="R1935" s="5">
        <f t="shared" si="8"/>
        <v>1958.312102</v>
      </c>
    </row>
    <row r="1936" ht="15.75" customHeight="1">
      <c r="A1936" s="4">
        <v>1998.0</v>
      </c>
      <c r="B1936" s="4">
        <v>307.0</v>
      </c>
      <c r="C1936" s="4" t="s">
        <v>20</v>
      </c>
      <c r="D1936" s="5" t="s">
        <v>19</v>
      </c>
      <c r="E1936" s="5" t="str">
        <f t="shared" si="1"/>
        <v/>
      </c>
      <c r="F1936" s="5" t="str">
        <f t="shared" si="2"/>
        <v/>
      </c>
      <c r="G1936" s="5" t="s">
        <v>19</v>
      </c>
      <c r="H1936" s="5" t="s">
        <v>19</v>
      </c>
      <c r="I1936" s="5" t="s">
        <v>19</v>
      </c>
      <c r="J1936" s="5">
        <v>0.0</v>
      </c>
      <c r="K1936" s="5">
        <f t="shared" si="3"/>
        <v>0</v>
      </c>
      <c r="L1936" s="5">
        <f t="shared" si="4"/>
        <v>0</v>
      </c>
      <c r="M1936" s="5">
        <v>467.3177720930232</v>
      </c>
      <c r="N1936" s="5">
        <f t="shared" si="5"/>
        <v>0</v>
      </c>
      <c r="O1936" s="5">
        <f t="shared" si="6"/>
        <v>467.3177721</v>
      </c>
      <c r="P1936" s="5">
        <f t="shared" si="9"/>
        <v>467.3177721</v>
      </c>
      <c r="Q1936" s="5">
        <f t="shared" si="7"/>
        <v>467.3177721</v>
      </c>
      <c r="R1936" s="5">
        <f t="shared" si="8"/>
        <v>0</v>
      </c>
    </row>
    <row r="1937" ht="15.75" customHeight="1">
      <c r="A1937" s="4">
        <v>1998.0</v>
      </c>
      <c r="B1937" s="4">
        <v>308.0</v>
      </c>
      <c r="C1937" s="4" t="s">
        <v>20</v>
      </c>
      <c r="D1937" s="5">
        <v>19874.310905803257</v>
      </c>
      <c r="E1937" s="5">
        <f t="shared" si="1"/>
        <v>0</v>
      </c>
      <c r="F1937" s="5">
        <f t="shared" si="2"/>
        <v>19874.31091</v>
      </c>
      <c r="G1937" s="5">
        <v>12745.790249842867</v>
      </c>
      <c r="H1937" s="5">
        <v>7058.025000817096</v>
      </c>
      <c r="I1937" s="5">
        <v>5687.765249025771</v>
      </c>
      <c r="J1937" s="5">
        <v>27018.025979886872</v>
      </c>
      <c r="K1937" s="5">
        <f t="shared" si="3"/>
        <v>27018.02598</v>
      </c>
      <c r="L1937" s="5">
        <f t="shared" si="4"/>
        <v>0</v>
      </c>
      <c r="M1937" s="5">
        <v>47166.33906279069</v>
      </c>
      <c r="N1937" s="5">
        <f t="shared" si="5"/>
        <v>0</v>
      </c>
      <c r="O1937" s="5">
        <f t="shared" si="6"/>
        <v>47166.33906</v>
      </c>
      <c r="P1937" s="5">
        <f t="shared" si="9"/>
        <v>106804.4662</v>
      </c>
      <c r="Q1937" s="5">
        <f t="shared" si="7"/>
        <v>72728.41522</v>
      </c>
      <c r="R1937" s="5">
        <f t="shared" si="8"/>
        <v>34076.05098</v>
      </c>
    </row>
    <row r="1938" ht="15.75" customHeight="1">
      <c r="A1938" s="4">
        <v>1998.0</v>
      </c>
      <c r="B1938" s="4">
        <v>309.0</v>
      </c>
      <c r="C1938" s="4" t="s">
        <v>20</v>
      </c>
      <c r="D1938" s="5" t="s">
        <v>19</v>
      </c>
      <c r="E1938" s="5" t="str">
        <f t="shared" si="1"/>
        <v/>
      </c>
      <c r="F1938" s="5" t="str">
        <f t="shared" si="2"/>
        <v/>
      </c>
      <c r="G1938" s="5">
        <v>15427.644198302954</v>
      </c>
      <c r="H1938" s="5">
        <v>6756.316431615337</v>
      </c>
      <c r="I1938" s="5">
        <v>8671.327766687617</v>
      </c>
      <c r="J1938" s="5">
        <v>8948.680884098054</v>
      </c>
      <c r="K1938" s="5">
        <f t="shared" si="3"/>
        <v>8948.680884</v>
      </c>
      <c r="L1938" s="5">
        <f t="shared" si="4"/>
        <v>0</v>
      </c>
      <c r="M1938" s="5">
        <v>1862.7199046511623</v>
      </c>
      <c r="N1938" s="5">
        <f t="shared" si="5"/>
        <v>0</v>
      </c>
      <c r="O1938" s="5">
        <f t="shared" si="6"/>
        <v>1862.719905</v>
      </c>
      <c r="P1938" s="5">
        <f t="shared" si="9"/>
        <v>26239.04499</v>
      </c>
      <c r="Q1938" s="5">
        <f t="shared" si="7"/>
        <v>10534.04767</v>
      </c>
      <c r="R1938" s="5">
        <f t="shared" si="8"/>
        <v>15704.99732</v>
      </c>
    </row>
    <row r="1939" ht="15.75" customHeight="1">
      <c r="A1939" s="4">
        <v>1998.0</v>
      </c>
      <c r="B1939" s="4">
        <v>310.0</v>
      </c>
      <c r="C1939" s="4" t="s">
        <v>20</v>
      </c>
      <c r="D1939" s="5">
        <v>23449.89150219421</v>
      </c>
      <c r="E1939" s="5">
        <f t="shared" si="1"/>
        <v>0</v>
      </c>
      <c r="F1939" s="5">
        <f t="shared" si="2"/>
        <v>23449.8915</v>
      </c>
      <c r="G1939" s="5">
        <v>7193.095457492144</v>
      </c>
      <c r="H1939" s="5">
        <v>5469.7808077775</v>
      </c>
      <c r="I1939" s="5">
        <v>1723.3146497146445</v>
      </c>
      <c r="J1939" s="5">
        <v>19361.993977372724</v>
      </c>
      <c r="K1939" s="5">
        <f t="shared" si="3"/>
        <v>19361.99398</v>
      </c>
      <c r="L1939" s="5">
        <f t="shared" si="4"/>
        <v>0</v>
      </c>
      <c r="M1939" s="5">
        <v>1277.480825581395</v>
      </c>
      <c r="N1939" s="5">
        <f t="shared" si="5"/>
        <v>0</v>
      </c>
      <c r="O1939" s="5">
        <f t="shared" si="6"/>
        <v>1277.480826</v>
      </c>
      <c r="P1939" s="5">
        <f t="shared" si="9"/>
        <v>51282.46176</v>
      </c>
      <c r="Q1939" s="5">
        <f t="shared" si="7"/>
        <v>26450.68698</v>
      </c>
      <c r="R1939" s="5">
        <f t="shared" si="8"/>
        <v>24831.77479</v>
      </c>
    </row>
    <row r="1940" ht="15.75" customHeight="1">
      <c r="A1940" s="4">
        <v>1998.0</v>
      </c>
      <c r="B1940" s="4">
        <v>311.0</v>
      </c>
      <c r="C1940" s="4" t="s">
        <v>20</v>
      </c>
      <c r="D1940" s="5">
        <v>6049.605028566936</v>
      </c>
      <c r="E1940" s="5">
        <f t="shared" si="1"/>
        <v>0</v>
      </c>
      <c r="F1940" s="5">
        <f t="shared" si="2"/>
        <v>6049.605029</v>
      </c>
      <c r="G1940" s="5" t="s">
        <v>19</v>
      </c>
      <c r="H1940" s="5" t="s">
        <v>19</v>
      </c>
      <c r="I1940" s="5" t="s">
        <v>19</v>
      </c>
      <c r="J1940" s="5">
        <v>7145.629869013201</v>
      </c>
      <c r="K1940" s="5">
        <f t="shared" si="3"/>
        <v>7145.629869</v>
      </c>
      <c r="L1940" s="5">
        <f t="shared" si="4"/>
        <v>0</v>
      </c>
      <c r="M1940" s="5">
        <v>1412.8719558139528</v>
      </c>
      <c r="N1940" s="5">
        <f t="shared" si="5"/>
        <v>0</v>
      </c>
      <c r="O1940" s="5">
        <f t="shared" si="6"/>
        <v>1412.871956</v>
      </c>
      <c r="P1940" s="5">
        <f t="shared" si="9"/>
        <v>14608.10685</v>
      </c>
      <c r="Q1940" s="5">
        <f t="shared" si="7"/>
        <v>7462.476984</v>
      </c>
      <c r="R1940" s="5">
        <f t="shared" si="8"/>
        <v>7145.629869</v>
      </c>
    </row>
    <row r="1941" ht="15.75" customHeight="1">
      <c r="A1941" s="4">
        <v>1998.0</v>
      </c>
      <c r="B1941" s="4">
        <v>312.0</v>
      </c>
      <c r="C1941" s="4" t="s">
        <v>20</v>
      </c>
      <c r="D1941" s="5">
        <v>12829.524804605271</v>
      </c>
      <c r="E1941" s="5">
        <f t="shared" si="1"/>
        <v>0</v>
      </c>
      <c r="F1941" s="5">
        <f t="shared" si="2"/>
        <v>12829.5248</v>
      </c>
      <c r="G1941" s="5">
        <v>2657.4099671590197</v>
      </c>
      <c r="H1941" s="5">
        <v>1512.0348433375236</v>
      </c>
      <c r="I1941" s="5">
        <v>1145.3751238214961</v>
      </c>
      <c r="J1941" s="5">
        <v>16732.313419987433</v>
      </c>
      <c r="K1941" s="5">
        <f t="shared" si="3"/>
        <v>16732.31342</v>
      </c>
      <c r="L1941" s="5">
        <f t="shared" si="4"/>
        <v>0</v>
      </c>
      <c r="M1941" s="5">
        <v>842.9189720930231</v>
      </c>
      <c r="N1941" s="5">
        <f t="shared" si="5"/>
        <v>0</v>
      </c>
      <c r="O1941" s="5">
        <f t="shared" si="6"/>
        <v>842.9189721</v>
      </c>
      <c r="P1941" s="5">
        <f t="shared" si="9"/>
        <v>33062.16716</v>
      </c>
      <c r="Q1941" s="5">
        <f t="shared" si="7"/>
        <v>14817.8189</v>
      </c>
      <c r="R1941" s="5">
        <f t="shared" si="8"/>
        <v>18244.34826</v>
      </c>
    </row>
    <row r="1942" ht="15.75" customHeight="1">
      <c r="A1942" s="4">
        <v>1998.0</v>
      </c>
      <c r="B1942" s="4">
        <v>313.0</v>
      </c>
      <c r="C1942" s="4" t="s">
        <v>20</v>
      </c>
      <c r="D1942" s="5">
        <v>64104.53828449274</v>
      </c>
      <c r="E1942" s="5">
        <f t="shared" si="1"/>
        <v>0</v>
      </c>
      <c r="F1942" s="5">
        <f t="shared" si="2"/>
        <v>64104.53828</v>
      </c>
      <c r="G1942" s="5">
        <v>14697.816756599623</v>
      </c>
      <c r="H1942" s="5">
        <v>6407.11669874293</v>
      </c>
      <c r="I1942" s="5">
        <v>8290.700057856693</v>
      </c>
      <c r="J1942" s="5">
        <v>435.5061682589567</v>
      </c>
      <c r="K1942" s="5">
        <f t="shared" si="3"/>
        <v>435.5061683</v>
      </c>
      <c r="L1942" s="5">
        <f t="shared" si="4"/>
        <v>0</v>
      </c>
      <c r="M1942" s="5">
        <v>3072.5051651162794</v>
      </c>
      <c r="N1942" s="5">
        <f t="shared" si="5"/>
        <v>0</v>
      </c>
      <c r="O1942" s="5">
        <f t="shared" si="6"/>
        <v>3072.505165</v>
      </c>
      <c r="P1942" s="5">
        <f t="shared" si="9"/>
        <v>82310.36637</v>
      </c>
      <c r="Q1942" s="5">
        <f t="shared" si="7"/>
        <v>75467.74351</v>
      </c>
      <c r="R1942" s="5">
        <f t="shared" si="8"/>
        <v>6842.622867</v>
      </c>
    </row>
    <row r="1943" ht="15.75" customHeight="1">
      <c r="A1943" s="4">
        <v>1998.0</v>
      </c>
      <c r="B1943" s="4">
        <v>314.0</v>
      </c>
      <c r="C1943" s="4" t="s">
        <v>20</v>
      </c>
      <c r="D1943" s="5">
        <v>3658.078689000626</v>
      </c>
      <c r="E1943" s="5">
        <f t="shared" si="1"/>
        <v>0</v>
      </c>
      <c r="F1943" s="5">
        <f t="shared" si="2"/>
        <v>3658.078689</v>
      </c>
      <c r="G1943" s="5">
        <v>3575.8052646134506</v>
      </c>
      <c r="H1943" s="5">
        <v>2152.467153425519</v>
      </c>
      <c r="I1943" s="5">
        <v>1423.3381111879316</v>
      </c>
      <c r="J1943" s="5">
        <v>1658.8069338780645</v>
      </c>
      <c r="K1943" s="5">
        <f t="shared" si="3"/>
        <v>1658.806934</v>
      </c>
      <c r="L1943" s="5">
        <f t="shared" si="4"/>
        <v>0</v>
      </c>
      <c r="M1943" s="5">
        <v>4341.251079069767</v>
      </c>
      <c r="N1943" s="5">
        <f t="shared" si="5"/>
        <v>0</v>
      </c>
      <c r="O1943" s="5">
        <f t="shared" si="6"/>
        <v>4341.251079</v>
      </c>
      <c r="P1943" s="5">
        <f t="shared" si="9"/>
        <v>13233.94197</v>
      </c>
      <c r="Q1943" s="5">
        <f t="shared" si="7"/>
        <v>9422.667879</v>
      </c>
      <c r="R1943" s="5">
        <f t="shared" si="8"/>
        <v>3811.274087</v>
      </c>
    </row>
    <row r="1944" ht="15.75" customHeight="1">
      <c r="A1944" s="4">
        <v>1998.0</v>
      </c>
      <c r="B1944" s="4">
        <v>320.0</v>
      </c>
      <c r="C1944" s="4" t="s">
        <v>20</v>
      </c>
      <c r="D1944" s="5">
        <v>251657.44688095522</v>
      </c>
      <c r="E1944" s="5">
        <f t="shared" si="1"/>
        <v>0</v>
      </c>
      <c r="F1944" s="5">
        <f t="shared" si="2"/>
        <v>251657.4469</v>
      </c>
      <c r="G1944" s="5">
        <v>36784.69986077939</v>
      </c>
      <c r="H1944" s="5">
        <v>19680.896944688877</v>
      </c>
      <c r="I1944" s="5">
        <v>17103.80291609051</v>
      </c>
      <c r="J1944" s="5">
        <v>31173.365088497805</v>
      </c>
      <c r="K1944" s="5">
        <f t="shared" si="3"/>
        <v>31173.36509</v>
      </c>
      <c r="L1944" s="5">
        <f t="shared" si="4"/>
        <v>0</v>
      </c>
      <c r="M1944" s="5">
        <v>60901.98759767439</v>
      </c>
      <c r="N1944" s="5">
        <f t="shared" si="5"/>
        <v>0</v>
      </c>
      <c r="O1944" s="5">
        <f t="shared" si="6"/>
        <v>60901.9876</v>
      </c>
      <c r="P1944" s="5">
        <f t="shared" si="9"/>
        <v>380517.4994</v>
      </c>
      <c r="Q1944" s="5">
        <f t="shared" si="7"/>
        <v>329663.2374</v>
      </c>
      <c r="R1944" s="5">
        <f t="shared" si="8"/>
        <v>50854.26203</v>
      </c>
    </row>
    <row r="1945" ht="15.75" customHeight="1">
      <c r="A1945" s="4">
        <v>1998.0</v>
      </c>
      <c r="B1945" s="4">
        <v>321.0</v>
      </c>
      <c r="C1945" s="4" t="s">
        <v>20</v>
      </c>
      <c r="D1945" s="5">
        <v>209215.92814657564</v>
      </c>
      <c r="E1945" s="5">
        <f t="shared" si="1"/>
        <v>0</v>
      </c>
      <c r="F1945" s="5">
        <f t="shared" si="2"/>
        <v>209215.9281</v>
      </c>
      <c r="G1945" s="5">
        <v>56218.6427543809</v>
      </c>
      <c r="H1945" s="5">
        <v>37557.32522174356</v>
      </c>
      <c r="I1945" s="5">
        <v>18661.31753263734</v>
      </c>
      <c r="J1945" s="5">
        <v>26302.353423130113</v>
      </c>
      <c r="K1945" s="5">
        <f t="shared" si="3"/>
        <v>26302.35342</v>
      </c>
      <c r="L1945" s="5">
        <f t="shared" si="4"/>
        <v>0</v>
      </c>
      <c r="M1945" s="5">
        <v>47568.14499767442</v>
      </c>
      <c r="N1945" s="5">
        <f t="shared" si="5"/>
        <v>0</v>
      </c>
      <c r="O1945" s="5">
        <f t="shared" si="6"/>
        <v>47568.145</v>
      </c>
      <c r="P1945" s="5">
        <f t="shared" si="9"/>
        <v>339305.0693</v>
      </c>
      <c r="Q1945" s="5">
        <f t="shared" si="7"/>
        <v>275445.3907</v>
      </c>
      <c r="R1945" s="5">
        <f t="shared" si="8"/>
        <v>63859.67864</v>
      </c>
    </row>
    <row r="1946" ht="15.75" customHeight="1">
      <c r="A1946" s="4">
        <v>1998.0</v>
      </c>
      <c r="B1946" s="4">
        <v>322.0</v>
      </c>
      <c r="C1946" s="4" t="s">
        <v>20</v>
      </c>
      <c r="D1946" s="5">
        <v>15099.14069748585</v>
      </c>
      <c r="E1946" s="5">
        <f t="shared" si="1"/>
        <v>0</v>
      </c>
      <c r="F1946" s="5">
        <f t="shared" si="2"/>
        <v>15099.1407</v>
      </c>
      <c r="G1946" s="5" t="s">
        <v>19</v>
      </c>
      <c r="H1946" s="5" t="s">
        <v>19</v>
      </c>
      <c r="I1946" s="5" t="s">
        <v>19</v>
      </c>
      <c r="J1946" s="5">
        <v>0.0</v>
      </c>
      <c r="K1946" s="5">
        <f t="shared" si="3"/>
        <v>0</v>
      </c>
      <c r="L1946" s="5">
        <f t="shared" si="4"/>
        <v>0</v>
      </c>
      <c r="M1946" s="5">
        <v>24339.83125116279</v>
      </c>
      <c r="N1946" s="5">
        <f t="shared" si="5"/>
        <v>0</v>
      </c>
      <c r="O1946" s="5">
        <f t="shared" si="6"/>
        <v>24339.83125</v>
      </c>
      <c r="P1946" s="5">
        <f t="shared" si="9"/>
        <v>39438.97195</v>
      </c>
      <c r="Q1946" s="5">
        <f t="shared" si="7"/>
        <v>39438.97195</v>
      </c>
      <c r="R1946" s="5">
        <f t="shared" si="8"/>
        <v>0</v>
      </c>
    </row>
    <row r="1947" ht="15.75" customHeight="1">
      <c r="A1947" s="4">
        <v>1998.0</v>
      </c>
      <c r="B1947" s="4">
        <v>323.0</v>
      </c>
      <c r="C1947" s="4" t="s">
        <v>20</v>
      </c>
      <c r="D1947" s="5">
        <v>3619.814267567566</v>
      </c>
      <c r="E1947" s="5">
        <f t="shared" si="1"/>
        <v>0</v>
      </c>
      <c r="F1947" s="5">
        <f t="shared" si="2"/>
        <v>3619.814268</v>
      </c>
      <c r="G1947" s="5" t="s">
        <v>19</v>
      </c>
      <c r="H1947" s="5" t="s">
        <v>19</v>
      </c>
      <c r="I1947" s="5" t="s">
        <v>19</v>
      </c>
      <c r="J1947" s="5">
        <v>477.11503783783803</v>
      </c>
      <c r="K1947" s="5">
        <f t="shared" si="3"/>
        <v>477.1150378</v>
      </c>
      <c r="L1947" s="5">
        <f t="shared" si="4"/>
        <v>0</v>
      </c>
      <c r="M1947" s="5">
        <v>207786.07780465117</v>
      </c>
      <c r="N1947" s="5">
        <f t="shared" si="5"/>
        <v>0</v>
      </c>
      <c r="O1947" s="5">
        <f t="shared" si="6"/>
        <v>207786.0778</v>
      </c>
      <c r="P1947" s="5">
        <f t="shared" si="9"/>
        <v>211883.0071</v>
      </c>
      <c r="Q1947" s="5">
        <f t="shared" si="7"/>
        <v>211405.8921</v>
      </c>
      <c r="R1947" s="5">
        <f t="shared" si="8"/>
        <v>477.1150378</v>
      </c>
    </row>
    <row r="1948" ht="15.75" customHeight="1">
      <c r="A1948" s="4">
        <v>1998.0</v>
      </c>
      <c r="B1948" s="4">
        <v>324.0</v>
      </c>
      <c r="C1948" s="4" t="s">
        <v>20</v>
      </c>
      <c r="D1948" s="5">
        <v>11066.070678441227</v>
      </c>
      <c r="E1948" s="5">
        <f t="shared" si="1"/>
        <v>0</v>
      </c>
      <c r="F1948" s="5">
        <f t="shared" si="2"/>
        <v>11066.07068</v>
      </c>
      <c r="G1948" s="5" t="s">
        <v>19</v>
      </c>
      <c r="H1948" s="5" t="s">
        <v>19</v>
      </c>
      <c r="I1948" s="5" t="s">
        <v>19</v>
      </c>
      <c r="J1948" s="5">
        <v>0.0</v>
      </c>
      <c r="K1948" s="5">
        <f t="shared" si="3"/>
        <v>0</v>
      </c>
      <c r="L1948" s="5">
        <f t="shared" si="4"/>
        <v>0</v>
      </c>
      <c r="M1948" s="5">
        <v>23234.864930232558</v>
      </c>
      <c r="N1948" s="5">
        <f t="shared" si="5"/>
        <v>0</v>
      </c>
      <c r="O1948" s="5">
        <f t="shared" si="6"/>
        <v>23234.86493</v>
      </c>
      <c r="P1948" s="5">
        <f t="shared" si="9"/>
        <v>34300.93561</v>
      </c>
      <c r="Q1948" s="5">
        <f t="shared" si="7"/>
        <v>34300.93561</v>
      </c>
      <c r="R1948" s="5">
        <f t="shared" si="8"/>
        <v>0</v>
      </c>
    </row>
    <row r="1949" ht="15.75" customHeight="1">
      <c r="A1949" s="4">
        <v>1998.0</v>
      </c>
      <c r="B1949" s="4">
        <v>325.0</v>
      </c>
      <c r="C1949" s="4" t="s">
        <v>20</v>
      </c>
      <c r="D1949" s="5">
        <v>2678.509500314267</v>
      </c>
      <c r="E1949" s="5">
        <f t="shared" si="1"/>
        <v>0</v>
      </c>
      <c r="F1949" s="5">
        <f t="shared" si="2"/>
        <v>2678.5095</v>
      </c>
      <c r="G1949" s="5" t="s">
        <v>19</v>
      </c>
      <c r="H1949" s="5" t="s">
        <v>19</v>
      </c>
      <c r="I1949" s="5" t="s">
        <v>19</v>
      </c>
      <c r="J1949" s="5">
        <v>0.0</v>
      </c>
      <c r="K1949" s="5">
        <f t="shared" si="3"/>
        <v>0</v>
      </c>
      <c r="L1949" s="5">
        <f t="shared" si="4"/>
        <v>0</v>
      </c>
      <c r="M1949" s="5">
        <v>6979.194390697674</v>
      </c>
      <c r="N1949" s="5">
        <f t="shared" si="5"/>
        <v>0</v>
      </c>
      <c r="O1949" s="5">
        <f t="shared" si="6"/>
        <v>6979.194391</v>
      </c>
      <c r="P1949" s="5">
        <f t="shared" si="9"/>
        <v>9657.703891</v>
      </c>
      <c r="Q1949" s="5">
        <f t="shared" si="7"/>
        <v>9657.703891</v>
      </c>
      <c r="R1949" s="5">
        <f t="shared" si="8"/>
        <v>0</v>
      </c>
    </row>
    <row r="1950" ht="15.75" customHeight="1">
      <c r="A1950" s="4">
        <v>1998.0</v>
      </c>
      <c r="B1950" s="4">
        <v>326.0</v>
      </c>
      <c r="C1950" s="4" t="s">
        <v>20</v>
      </c>
      <c r="D1950" s="5">
        <v>1920.8739559396597</v>
      </c>
      <c r="E1950" s="5">
        <f t="shared" si="1"/>
        <v>0</v>
      </c>
      <c r="F1950" s="5">
        <f t="shared" si="2"/>
        <v>1920.873956</v>
      </c>
      <c r="G1950" s="5" t="s">
        <v>19</v>
      </c>
      <c r="H1950" s="5" t="s">
        <v>19</v>
      </c>
      <c r="I1950" s="5" t="s">
        <v>19</v>
      </c>
      <c r="J1950" s="5">
        <v>0.0</v>
      </c>
      <c r="K1950" s="5">
        <f t="shared" si="3"/>
        <v>0</v>
      </c>
      <c r="L1950" s="5">
        <f t="shared" si="4"/>
        <v>0</v>
      </c>
      <c r="M1950" s="5">
        <v>22494.581169767436</v>
      </c>
      <c r="N1950" s="5">
        <f t="shared" si="5"/>
        <v>0</v>
      </c>
      <c r="O1950" s="5">
        <f t="shared" si="6"/>
        <v>22494.58117</v>
      </c>
      <c r="P1950" s="5">
        <f t="shared" si="9"/>
        <v>24415.45513</v>
      </c>
      <c r="Q1950" s="5">
        <f t="shared" si="7"/>
        <v>24415.45513</v>
      </c>
      <c r="R1950" s="5">
        <f t="shared" si="8"/>
        <v>0</v>
      </c>
    </row>
    <row r="1951" ht="15.75" customHeight="1">
      <c r="A1951" s="4">
        <v>1998.0</v>
      </c>
      <c r="B1951" s="4">
        <v>327.0</v>
      </c>
      <c r="C1951" s="4" t="s">
        <v>20</v>
      </c>
      <c r="D1951" s="5">
        <v>123988.89352913317</v>
      </c>
      <c r="E1951" s="5">
        <f t="shared" si="1"/>
        <v>0</v>
      </c>
      <c r="F1951" s="5">
        <f t="shared" si="2"/>
        <v>123988.8935</v>
      </c>
      <c r="G1951" s="5">
        <v>19281.41245028284</v>
      </c>
      <c r="H1951" s="5">
        <v>6053.307529396607</v>
      </c>
      <c r="I1951" s="5">
        <v>13228.104920886235</v>
      </c>
      <c r="J1951" s="5">
        <v>488.21073639220623</v>
      </c>
      <c r="K1951" s="5">
        <f t="shared" si="3"/>
        <v>488.2107364</v>
      </c>
      <c r="L1951" s="5">
        <f t="shared" si="4"/>
        <v>0</v>
      </c>
      <c r="M1951" s="5">
        <v>29006.894533953477</v>
      </c>
      <c r="N1951" s="5">
        <f t="shared" si="5"/>
        <v>0</v>
      </c>
      <c r="O1951" s="5">
        <f t="shared" si="6"/>
        <v>29006.89453</v>
      </c>
      <c r="P1951" s="5">
        <f t="shared" si="9"/>
        <v>172765.4112</v>
      </c>
      <c r="Q1951" s="5">
        <f t="shared" si="7"/>
        <v>166223.893</v>
      </c>
      <c r="R1951" s="5">
        <f t="shared" si="8"/>
        <v>6541.518266</v>
      </c>
    </row>
    <row r="1952" ht="15.75" customHeight="1">
      <c r="A1952" s="4">
        <v>1998.0</v>
      </c>
      <c r="B1952" s="4">
        <v>328.0</v>
      </c>
      <c r="C1952" s="4" t="s">
        <v>20</v>
      </c>
      <c r="D1952" s="5">
        <v>50956.73002240725</v>
      </c>
      <c r="E1952" s="5">
        <f t="shared" si="1"/>
        <v>0</v>
      </c>
      <c r="F1952" s="5">
        <f t="shared" si="2"/>
        <v>50956.73002</v>
      </c>
      <c r="G1952" s="5">
        <v>2919.3097668133246</v>
      </c>
      <c r="H1952" s="5">
        <v>1958.31210194846</v>
      </c>
      <c r="I1952" s="5">
        <v>960.9976648648646</v>
      </c>
      <c r="J1952" s="5">
        <v>138.69623192960404</v>
      </c>
      <c r="K1952" s="5">
        <f t="shared" si="3"/>
        <v>138.6962319</v>
      </c>
      <c r="L1952" s="5">
        <f t="shared" si="4"/>
        <v>0</v>
      </c>
      <c r="M1952" s="5">
        <v>312332.0513511627</v>
      </c>
      <c r="N1952" s="5">
        <f t="shared" si="5"/>
        <v>0</v>
      </c>
      <c r="O1952" s="5">
        <f t="shared" si="6"/>
        <v>312332.0514</v>
      </c>
      <c r="P1952" s="5">
        <f t="shared" si="9"/>
        <v>366346.7874</v>
      </c>
      <c r="Q1952" s="5">
        <f t="shared" si="7"/>
        <v>364249.779</v>
      </c>
      <c r="R1952" s="5">
        <f t="shared" si="8"/>
        <v>2097.008334</v>
      </c>
    </row>
    <row r="1953" ht="15.75" customHeight="1">
      <c r="A1953" s="4">
        <v>1998.0</v>
      </c>
      <c r="B1953" s="4">
        <v>331.0</v>
      </c>
      <c r="C1953" s="4" t="s">
        <v>20</v>
      </c>
      <c r="D1953" s="5">
        <v>331037.83096111176</v>
      </c>
      <c r="E1953" s="5">
        <f t="shared" si="1"/>
        <v>0</v>
      </c>
      <c r="F1953" s="5">
        <f t="shared" si="2"/>
        <v>331037.831</v>
      </c>
      <c r="G1953" s="5">
        <v>168647.26810976744</v>
      </c>
      <c r="H1953" s="5">
        <v>38477.17319008674</v>
      </c>
      <c r="I1953" s="5">
        <v>130170.0949196807</v>
      </c>
      <c r="J1953" s="5">
        <v>8477.1136955374</v>
      </c>
      <c r="K1953" s="5">
        <f t="shared" si="3"/>
        <v>8477.113696</v>
      </c>
      <c r="L1953" s="5">
        <f t="shared" si="4"/>
        <v>0</v>
      </c>
      <c r="M1953" s="5">
        <v>63962.111025558144</v>
      </c>
      <c r="N1953" s="5">
        <f t="shared" si="5"/>
        <v>0</v>
      </c>
      <c r="O1953" s="5">
        <f t="shared" si="6"/>
        <v>63962.11103</v>
      </c>
      <c r="P1953" s="5">
        <f t="shared" si="9"/>
        <v>572124.3238</v>
      </c>
      <c r="Q1953" s="5">
        <f t="shared" si="7"/>
        <v>525170.0369</v>
      </c>
      <c r="R1953" s="5">
        <f t="shared" si="8"/>
        <v>46954.28689</v>
      </c>
    </row>
    <row r="1954" ht="15.75" customHeight="1">
      <c r="A1954" s="4">
        <v>1998.0</v>
      </c>
      <c r="B1954" s="4">
        <v>332.0</v>
      </c>
      <c r="C1954" s="4" t="s">
        <v>20</v>
      </c>
      <c r="D1954" s="5">
        <v>11050.764909868001</v>
      </c>
      <c r="E1954" s="5">
        <f t="shared" si="1"/>
        <v>0</v>
      </c>
      <c r="F1954" s="5">
        <f t="shared" si="2"/>
        <v>11050.76491</v>
      </c>
      <c r="G1954" s="5" t="s">
        <v>19</v>
      </c>
      <c r="H1954" s="5" t="s">
        <v>19</v>
      </c>
      <c r="I1954" s="5" t="s">
        <v>19</v>
      </c>
      <c r="J1954" s="5">
        <v>0.0</v>
      </c>
      <c r="K1954" s="5">
        <f t="shared" si="3"/>
        <v>0</v>
      </c>
      <c r="L1954" s="5">
        <f t="shared" si="4"/>
        <v>0</v>
      </c>
      <c r="M1954" s="5">
        <v>46091.94493255811</v>
      </c>
      <c r="N1954" s="5">
        <f t="shared" si="5"/>
        <v>0</v>
      </c>
      <c r="O1954" s="5">
        <f t="shared" si="6"/>
        <v>46091.94493</v>
      </c>
      <c r="P1954" s="5">
        <f t="shared" si="9"/>
        <v>57142.70984</v>
      </c>
      <c r="Q1954" s="5">
        <f t="shared" si="7"/>
        <v>57142.70984</v>
      </c>
      <c r="R1954" s="5">
        <f t="shared" si="8"/>
        <v>0</v>
      </c>
    </row>
    <row r="1955" ht="15.75" customHeight="1">
      <c r="A1955" s="4">
        <v>1998.0</v>
      </c>
      <c r="B1955" s="4">
        <v>333.0</v>
      </c>
      <c r="C1955" s="4" t="s">
        <v>20</v>
      </c>
      <c r="D1955" s="5">
        <v>10117.113026901314</v>
      </c>
      <c r="E1955" s="5">
        <f t="shared" si="1"/>
        <v>0</v>
      </c>
      <c r="F1955" s="5">
        <f t="shared" si="2"/>
        <v>10117.11303</v>
      </c>
      <c r="G1955" s="5" t="s">
        <v>19</v>
      </c>
      <c r="H1955" s="5" t="s">
        <v>19</v>
      </c>
      <c r="I1955" s="5" t="s">
        <v>19</v>
      </c>
      <c r="J1955" s="5">
        <v>0.0</v>
      </c>
      <c r="K1955" s="5">
        <f t="shared" si="3"/>
        <v>0</v>
      </c>
      <c r="L1955" s="5">
        <f t="shared" si="4"/>
        <v>0</v>
      </c>
      <c r="M1955" s="5">
        <v>10667.510825581394</v>
      </c>
      <c r="N1955" s="5">
        <f t="shared" si="5"/>
        <v>0</v>
      </c>
      <c r="O1955" s="5">
        <f t="shared" si="6"/>
        <v>10667.51083</v>
      </c>
      <c r="P1955" s="5">
        <f t="shared" si="9"/>
        <v>20784.62385</v>
      </c>
      <c r="Q1955" s="5">
        <f t="shared" si="7"/>
        <v>20784.62385</v>
      </c>
      <c r="R1955" s="5">
        <f t="shared" si="8"/>
        <v>0</v>
      </c>
    </row>
    <row r="1956" ht="15.75" customHeight="1">
      <c r="A1956" s="4">
        <v>1998.0</v>
      </c>
      <c r="B1956" s="4">
        <v>400.0</v>
      </c>
      <c r="C1956" s="4" t="s">
        <v>21</v>
      </c>
      <c r="D1956" s="5">
        <v>1446.6902285355113</v>
      </c>
      <c r="E1956" s="5">
        <f t="shared" si="1"/>
        <v>0</v>
      </c>
      <c r="F1956" s="5">
        <f t="shared" si="2"/>
        <v>1446.690229</v>
      </c>
      <c r="G1956" s="5">
        <v>6066.907629415462</v>
      </c>
      <c r="H1956" s="5">
        <v>3641.5925269641734</v>
      </c>
      <c r="I1956" s="5">
        <v>2425.3151024512886</v>
      </c>
      <c r="J1956" s="5">
        <v>193374.90976398496</v>
      </c>
      <c r="K1956" s="5">
        <f t="shared" si="3"/>
        <v>193374.9098</v>
      </c>
      <c r="L1956" s="5">
        <f t="shared" si="4"/>
        <v>0</v>
      </c>
      <c r="M1956" s="5">
        <v>293.740913324953</v>
      </c>
      <c r="N1956" s="5">
        <f t="shared" si="5"/>
        <v>0</v>
      </c>
      <c r="O1956" s="5">
        <f t="shared" si="6"/>
        <v>293.7409133</v>
      </c>
      <c r="P1956" s="5">
        <f t="shared" si="9"/>
        <v>201182.2485</v>
      </c>
      <c r="Q1956" s="5">
        <f t="shared" si="7"/>
        <v>4165.746244</v>
      </c>
      <c r="R1956" s="5">
        <f t="shared" si="8"/>
        <v>197016.5023</v>
      </c>
    </row>
    <row r="1957" ht="15.75" customHeight="1">
      <c r="A1957" s="4">
        <v>1998.0</v>
      </c>
      <c r="B1957" s="4">
        <v>401.0</v>
      </c>
      <c r="C1957" s="4" t="s">
        <v>21</v>
      </c>
      <c r="D1957" s="5">
        <v>911.7162377749837</v>
      </c>
      <c r="E1957" s="5">
        <f t="shared" si="1"/>
        <v>0</v>
      </c>
      <c r="F1957" s="5">
        <f t="shared" si="2"/>
        <v>911.7162378</v>
      </c>
      <c r="G1957" s="5">
        <v>8970.046005782528</v>
      </c>
      <c r="H1957" s="5">
        <v>7067.440606008801</v>
      </c>
      <c r="I1957" s="5">
        <v>1902.6053997737263</v>
      </c>
      <c r="J1957" s="5">
        <v>578462.636929604</v>
      </c>
      <c r="K1957" s="5">
        <f t="shared" si="3"/>
        <v>578462.6369</v>
      </c>
      <c r="L1957" s="5">
        <f t="shared" si="4"/>
        <v>0</v>
      </c>
      <c r="M1957" s="5">
        <v>2052.468153865495</v>
      </c>
      <c r="N1957" s="5">
        <f t="shared" si="5"/>
        <v>0</v>
      </c>
      <c r="O1957" s="5">
        <f t="shared" si="6"/>
        <v>2052.468154</v>
      </c>
      <c r="P1957" s="5">
        <f t="shared" si="9"/>
        <v>590396.8673</v>
      </c>
      <c r="Q1957" s="5">
        <f t="shared" si="7"/>
        <v>4866.789791</v>
      </c>
      <c r="R1957" s="5">
        <f t="shared" si="8"/>
        <v>585530.0775</v>
      </c>
    </row>
    <row r="1958" ht="15.75" customHeight="1">
      <c r="A1958" s="4">
        <v>1998.0</v>
      </c>
      <c r="B1958" s="4">
        <v>402.0</v>
      </c>
      <c r="C1958" s="4" t="s">
        <v>21</v>
      </c>
      <c r="D1958" s="5">
        <v>1092.5525163419225</v>
      </c>
      <c r="E1958" s="5">
        <f t="shared" si="1"/>
        <v>0</v>
      </c>
      <c r="F1958" s="5">
        <f t="shared" si="2"/>
        <v>1092.552516</v>
      </c>
      <c r="G1958" s="5">
        <v>11503.957306851036</v>
      </c>
      <c r="H1958" s="5">
        <v>8773.124898956632</v>
      </c>
      <c r="I1958" s="5">
        <v>2730.8324078944042</v>
      </c>
      <c r="J1958" s="5">
        <v>385883.3517062854</v>
      </c>
      <c r="K1958" s="5">
        <f t="shared" si="3"/>
        <v>385883.3517</v>
      </c>
      <c r="L1958" s="5">
        <f t="shared" si="4"/>
        <v>0</v>
      </c>
      <c r="M1958" s="5">
        <v>6753.56218020113</v>
      </c>
      <c r="N1958" s="5">
        <f t="shared" si="5"/>
        <v>0</v>
      </c>
      <c r="O1958" s="5">
        <f t="shared" si="6"/>
        <v>6753.56218</v>
      </c>
      <c r="P1958" s="5">
        <f t="shared" si="9"/>
        <v>405233.4237</v>
      </c>
      <c r="Q1958" s="5">
        <f t="shared" si="7"/>
        <v>10576.9471</v>
      </c>
      <c r="R1958" s="5">
        <f t="shared" si="8"/>
        <v>394656.4766</v>
      </c>
    </row>
    <row r="1959" ht="15.75" customHeight="1">
      <c r="A1959" s="4">
        <v>1998.0</v>
      </c>
      <c r="B1959" s="4">
        <v>403.0</v>
      </c>
      <c r="C1959" s="4" t="s">
        <v>21</v>
      </c>
      <c r="D1959" s="5">
        <v>6532.710563230669</v>
      </c>
      <c r="E1959" s="5">
        <f t="shared" si="1"/>
        <v>0</v>
      </c>
      <c r="F1959" s="5">
        <f t="shared" si="2"/>
        <v>6532.710563</v>
      </c>
      <c r="G1959" s="5">
        <v>21921.952627529856</v>
      </c>
      <c r="H1959" s="5">
        <v>16156.218455612823</v>
      </c>
      <c r="I1959" s="5">
        <v>5765.734171917033</v>
      </c>
      <c r="J1959" s="5">
        <v>1206837.090078127</v>
      </c>
      <c r="K1959" s="5">
        <f t="shared" si="3"/>
        <v>1206837.09</v>
      </c>
      <c r="L1959" s="5">
        <f t="shared" si="4"/>
        <v>0</v>
      </c>
      <c r="M1959" s="5">
        <v>23698.818580955398</v>
      </c>
      <c r="N1959" s="5">
        <f t="shared" si="5"/>
        <v>0</v>
      </c>
      <c r="O1959" s="5">
        <f t="shared" si="6"/>
        <v>23698.81858</v>
      </c>
      <c r="P1959" s="5">
        <f t="shared" si="9"/>
        <v>1258990.572</v>
      </c>
      <c r="Q1959" s="5">
        <f t="shared" si="7"/>
        <v>35997.26332</v>
      </c>
      <c r="R1959" s="5">
        <f t="shared" si="8"/>
        <v>1222993.309</v>
      </c>
    </row>
    <row r="1960" ht="15.75" customHeight="1">
      <c r="A1960" s="4">
        <v>1998.0</v>
      </c>
      <c r="B1960" s="4">
        <v>404.0</v>
      </c>
      <c r="C1960" s="4" t="s">
        <v>21</v>
      </c>
      <c r="D1960" s="5">
        <v>10970.734233060959</v>
      </c>
      <c r="E1960" s="5">
        <f t="shared" si="1"/>
        <v>0</v>
      </c>
      <c r="F1960" s="5">
        <f t="shared" si="2"/>
        <v>10970.73423</v>
      </c>
      <c r="G1960" s="5">
        <v>25853.135017473287</v>
      </c>
      <c r="H1960" s="5">
        <v>17059.73882810811</v>
      </c>
      <c r="I1960" s="5">
        <v>8793.396189365176</v>
      </c>
      <c r="J1960" s="5">
        <v>633540.5631796983</v>
      </c>
      <c r="K1960" s="5">
        <f t="shared" si="3"/>
        <v>633540.5632</v>
      </c>
      <c r="L1960" s="5">
        <f t="shared" si="4"/>
        <v>0</v>
      </c>
      <c r="M1960" s="5">
        <v>1680.6442129478328</v>
      </c>
      <c r="N1960" s="5">
        <f t="shared" si="5"/>
        <v>0</v>
      </c>
      <c r="O1960" s="5">
        <f t="shared" si="6"/>
        <v>1680.644213</v>
      </c>
      <c r="P1960" s="5">
        <f t="shared" si="9"/>
        <v>672045.0766</v>
      </c>
      <c r="Q1960" s="5">
        <f t="shared" si="7"/>
        <v>21444.77464</v>
      </c>
      <c r="R1960" s="5">
        <f t="shared" si="8"/>
        <v>650600.302</v>
      </c>
    </row>
    <row r="1961" ht="15.75" customHeight="1">
      <c r="A1961" s="4">
        <v>1998.0</v>
      </c>
      <c r="B1961" s="4">
        <v>405.0</v>
      </c>
      <c r="C1961" s="4" t="s">
        <v>21</v>
      </c>
      <c r="D1961" s="5">
        <v>19432.365101005646</v>
      </c>
      <c r="E1961" s="5">
        <f t="shared" si="1"/>
        <v>0</v>
      </c>
      <c r="F1961" s="5">
        <f t="shared" si="2"/>
        <v>19432.3651</v>
      </c>
      <c r="G1961" s="5">
        <v>11844.225395851667</v>
      </c>
      <c r="H1961" s="5">
        <v>6790.882286863609</v>
      </c>
      <c r="I1961" s="5">
        <v>5053.343108988058</v>
      </c>
      <c r="J1961" s="5">
        <v>183914.60700647393</v>
      </c>
      <c r="K1961" s="5">
        <f t="shared" si="3"/>
        <v>183914.607</v>
      </c>
      <c r="L1961" s="5">
        <f t="shared" si="4"/>
        <v>0</v>
      </c>
      <c r="M1961" s="5">
        <v>676.7195724701451</v>
      </c>
      <c r="N1961" s="5">
        <f t="shared" si="5"/>
        <v>0</v>
      </c>
      <c r="O1961" s="5">
        <f t="shared" si="6"/>
        <v>676.7195725</v>
      </c>
      <c r="P1961" s="5">
        <f t="shared" si="9"/>
        <v>215867.9171</v>
      </c>
      <c r="Q1961" s="5">
        <f t="shared" si="7"/>
        <v>25162.42778</v>
      </c>
      <c r="R1961" s="5">
        <f t="shared" si="8"/>
        <v>190705.4893</v>
      </c>
    </row>
    <row r="1962" ht="15.75" customHeight="1">
      <c r="A1962" s="4">
        <v>1998.0</v>
      </c>
      <c r="B1962" s="4">
        <v>406.0</v>
      </c>
      <c r="C1962" s="4" t="s">
        <v>21</v>
      </c>
      <c r="D1962" s="5" t="s">
        <v>19</v>
      </c>
      <c r="E1962" s="5" t="str">
        <f t="shared" si="1"/>
        <v/>
      </c>
      <c r="F1962" s="5" t="str">
        <f t="shared" si="2"/>
        <v/>
      </c>
      <c r="G1962" s="5" t="s">
        <v>19</v>
      </c>
      <c r="H1962" s="5" t="s">
        <v>19</v>
      </c>
      <c r="I1962" s="5" t="s">
        <v>19</v>
      </c>
      <c r="J1962" s="5">
        <v>34691.409766310506</v>
      </c>
      <c r="K1962" s="5">
        <f t="shared" si="3"/>
        <v>34691.40977</v>
      </c>
      <c r="L1962" s="5">
        <f t="shared" si="4"/>
        <v>0</v>
      </c>
      <c r="M1962" s="5">
        <v>0.0</v>
      </c>
      <c r="N1962" s="5">
        <f t="shared" si="5"/>
        <v>0</v>
      </c>
      <c r="O1962" s="5">
        <f t="shared" si="6"/>
        <v>0</v>
      </c>
      <c r="P1962" s="5">
        <f t="shared" si="9"/>
        <v>34691.40977</v>
      </c>
      <c r="Q1962" s="5">
        <f t="shared" si="7"/>
        <v>0</v>
      </c>
      <c r="R1962" s="5">
        <f t="shared" si="8"/>
        <v>34691.40977</v>
      </c>
    </row>
    <row r="1963" ht="15.75" customHeight="1">
      <c r="A1963" s="4">
        <v>1998.0</v>
      </c>
      <c r="B1963" s="4">
        <v>407.0</v>
      </c>
      <c r="C1963" s="4" t="s">
        <v>21</v>
      </c>
      <c r="D1963" s="5">
        <v>4588.720568636076</v>
      </c>
      <c r="E1963" s="5">
        <f t="shared" si="1"/>
        <v>0</v>
      </c>
      <c r="F1963" s="5">
        <f t="shared" si="2"/>
        <v>4588.720569</v>
      </c>
      <c r="G1963" s="5">
        <v>4437.964650157134</v>
      </c>
      <c r="H1963" s="5">
        <v>3480.870153010685</v>
      </c>
      <c r="I1963" s="5">
        <v>957.0944971464492</v>
      </c>
      <c r="J1963" s="5">
        <v>225472.36554839724</v>
      </c>
      <c r="K1963" s="5">
        <f t="shared" si="3"/>
        <v>225472.3655</v>
      </c>
      <c r="L1963" s="5">
        <f t="shared" si="4"/>
        <v>0</v>
      </c>
      <c r="M1963" s="5">
        <v>375.54218032683866</v>
      </c>
      <c r="N1963" s="5">
        <f t="shared" si="5"/>
        <v>0</v>
      </c>
      <c r="O1963" s="5">
        <f t="shared" si="6"/>
        <v>375.5421803</v>
      </c>
      <c r="P1963" s="5">
        <f t="shared" si="9"/>
        <v>234874.5929</v>
      </c>
      <c r="Q1963" s="5">
        <f t="shared" si="7"/>
        <v>5921.357246</v>
      </c>
      <c r="R1963" s="5">
        <f t="shared" si="8"/>
        <v>228953.2357</v>
      </c>
    </row>
    <row r="1964" ht="15.75" customHeight="1">
      <c r="A1964" s="4">
        <v>1998.0</v>
      </c>
      <c r="B1964" s="4">
        <v>408.0</v>
      </c>
      <c r="C1964" s="4" t="s">
        <v>21</v>
      </c>
      <c r="D1964" s="5">
        <v>12997.607521998736</v>
      </c>
      <c r="E1964" s="5">
        <f t="shared" si="1"/>
        <v>0</v>
      </c>
      <c r="F1964" s="5">
        <f t="shared" si="2"/>
        <v>12997.60752</v>
      </c>
      <c r="G1964" s="5">
        <v>2323.9586504085482</v>
      </c>
      <c r="H1964" s="5">
        <v>1685.4130025392838</v>
      </c>
      <c r="I1964" s="5">
        <v>638.5456478692645</v>
      </c>
      <c r="J1964" s="5">
        <v>154596.38763123826</v>
      </c>
      <c r="K1964" s="5">
        <f t="shared" si="3"/>
        <v>154596.3876</v>
      </c>
      <c r="L1964" s="5">
        <f t="shared" si="4"/>
        <v>0</v>
      </c>
      <c r="M1964" s="5">
        <v>1254.2860940289129</v>
      </c>
      <c r="N1964" s="5">
        <f t="shared" si="5"/>
        <v>0</v>
      </c>
      <c r="O1964" s="5">
        <f t="shared" si="6"/>
        <v>1254.286094</v>
      </c>
      <c r="P1964" s="5">
        <f t="shared" si="9"/>
        <v>171172.2399</v>
      </c>
      <c r="Q1964" s="5">
        <f t="shared" si="7"/>
        <v>14890.43926</v>
      </c>
      <c r="R1964" s="5">
        <f t="shared" si="8"/>
        <v>156281.8006</v>
      </c>
    </row>
    <row r="1965" ht="15.75" customHeight="1">
      <c r="A1965" s="4">
        <v>1998.0</v>
      </c>
      <c r="B1965" s="4">
        <v>409.0</v>
      </c>
      <c r="C1965" s="4" t="s">
        <v>21</v>
      </c>
      <c r="D1965" s="5">
        <v>3857.8406094280303</v>
      </c>
      <c r="E1965" s="5">
        <f t="shared" si="1"/>
        <v>0</v>
      </c>
      <c r="F1965" s="5">
        <f t="shared" si="2"/>
        <v>3857.840609</v>
      </c>
      <c r="G1965" s="5">
        <v>2722.144712005028</v>
      </c>
      <c r="H1965" s="5">
        <v>1599.9839929604022</v>
      </c>
      <c r="I1965" s="5">
        <v>1122.1607190446257</v>
      </c>
      <c r="J1965" s="5">
        <v>158160.34961477062</v>
      </c>
      <c r="K1965" s="5">
        <f t="shared" si="3"/>
        <v>158160.3496</v>
      </c>
      <c r="L1965" s="5">
        <f t="shared" si="4"/>
        <v>0</v>
      </c>
      <c r="M1965" s="5">
        <v>710.1837271527343</v>
      </c>
      <c r="N1965" s="5">
        <f t="shared" si="5"/>
        <v>0</v>
      </c>
      <c r="O1965" s="5">
        <f t="shared" si="6"/>
        <v>710.1837272</v>
      </c>
      <c r="P1965" s="5">
        <f t="shared" si="9"/>
        <v>165450.5187</v>
      </c>
      <c r="Q1965" s="5">
        <f t="shared" si="7"/>
        <v>5690.185056</v>
      </c>
      <c r="R1965" s="5">
        <f t="shared" si="8"/>
        <v>159760.3336</v>
      </c>
    </row>
    <row r="1966" ht="15.75" customHeight="1">
      <c r="A1966" s="4">
        <v>1998.0</v>
      </c>
      <c r="B1966" s="4">
        <v>420.0</v>
      </c>
      <c r="C1966" s="4" t="s">
        <v>21</v>
      </c>
      <c r="D1966" s="5">
        <v>4189.373786800753</v>
      </c>
      <c r="E1966" s="5">
        <f t="shared" si="1"/>
        <v>0</v>
      </c>
      <c r="F1966" s="5">
        <f t="shared" si="2"/>
        <v>4189.373787</v>
      </c>
      <c r="G1966" s="5" t="s">
        <v>19</v>
      </c>
      <c r="H1966" s="5" t="s">
        <v>19</v>
      </c>
      <c r="I1966" s="5" t="s">
        <v>19</v>
      </c>
      <c r="J1966" s="5">
        <v>7465.791922690133</v>
      </c>
      <c r="K1966" s="5">
        <f t="shared" si="3"/>
        <v>7465.791923</v>
      </c>
      <c r="L1966" s="5">
        <f t="shared" si="4"/>
        <v>0</v>
      </c>
      <c r="M1966" s="5">
        <v>54996.47910113141</v>
      </c>
      <c r="N1966" s="5">
        <f t="shared" si="5"/>
        <v>0</v>
      </c>
      <c r="O1966" s="5">
        <f t="shared" si="6"/>
        <v>54996.4791</v>
      </c>
      <c r="P1966" s="5">
        <f t="shared" si="9"/>
        <v>66651.64481</v>
      </c>
      <c r="Q1966" s="5">
        <f t="shared" si="7"/>
        <v>59185.85289</v>
      </c>
      <c r="R1966" s="5">
        <f t="shared" si="8"/>
        <v>7465.791923</v>
      </c>
    </row>
    <row r="1967" ht="15.75" customHeight="1">
      <c r="A1967" s="4">
        <v>1998.0</v>
      </c>
      <c r="B1967" s="4">
        <v>421.0</v>
      </c>
      <c r="C1967" s="4" t="s">
        <v>21</v>
      </c>
      <c r="D1967" s="5">
        <v>1205.5751904462593</v>
      </c>
      <c r="E1967" s="5">
        <f t="shared" si="1"/>
        <v>0</v>
      </c>
      <c r="F1967" s="5">
        <f t="shared" si="2"/>
        <v>1205.57519</v>
      </c>
      <c r="G1967" s="5" t="s">
        <v>19</v>
      </c>
      <c r="H1967" s="5" t="s">
        <v>19</v>
      </c>
      <c r="I1967" s="5" t="s">
        <v>19</v>
      </c>
      <c r="J1967" s="5">
        <v>659.387461785041</v>
      </c>
      <c r="K1967" s="5">
        <f t="shared" si="3"/>
        <v>659.3874618</v>
      </c>
      <c r="L1967" s="5">
        <f t="shared" si="4"/>
        <v>0</v>
      </c>
      <c r="M1967" s="5">
        <v>227956.27243137965</v>
      </c>
      <c r="N1967" s="5">
        <f t="shared" si="5"/>
        <v>0</v>
      </c>
      <c r="O1967" s="5">
        <f t="shared" si="6"/>
        <v>227956.2724</v>
      </c>
      <c r="P1967" s="5">
        <f t="shared" si="9"/>
        <v>229821.2351</v>
      </c>
      <c r="Q1967" s="5">
        <f t="shared" si="7"/>
        <v>229161.8476</v>
      </c>
      <c r="R1967" s="5">
        <f t="shared" si="8"/>
        <v>659.3874618</v>
      </c>
    </row>
    <row r="1968" ht="15.75" customHeight="1">
      <c r="A1968" s="4">
        <v>1998.0</v>
      </c>
      <c r="B1968" s="4">
        <v>422.0</v>
      </c>
      <c r="C1968" s="4" t="s">
        <v>21</v>
      </c>
      <c r="D1968" s="5">
        <v>3473.563517473285</v>
      </c>
      <c r="E1968" s="5">
        <f t="shared" si="1"/>
        <v>0</v>
      </c>
      <c r="F1968" s="5">
        <f t="shared" si="2"/>
        <v>3473.563517</v>
      </c>
      <c r="G1968" s="5" t="s">
        <v>19</v>
      </c>
      <c r="H1968" s="5" t="s">
        <v>19</v>
      </c>
      <c r="I1968" s="5" t="s">
        <v>19</v>
      </c>
      <c r="J1968" s="5">
        <v>0.0</v>
      </c>
      <c r="K1968" s="5">
        <f t="shared" si="3"/>
        <v>0</v>
      </c>
      <c r="L1968" s="5">
        <f t="shared" si="4"/>
        <v>0</v>
      </c>
      <c r="M1968" s="5">
        <v>235680.79086263035</v>
      </c>
      <c r="N1968" s="5">
        <f t="shared" si="5"/>
        <v>0</v>
      </c>
      <c r="O1968" s="5">
        <f t="shared" si="6"/>
        <v>235680.7909</v>
      </c>
      <c r="P1968" s="5">
        <f t="shared" si="9"/>
        <v>239154.3544</v>
      </c>
      <c r="Q1968" s="5">
        <f t="shared" si="7"/>
        <v>239154.3544</v>
      </c>
      <c r="R1968" s="5">
        <f t="shared" si="8"/>
        <v>0</v>
      </c>
    </row>
    <row r="1969" ht="15.75" customHeight="1">
      <c r="A1969" s="4">
        <v>1998.0</v>
      </c>
      <c r="B1969" s="4">
        <v>423.0</v>
      </c>
      <c r="C1969" s="4" t="s">
        <v>21</v>
      </c>
      <c r="D1969" s="5">
        <v>11490.638533940912</v>
      </c>
      <c r="E1969" s="5">
        <f t="shared" si="1"/>
        <v>0</v>
      </c>
      <c r="F1969" s="5">
        <f t="shared" si="2"/>
        <v>11490.63853</v>
      </c>
      <c r="G1969" s="5">
        <v>7131.1503758642375</v>
      </c>
      <c r="H1969" s="5">
        <v>3889.19185981144</v>
      </c>
      <c r="I1969" s="5">
        <v>3241.9585160527977</v>
      </c>
      <c r="J1969" s="5">
        <v>25743.35842539284</v>
      </c>
      <c r="K1969" s="5">
        <f t="shared" si="3"/>
        <v>25743.35843</v>
      </c>
      <c r="L1969" s="5">
        <f t="shared" si="4"/>
        <v>0</v>
      </c>
      <c r="M1969" s="5">
        <v>358247.4094216216</v>
      </c>
      <c r="N1969" s="5">
        <f t="shared" si="5"/>
        <v>0</v>
      </c>
      <c r="O1969" s="5">
        <f t="shared" si="6"/>
        <v>358247.4094</v>
      </c>
      <c r="P1969" s="5">
        <f t="shared" si="9"/>
        <v>402612.5568</v>
      </c>
      <c r="Q1969" s="5">
        <f t="shared" si="7"/>
        <v>372980.0065</v>
      </c>
      <c r="R1969" s="5">
        <f t="shared" si="8"/>
        <v>29632.55029</v>
      </c>
    </row>
    <row r="1970" ht="15.75" customHeight="1">
      <c r="A1970" s="4">
        <v>1998.0</v>
      </c>
      <c r="B1970" s="4">
        <v>424.0</v>
      </c>
      <c r="C1970" s="4" t="s">
        <v>21</v>
      </c>
      <c r="D1970" s="5">
        <v>33635.54781345064</v>
      </c>
      <c r="E1970" s="5">
        <f t="shared" si="1"/>
        <v>0</v>
      </c>
      <c r="F1970" s="5">
        <f t="shared" si="2"/>
        <v>33635.54781</v>
      </c>
      <c r="G1970" s="5">
        <v>6262.380786926461</v>
      </c>
      <c r="H1970" s="5">
        <v>3315.803931112508</v>
      </c>
      <c r="I1970" s="5">
        <v>2946.576855813953</v>
      </c>
      <c r="J1970" s="5">
        <v>7373.150709050911</v>
      </c>
      <c r="K1970" s="5">
        <f t="shared" si="3"/>
        <v>7373.150709</v>
      </c>
      <c r="L1970" s="5">
        <f t="shared" si="4"/>
        <v>0</v>
      </c>
      <c r="M1970" s="5">
        <v>67521.988257511</v>
      </c>
      <c r="N1970" s="5">
        <f t="shared" si="5"/>
        <v>0</v>
      </c>
      <c r="O1970" s="5">
        <f t="shared" si="6"/>
        <v>67521.98826</v>
      </c>
      <c r="P1970" s="5">
        <f t="shared" si="9"/>
        <v>114793.0676</v>
      </c>
      <c r="Q1970" s="5">
        <f t="shared" si="7"/>
        <v>104104.1129</v>
      </c>
      <c r="R1970" s="5">
        <f t="shared" si="8"/>
        <v>10688.95464</v>
      </c>
    </row>
    <row r="1971" ht="15.75" customHeight="1">
      <c r="A1971" s="4">
        <v>1998.0</v>
      </c>
      <c r="B1971" s="4">
        <v>425.0</v>
      </c>
      <c r="C1971" s="4" t="s">
        <v>21</v>
      </c>
      <c r="D1971" s="5">
        <v>10488.504156882456</v>
      </c>
      <c r="E1971" s="5">
        <f t="shared" si="1"/>
        <v>0</v>
      </c>
      <c r="F1971" s="5">
        <f t="shared" si="2"/>
        <v>10488.50416</v>
      </c>
      <c r="G1971" s="5" t="s">
        <v>19</v>
      </c>
      <c r="H1971" s="5" t="s">
        <v>19</v>
      </c>
      <c r="I1971" s="5" t="s">
        <v>19</v>
      </c>
      <c r="J1971" s="5">
        <v>0.0</v>
      </c>
      <c r="K1971" s="5">
        <f t="shared" si="3"/>
        <v>0</v>
      </c>
      <c r="L1971" s="5">
        <f t="shared" si="4"/>
        <v>0</v>
      </c>
      <c r="M1971" s="5">
        <v>164074.75040873676</v>
      </c>
      <c r="N1971" s="5">
        <f t="shared" si="5"/>
        <v>0</v>
      </c>
      <c r="O1971" s="5">
        <f t="shared" si="6"/>
        <v>164074.7504</v>
      </c>
      <c r="P1971" s="5">
        <f t="shared" si="9"/>
        <v>174563.2546</v>
      </c>
      <c r="Q1971" s="5">
        <f t="shared" si="7"/>
        <v>174563.2546</v>
      </c>
      <c r="R1971" s="5">
        <f t="shared" si="8"/>
        <v>0</v>
      </c>
    </row>
    <row r="1972" ht="15.75" customHeight="1">
      <c r="A1972" s="4">
        <v>1998.0</v>
      </c>
      <c r="B1972" s="4">
        <v>426.0</v>
      </c>
      <c r="C1972" s="4" t="s">
        <v>21</v>
      </c>
      <c r="D1972" s="5" t="s">
        <v>19</v>
      </c>
      <c r="E1972" s="5" t="str">
        <f t="shared" si="1"/>
        <v/>
      </c>
      <c r="F1972" s="5" t="str">
        <f t="shared" si="2"/>
        <v/>
      </c>
      <c r="G1972" s="5" t="s">
        <v>19</v>
      </c>
      <c r="H1972" s="5" t="s">
        <v>19</v>
      </c>
      <c r="I1972" s="5" t="s">
        <v>19</v>
      </c>
      <c r="J1972" s="5">
        <v>0.0</v>
      </c>
      <c r="K1972" s="5">
        <f t="shared" si="3"/>
        <v>0</v>
      </c>
      <c r="L1972" s="5">
        <f t="shared" si="4"/>
        <v>0</v>
      </c>
      <c r="M1972" s="5">
        <v>123697.14925135148</v>
      </c>
      <c r="N1972" s="5">
        <f t="shared" si="5"/>
        <v>0</v>
      </c>
      <c r="O1972" s="5">
        <f t="shared" si="6"/>
        <v>123697.1493</v>
      </c>
      <c r="P1972" s="5">
        <f t="shared" si="9"/>
        <v>123697.1493</v>
      </c>
      <c r="Q1972" s="5">
        <f t="shared" si="7"/>
        <v>123697.1493</v>
      </c>
      <c r="R1972" s="5">
        <f t="shared" si="8"/>
        <v>0</v>
      </c>
    </row>
    <row r="1973" ht="15.75" customHeight="1">
      <c r="A1973" s="4">
        <v>1998.0</v>
      </c>
      <c r="B1973" s="4">
        <v>427.0</v>
      </c>
      <c r="C1973" s="4" t="s">
        <v>21</v>
      </c>
      <c r="D1973" s="5">
        <v>3111.8909603394072</v>
      </c>
      <c r="E1973" s="5">
        <f t="shared" si="1"/>
        <v>0</v>
      </c>
      <c r="F1973" s="5">
        <f t="shared" si="2"/>
        <v>3111.89096</v>
      </c>
      <c r="G1973" s="5" t="s">
        <v>19</v>
      </c>
      <c r="H1973" s="5" t="s">
        <v>19</v>
      </c>
      <c r="I1973" s="5" t="s">
        <v>19</v>
      </c>
      <c r="J1973" s="5">
        <v>0.0</v>
      </c>
      <c r="K1973" s="5">
        <f t="shared" si="3"/>
        <v>0</v>
      </c>
      <c r="L1973" s="5">
        <f t="shared" si="4"/>
        <v>0</v>
      </c>
      <c r="M1973" s="5">
        <v>117640.13725380262</v>
      </c>
      <c r="N1973" s="5">
        <f t="shared" si="5"/>
        <v>0</v>
      </c>
      <c r="O1973" s="5">
        <f t="shared" si="6"/>
        <v>117640.1373</v>
      </c>
      <c r="P1973" s="5">
        <f t="shared" si="9"/>
        <v>120752.0282</v>
      </c>
      <c r="Q1973" s="5">
        <f t="shared" si="7"/>
        <v>120752.0282</v>
      </c>
      <c r="R1973" s="5">
        <f t="shared" si="8"/>
        <v>0</v>
      </c>
    </row>
    <row r="1974" ht="15.75" customHeight="1">
      <c r="A1974" s="4">
        <v>1998.0</v>
      </c>
      <c r="B1974" s="4">
        <v>428.0</v>
      </c>
      <c r="C1974" s="4" t="s">
        <v>21</v>
      </c>
      <c r="D1974" s="5">
        <v>18437.76556888748</v>
      </c>
      <c r="E1974" s="5">
        <f t="shared" si="1"/>
        <v>0</v>
      </c>
      <c r="F1974" s="5">
        <f t="shared" si="2"/>
        <v>18437.76557</v>
      </c>
      <c r="G1974" s="5" t="s">
        <v>19</v>
      </c>
      <c r="H1974" s="5" t="s">
        <v>19</v>
      </c>
      <c r="I1974" s="5" t="s">
        <v>19</v>
      </c>
      <c r="J1974" s="5">
        <v>0.0</v>
      </c>
      <c r="K1974" s="5">
        <f t="shared" si="3"/>
        <v>0</v>
      </c>
      <c r="L1974" s="5">
        <f t="shared" si="4"/>
        <v>0</v>
      </c>
      <c r="M1974" s="5">
        <v>29377.80957190448</v>
      </c>
      <c r="N1974" s="5">
        <f t="shared" si="5"/>
        <v>0</v>
      </c>
      <c r="O1974" s="5">
        <f t="shared" si="6"/>
        <v>29377.80957</v>
      </c>
      <c r="P1974" s="5">
        <f t="shared" si="9"/>
        <v>47815.57514</v>
      </c>
      <c r="Q1974" s="5">
        <f t="shared" si="7"/>
        <v>47815.57514</v>
      </c>
      <c r="R1974" s="5">
        <f t="shared" si="8"/>
        <v>0</v>
      </c>
    </row>
    <row r="1975" ht="15.75" customHeight="1">
      <c r="A1975" s="4">
        <v>1998.0</v>
      </c>
      <c r="B1975" s="4">
        <v>429.0</v>
      </c>
      <c r="C1975" s="4" t="s">
        <v>21</v>
      </c>
      <c r="D1975" s="5">
        <v>27848.786899308594</v>
      </c>
      <c r="E1975" s="5">
        <f t="shared" si="1"/>
        <v>0</v>
      </c>
      <c r="F1975" s="5">
        <f t="shared" si="2"/>
        <v>27848.7869</v>
      </c>
      <c r="G1975" s="5" t="s">
        <v>19</v>
      </c>
      <c r="H1975" s="5" t="s">
        <v>19</v>
      </c>
      <c r="I1975" s="5" t="s">
        <v>19</v>
      </c>
      <c r="J1975" s="5">
        <v>0.0</v>
      </c>
      <c r="K1975" s="5">
        <f t="shared" si="3"/>
        <v>0</v>
      </c>
      <c r="L1975" s="5">
        <f t="shared" si="4"/>
        <v>0</v>
      </c>
      <c r="M1975" s="5">
        <v>119004.73111697054</v>
      </c>
      <c r="N1975" s="5">
        <f t="shared" si="5"/>
        <v>0</v>
      </c>
      <c r="O1975" s="5">
        <f t="shared" si="6"/>
        <v>119004.7311</v>
      </c>
      <c r="P1975" s="5">
        <f t="shared" si="9"/>
        <v>146853.518</v>
      </c>
      <c r="Q1975" s="5">
        <f t="shared" si="7"/>
        <v>146853.518</v>
      </c>
      <c r="R1975" s="5">
        <f t="shared" si="8"/>
        <v>0</v>
      </c>
    </row>
    <row r="1976" ht="15.75" customHeight="1">
      <c r="A1976" s="4">
        <v>1998.0</v>
      </c>
      <c r="B1976" s="4">
        <v>500.0</v>
      </c>
      <c r="C1976" s="4" t="s">
        <v>22</v>
      </c>
      <c r="D1976" s="5">
        <v>11214.74123513513</v>
      </c>
      <c r="E1976" s="5">
        <f t="shared" si="1"/>
        <v>0</v>
      </c>
      <c r="F1976" s="5">
        <f t="shared" si="2"/>
        <v>11214.74124</v>
      </c>
      <c r="G1976" s="5">
        <v>89860.40337209302</v>
      </c>
      <c r="H1976" s="5">
        <v>68494.80953023255</v>
      </c>
      <c r="I1976" s="5">
        <v>21365.593841860464</v>
      </c>
      <c r="J1976" s="5">
        <v>1797523.4882484602</v>
      </c>
      <c r="K1976" s="5">
        <f t="shared" si="3"/>
        <v>1797523.488</v>
      </c>
      <c r="L1976" s="5">
        <f t="shared" si="4"/>
        <v>0</v>
      </c>
      <c r="M1976" s="5">
        <v>28545.3567551854</v>
      </c>
      <c r="N1976" s="5">
        <f t="shared" si="5"/>
        <v>0</v>
      </c>
      <c r="O1976" s="5">
        <f t="shared" si="6"/>
        <v>28545.35676</v>
      </c>
      <c r="P1976" s="5">
        <f t="shared" si="9"/>
        <v>1927143.99</v>
      </c>
      <c r="Q1976" s="5">
        <f t="shared" si="7"/>
        <v>61125.69183</v>
      </c>
      <c r="R1976" s="5">
        <f t="shared" si="8"/>
        <v>1866018.298</v>
      </c>
    </row>
    <row r="1977" ht="15.75" customHeight="1">
      <c r="A1977" s="4">
        <v>1998.0</v>
      </c>
      <c r="B1977" s="4">
        <v>501.0</v>
      </c>
      <c r="C1977" s="4" t="s">
        <v>22</v>
      </c>
      <c r="D1977" s="5">
        <v>1088.7359108108103</v>
      </c>
      <c r="E1977" s="5">
        <f t="shared" si="1"/>
        <v>0</v>
      </c>
      <c r="F1977" s="5">
        <f t="shared" si="2"/>
        <v>1088.735911</v>
      </c>
      <c r="G1977" s="5">
        <v>2707.8226046511627</v>
      </c>
      <c r="H1977" s="5">
        <v>1930.4154697674421</v>
      </c>
      <c r="I1977" s="5">
        <v>777.4071348837206</v>
      </c>
      <c r="J1977" s="5">
        <v>37265.02163419234</v>
      </c>
      <c r="K1977" s="5">
        <f t="shared" si="3"/>
        <v>37265.02163</v>
      </c>
      <c r="L1977" s="5">
        <f t="shared" si="4"/>
        <v>0</v>
      </c>
      <c r="M1977" s="5">
        <v>15465.71188749214</v>
      </c>
      <c r="N1977" s="5">
        <f t="shared" si="5"/>
        <v>0</v>
      </c>
      <c r="O1977" s="5">
        <f t="shared" si="6"/>
        <v>15465.71189</v>
      </c>
      <c r="P1977" s="5">
        <f t="shared" si="9"/>
        <v>56527.29204</v>
      </c>
      <c r="Q1977" s="5">
        <f t="shared" si="7"/>
        <v>17331.85493</v>
      </c>
      <c r="R1977" s="5">
        <f t="shared" si="8"/>
        <v>39195.4371</v>
      </c>
    </row>
    <row r="1978" ht="15.75" customHeight="1">
      <c r="A1978" s="4">
        <v>1998.0</v>
      </c>
      <c r="B1978" s="4">
        <v>502.0</v>
      </c>
      <c r="C1978" s="4" t="s">
        <v>22</v>
      </c>
      <c r="D1978" s="5">
        <v>2002.3604513513503</v>
      </c>
      <c r="E1978" s="5">
        <f t="shared" si="1"/>
        <v>0</v>
      </c>
      <c r="F1978" s="5">
        <f t="shared" si="2"/>
        <v>2002.360451</v>
      </c>
      <c r="G1978" s="5" t="s">
        <v>19</v>
      </c>
      <c r="H1978" s="5" t="s">
        <v>19</v>
      </c>
      <c r="I1978" s="5" t="s">
        <v>19</v>
      </c>
      <c r="J1978" s="5">
        <v>0.0</v>
      </c>
      <c r="K1978" s="5">
        <f t="shared" si="3"/>
        <v>0</v>
      </c>
      <c r="L1978" s="5">
        <f t="shared" si="4"/>
        <v>0</v>
      </c>
      <c r="M1978" s="5">
        <v>9549.265078189816</v>
      </c>
      <c r="N1978" s="5">
        <f t="shared" si="5"/>
        <v>0</v>
      </c>
      <c r="O1978" s="5">
        <f t="shared" si="6"/>
        <v>9549.265078</v>
      </c>
      <c r="P1978" s="5">
        <f t="shared" si="9"/>
        <v>11551.62553</v>
      </c>
      <c r="Q1978" s="5">
        <f t="shared" si="7"/>
        <v>11551.62553</v>
      </c>
      <c r="R1978" s="5">
        <f t="shared" si="8"/>
        <v>0</v>
      </c>
    </row>
    <row r="1979" ht="15.75" customHeight="1">
      <c r="A1979" s="4">
        <v>1998.0</v>
      </c>
      <c r="B1979" s="4">
        <v>503.0</v>
      </c>
      <c r="C1979" s="4" t="s">
        <v>22</v>
      </c>
      <c r="D1979" s="5">
        <v>3570.749245945944</v>
      </c>
      <c r="E1979" s="5">
        <f t="shared" si="1"/>
        <v>0</v>
      </c>
      <c r="F1979" s="5">
        <f t="shared" si="2"/>
        <v>3570.749246</v>
      </c>
      <c r="G1979" s="5">
        <v>7148.069348837209</v>
      </c>
      <c r="H1979" s="5">
        <v>3857.919302325581</v>
      </c>
      <c r="I1979" s="5">
        <v>3290.150046511628</v>
      </c>
      <c r="J1979" s="5">
        <v>397205.6071126965</v>
      </c>
      <c r="K1979" s="5">
        <f t="shared" si="3"/>
        <v>397205.6071</v>
      </c>
      <c r="L1979" s="5">
        <f t="shared" si="4"/>
        <v>0</v>
      </c>
      <c r="M1979" s="5">
        <v>17119.718554619725</v>
      </c>
      <c r="N1979" s="5">
        <f t="shared" si="5"/>
        <v>0</v>
      </c>
      <c r="O1979" s="5">
        <f t="shared" si="6"/>
        <v>17119.71855</v>
      </c>
      <c r="P1979" s="5">
        <f t="shared" si="9"/>
        <v>425044.1443</v>
      </c>
      <c r="Q1979" s="5">
        <f t="shared" si="7"/>
        <v>23980.61785</v>
      </c>
      <c r="R1979" s="5">
        <f t="shared" si="8"/>
        <v>401063.5264</v>
      </c>
    </row>
    <row r="1980" ht="15.75" customHeight="1">
      <c r="A1980" s="4">
        <v>1998.0</v>
      </c>
      <c r="B1980" s="4">
        <v>504.0</v>
      </c>
      <c r="C1980" s="4" t="s">
        <v>22</v>
      </c>
      <c r="D1980" s="5">
        <v>7027.295424324319</v>
      </c>
      <c r="E1980" s="5">
        <f t="shared" si="1"/>
        <v>0</v>
      </c>
      <c r="F1980" s="5">
        <f t="shared" si="2"/>
        <v>7027.295424</v>
      </c>
      <c r="G1980" s="5">
        <v>11544.641534883722</v>
      </c>
      <c r="H1980" s="5">
        <v>7510.568181395349</v>
      </c>
      <c r="I1980" s="5">
        <v>4034.073353488373</v>
      </c>
      <c r="J1980" s="5">
        <v>435944.2909660591</v>
      </c>
      <c r="K1980" s="5">
        <f t="shared" si="3"/>
        <v>435944.291</v>
      </c>
      <c r="L1980" s="5">
        <f t="shared" si="4"/>
        <v>0</v>
      </c>
      <c r="M1980" s="5">
        <v>39081.52913475799</v>
      </c>
      <c r="N1980" s="5">
        <f t="shared" si="5"/>
        <v>0</v>
      </c>
      <c r="O1980" s="5">
        <f t="shared" si="6"/>
        <v>39081.52913</v>
      </c>
      <c r="P1980" s="5">
        <f t="shared" si="9"/>
        <v>493597.7571</v>
      </c>
      <c r="Q1980" s="5">
        <f t="shared" si="7"/>
        <v>50142.89791</v>
      </c>
      <c r="R1980" s="5">
        <f t="shared" si="8"/>
        <v>443454.8591</v>
      </c>
    </row>
    <row r="1981" ht="15.75" customHeight="1">
      <c r="A1981" s="4">
        <v>1998.0</v>
      </c>
      <c r="B1981" s="4">
        <v>505.0</v>
      </c>
      <c r="C1981" s="4" t="s">
        <v>22</v>
      </c>
      <c r="D1981" s="5">
        <v>33400.59049459457</v>
      </c>
      <c r="E1981" s="5">
        <f t="shared" si="1"/>
        <v>0</v>
      </c>
      <c r="F1981" s="5">
        <f t="shared" si="2"/>
        <v>33400.59049</v>
      </c>
      <c r="G1981" s="5">
        <v>34444.66818604652</v>
      </c>
      <c r="H1981" s="5">
        <v>12837.408455813958</v>
      </c>
      <c r="I1981" s="5">
        <v>21607.25973023256</v>
      </c>
      <c r="J1981" s="5">
        <v>9903.461810056571</v>
      </c>
      <c r="K1981" s="5">
        <f t="shared" si="3"/>
        <v>9903.46181</v>
      </c>
      <c r="L1981" s="5">
        <f t="shared" si="4"/>
        <v>0</v>
      </c>
      <c r="M1981" s="5">
        <v>110066.39834890002</v>
      </c>
      <c r="N1981" s="5">
        <f t="shared" si="5"/>
        <v>0</v>
      </c>
      <c r="O1981" s="5">
        <f t="shared" si="6"/>
        <v>110066.3983</v>
      </c>
      <c r="P1981" s="5">
        <f t="shared" si="9"/>
        <v>187815.1188</v>
      </c>
      <c r="Q1981" s="5">
        <f t="shared" si="7"/>
        <v>165074.2486</v>
      </c>
      <c r="R1981" s="5">
        <f t="shared" si="8"/>
        <v>22740.87027</v>
      </c>
    </row>
    <row r="1982" ht="15.75" customHeight="1">
      <c r="A1982" s="4">
        <v>1998.0</v>
      </c>
      <c r="B1982" s="4">
        <v>506.0</v>
      </c>
      <c r="C1982" s="4" t="s">
        <v>22</v>
      </c>
      <c r="D1982" s="5">
        <v>26852.94795405404</v>
      </c>
      <c r="E1982" s="5">
        <f t="shared" si="1"/>
        <v>0</v>
      </c>
      <c r="F1982" s="5">
        <f t="shared" si="2"/>
        <v>26852.94795</v>
      </c>
      <c r="G1982" s="5">
        <v>11690.223395348836</v>
      </c>
      <c r="H1982" s="5">
        <v>6120.261413953488</v>
      </c>
      <c r="I1982" s="5">
        <v>5569.961981395348</v>
      </c>
      <c r="J1982" s="5">
        <v>193574.84874343185</v>
      </c>
      <c r="K1982" s="5">
        <f t="shared" si="3"/>
        <v>193574.8487</v>
      </c>
      <c r="L1982" s="5">
        <f t="shared" si="4"/>
        <v>0</v>
      </c>
      <c r="M1982" s="5">
        <v>24937.52348126963</v>
      </c>
      <c r="N1982" s="5">
        <f t="shared" si="5"/>
        <v>0</v>
      </c>
      <c r="O1982" s="5">
        <f t="shared" si="6"/>
        <v>24937.52348</v>
      </c>
      <c r="P1982" s="5">
        <f t="shared" si="9"/>
        <v>257055.5436</v>
      </c>
      <c r="Q1982" s="5">
        <f t="shared" si="7"/>
        <v>57360.43342</v>
      </c>
      <c r="R1982" s="5">
        <f t="shared" si="8"/>
        <v>199695.1102</v>
      </c>
    </row>
    <row r="1983" ht="15.75" customHeight="1">
      <c r="A1983" s="4">
        <v>1998.0</v>
      </c>
      <c r="B1983" s="4">
        <v>507.0</v>
      </c>
      <c r="C1983" s="4" t="s">
        <v>22</v>
      </c>
      <c r="D1983" s="5" t="s">
        <v>19</v>
      </c>
      <c r="E1983" s="5" t="str">
        <f t="shared" si="1"/>
        <v/>
      </c>
      <c r="F1983" s="5" t="str">
        <f t="shared" si="2"/>
        <v/>
      </c>
      <c r="G1983" s="5" t="s">
        <v>19</v>
      </c>
      <c r="H1983" s="5" t="s">
        <v>19</v>
      </c>
      <c r="I1983" s="5" t="s">
        <v>19</v>
      </c>
      <c r="J1983" s="5">
        <v>0.0</v>
      </c>
      <c r="K1983" s="5">
        <f t="shared" si="3"/>
        <v>0</v>
      </c>
      <c r="L1983" s="5">
        <f t="shared" si="4"/>
        <v>0</v>
      </c>
      <c r="M1983" s="5">
        <v>0.0</v>
      </c>
      <c r="N1983" s="5">
        <f t="shared" si="5"/>
        <v>0</v>
      </c>
      <c r="O1983" s="5">
        <f t="shared" si="6"/>
        <v>0</v>
      </c>
      <c r="P1983" s="5">
        <f t="shared" si="9"/>
        <v>0</v>
      </c>
      <c r="Q1983" s="5">
        <f t="shared" si="7"/>
        <v>0</v>
      </c>
      <c r="R1983" s="5">
        <f t="shared" si="8"/>
        <v>0</v>
      </c>
    </row>
    <row r="1984" ht="15.75" customHeight="1">
      <c r="A1984" s="4">
        <v>1998.0</v>
      </c>
      <c r="B1984" s="4">
        <v>508.0</v>
      </c>
      <c r="C1984" s="4" t="s">
        <v>22</v>
      </c>
      <c r="D1984" s="5">
        <v>18676.008316216205</v>
      </c>
      <c r="E1984" s="5">
        <f t="shared" si="1"/>
        <v>0</v>
      </c>
      <c r="F1984" s="5">
        <f t="shared" si="2"/>
        <v>18676.00832</v>
      </c>
      <c r="G1984" s="5">
        <v>21237.481804651165</v>
      </c>
      <c r="H1984" s="5">
        <v>8818.475615813953</v>
      </c>
      <c r="I1984" s="5">
        <v>12419.006188837211</v>
      </c>
      <c r="J1984" s="5">
        <v>759.4159711816469</v>
      </c>
      <c r="K1984" s="5">
        <f t="shared" si="3"/>
        <v>759.4159712</v>
      </c>
      <c r="L1984" s="5">
        <f t="shared" si="4"/>
        <v>0</v>
      </c>
      <c r="M1984" s="5">
        <v>84423.97320449335</v>
      </c>
      <c r="N1984" s="5">
        <f t="shared" si="5"/>
        <v>0</v>
      </c>
      <c r="O1984" s="5">
        <f t="shared" si="6"/>
        <v>84423.9732</v>
      </c>
      <c r="P1984" s="5">
        <f t="shared" si="9"/>
        <v>125096.8793</v>
      </c>
      <c r="Q1984" s="5">
        <f t="shared" si="7"/>
        <v>115518.9877</v>
      </c>
      <c r="R1984" s="5">
        <f t="shared" si="8"/>
        <v>9577.891587</v>
      </c>
    </row>
    <row r="1985" ht="15.75" customHeight="1">
      <c r="A1985" s="4">
        <v>1998.0</v>
      </c>
      <c r="B1985" s="4">
        <v>520.0</v>
      </c>
      <c r="C1985" s="4" t="s">
        <v>22</v>
      </c>
      <c r="D1985" s="5">
        <v>7727.7409054054015</v>
      </c>
      <c r="E1985" s="5">
        <f t="shared" si="1"/>
        <v>0</v>
      </c>
      <c r="F1985" s="5">
        <f t="shared" si="2"/>
        <v>7727.740905</v>
      </c>
      <c r="G1985" s="5">
        <v>18583.524488372095</v>
      </c>
      <c r="H1985" s="5">
        <v>13700.708888372093</v>
      </c>
      <c r="I1985" s="5">
        <v>4882.815600000002</v>
      </c>
      <c r="J1985" s="5">
        <v>22353.366765116283</v>
      </c>
      <c r="K1985" s="5">
        <f t="shared" si="3"/>
        <v>22353.36677</v>
      </c>
      <c r="L1985" s="5">
        <f t="shared" si="4"/>
        <v>0</v>
      </c>
      <c r="M1985" s="5">
        <v>546959.0174233185</v>
      </c>
      <c r="N1985" s="5">
        <f t="shared" si="5"/>
        <v>0</v>
      </c>
      <c r="O1985" s="5">
        <f t="shared" si="6"/>
        <v>546959.0174</v>
      </c>
      <c r="P1985" s="5">
        <f t="shared" si="9"/>
        <v>595623.6496</v>
      </c>
      <c r="Q1985" s="5">
        <f t="shared" si="7"/>
        <v>559569.5739</v>
      </c>
      <c r="R1985" s="5">
        <f t="shared" si="8"/>
        <v>36054.07565</v>
      </c>
    </row>
    <row r="1986" ht="15.75" customHeight="1">
      <c r="A1986" s="4">
        <v>1998.0</v>
      </c>
      <c r="B1986" s="4">
        <v>521.0</v>
      </c>
      <c r="C1986" s="4" t="s">
        <v>22</v>
      </c>
      <c r="D1986" s="5">
        <v>6517.188389189185</v>
      </c>
      <c r="E1986" s="5">
        <f t="shared" si="1"/>
        <v>0</v>
      </c>
      <c r="F1986" s="5">
        <f t="shared" si="2"/>
        <v>6517.188389</v>
      </c>
      <c r="G1986" s="5">
        <v>3122.7309069767443</v>
      </c>
      <c r="H1986" s="5">
        <v>2013.397130232558</v>
      </c>
      <c r="I1986" s="5">
        <v>1109.3337767441863</v>
      </c>
      <c r="J1986" s="5">
        <v>626.7299093023257</v>
      </c>
      <c r="K1986" s="5">
        <f t="shared" si="3"/>
        <v>626.7299093</v>
      </c>
      <c r="L1986" s="5">
        <f t="shared" si="4"/>
        <v>0</v>
      </c>
      <c r="M1986" s="5">
        <v>60016.45642155873</v>
      </c>
      <c r="N1986" s="5">
        <f t="shared" si="5"/>
        <v>0</v>
      </c>
      <c r="O1986" s="5">
        <f t="shared" si="6"/>
        <v>60016.45642</v>
      </c>
      <c r="P1986" s="5">
        <f t="shared" si="9"/>
        <v>70283.10563</v>
      </c>
      <c r="Q1986" s="5">
        <f t="shared" si="7"/>
        <v>67642.97859</v>
      </c>
      <c r="R1986" s="5">
        <f t="shared" si="8"/>
        <v>2640.12704</v>
      </c>
    </row>
    <row r="1987" ht="15.75" customHeight="1">
      <c r="A1987" s="4">
        <v>1998.0</v>
      </c>
      <c r="B1987" s="4">
        <v>522.0</v>
      </c>
      <c r="C1987" s="4" t="s">
        <v>22</v>
      </c>
      <c r="D1987" s="5" t="s">
        <v>19</v>
      </c>
      <c r="E1987" s="5" t="str">
        <f t="shared" si="1"/>
        <v/>
      </c>
      <c r="F1987" s="5" t="str">
        <f t="shared" si="2"/>
        <v/>
      </c>
      <c r="G1987" s="5" t="s">
        <v>19</v>
      </c>
      <c r="H1987" s="5" t="s">
        <v>19</v>
      </c>
      <c r="I1987" s="5" t="s">
        <v>19</v>
      </c>
      <c r="J1987" s="5">
        <v>0.0</v>
      </c>
      <c r="K1987" s="5">
        <f t="shared" si="3"/>
        <v>0</v>
      </c>
      <c r="L1987" s="5">
        <f t="shared" si="4"/>
        <v>0</v>
      </c>
      <c r="M1987" s="5">
        <v>6093.840273601505</v>
      </c>
      <c r="N1987" s="5">
        <f t="shared" si="5"/>
        <v>0</v>
      </c>
      <c r="O1987" s="5">
        <f t="shared" si="6"/>
        <v>6093.840274</v>
      </c>
      <c r="P1987" s="5">
        <f t="shared" si="9"/>
        <v>6093.840274</v>
      </c>
      <c r="Q1987" s="5">
        <f t="shared" si="7"/>
        <v>6093.840274</v>
      </c>
      <c r="R1987" s="5">
        <f t="shared" si="8"/>
        <v>0</v>
      </c>
    </row>
    <row r="1988" ht="15.75" customHeight="1">
      <c r="A1988" s="4">
        <v>1998.0</v>
      </c>
      <c r="B1988" s="4">
        <v>523.0</v>
      </c>
      <c r="C1988" s="4" t="s">
        <v>22</v>
      </c>
      <c r="D1988" s="5">
        <v>2009.973989189188</v>
      </c>
      <c r="E1988" s="5">
        <f t="shared" si="1"/>
        <v>0</v>
      </c>
      <c r="F1988" s="5">
        <f t="shared" si="2"/>
        <v>2009.973989</v>
      </c>
      <c r="G1988" s="5">
        <v>6216.345441860465</v>
      </c>
      <c r="H1988" s="5">
        <v>4352.8976279069775</v>
      </c>
      <c r="I1988" s="5">
        <v>1863.4478139534876</v>
      </c>
      <c r="J1988" s="5">
        <v>0.0</v>
      </c>
      <c r="K1988" s="5">
        <f t="shared" si="3"/>
        <v>0</v>
      </c>
      <c r="L1988" s="5">
        <f t="shared" si="4"/>
        <v>0</v>
      </c>
      <c r="M1988" s="5">
        <v>76454.08461345063</v>
      </c>
      <c r="N1988" s="5">
        <f t="shared" si="5"/>
        <v>0</v>
      </c>
      <c r="O1988" s="5">
        <f t="shared" si="6"/>
        <v>76454.08461</v>
      </c>
      <c r="P1988" s="5">
        <f t="shared" si="9"/>
        <v>84680.40404</v>
      </c>
      <c r="Q1988" s="5">
        <f t="shared" si="7"/>
        <v>80327.50642</v>
      </c>
      <c r="R1988" s="5">
        <f t="shared" si="8"/>
        <v>4352.897628</v>
      </c>
    </row>
    <row r="1989" ht="15.75" customHeight="1">
      <c r="A1989" s="4">
        <v>1998.0</v>
      </c>
      <c r="B1989" s="4">
        <v>524.0</v>
      </c>
      <c r="C1989" s="4" t="s">
        <v>22</v>
      </c>
      <c r="D1989" s="5">
        <v>23670.489137837827</v>
      </c>
      <c r="E1989" s="5">
        <f t="shared" si="1"/>
        <v>0</v>
      </c>
      <c r="F1989" s="5">
        <f t="shared" si="2"/>
        <v>23670.48914</v>
      </c>
      <c r="G1989" s="5">
        <v>38025.98195348837</v>
      </c>
      <c r="H1989" s="5">
        <v>28459.797902325583</v>
      </c>
      <c r="I1989" s="5">
        <v>9566.184051162789</v>
      </c>
      <c r="J1989" s="5">
        <v>7057.769248900065</v>
      </c>
      <c r="K1989" s="5">
        <f t="shared" si="3"/>
        <v>7057.769249</v>
      </c>
      <c r="L1989" s="5">
        <f t="shared" si="4"/>
        <v>0</v>
      </c>
      <c r="M1989" s="5">
        <v>182088.14485436823</v>
      </c>
      <c r="N1989" s="5">
        <f t="shared" si="5"/>
        <v>0</v>
      </c>
      <c r="O1989" s="5">
        <f t="shared" si="6"/>
        <v>182088.1449</v>
      </c>
      <c r="P1989" s="5">
        <f t="shared" si="9"/>
        <v>250842.3852</v>
      </c>
      <c r="Q1989" s="5">
        <f t="shared" si="7"/>
        <v>215324.818</v>
      </c>
      <c r="R1989" s="5">
        <f t="shared" si="8"/>
        <v>35517.56715</v>
      </c>
    </row>
    <row r="1990" ht="15.75" customHeight="1">
      <c r="A1990" s="4">
        <v>1998.0</v>
      </c>
      <c r="B1990" s="4">
        <v>525.0</v>
      </c>
      <c r="C1990" s="4" t="s">
        <v>22</v>
      </c>
      <c r="D1990" s="5">
        <v>24264.345089189173</v>
      </c>
      <c r="E1990" s="5">
        <f t="shared" si="1"/>
        <v>0</v>
      </c>
      <c r="F1990" s="5">
        <f t="shared" si="2"/>
        <v>24264.34509</v>
      </c>
      <c r="G1990" s="5">
        <v>28410.300069767443</v>
      </c>
      <c r="H1990" s="5">
        <v>8328.738237209303</v>
      </c>
      <c r="I1990" s="5">
        <v>20081.561832558138</v>
      </c>
      <c r="J1990" s="5">
        <v>1332.506834192332</v>
      </c>
      <c r="K1990" s="5">
        <f t="shared" si="3"/>
        <v>1332.506834</v>
      </c>
      <c r="L1990" s="5">
        <f t="shared" si="4"/>
        <v>0</v>
      </c>
      <c r="M1990" s="5">
        <v>67656.16830405025</v>
      </c>
      <c r="N1990" s="5">
        <f t="shared" si="5"/>
        <v>0</v>
      </c>
      <c r="O1990" s="5">
        <f t="shared" si="6"/>
        <v>67656.1683</v>
      </c>
      <c r="P1990" s="5">
        <f t="shared" si="9"/>
        <v>121663.3203</v>
      </c>
      <c r="Q1990" s="5">
        <f t="shared" si="7"/>
        <v>112002.0752</v>
      </c>
      <c r="R1990" s="5">
        <f t="shared" si="8"/>
        <v>9661.245071</v>
      </c>
    </row>
    <row r="1991" ht="15.75" customHeight="1">
      <c r="A1991" s="4">
        <v>1998.0</v>
      </c>
      <c r="B1991" s="4">
        <v>526.0</v>
      </c>
      <c r="C1991" s="4" t="s">
        <v>22</v>
      </c>
      <c r="D1991" s="5" t="s">
        <v>19</v>
      </c>
      <c r="E1991" s="5" t="str">
        <f t="shared" si="1"/>
        <v/>
      </c>
      <c r="F1991" s="5" t="str">
        <f t="shared" si="2"/>
        <v/>
      </c>
      <c r="G1991" s="5" t="s">
        <v>19</v>
      </c>
      <c r="H1991" s="5" t="s">
        <v>19</v>
      </c>
      <c r="I1991" s="5" t="s">
        <v>19</v>
      </c>
      <c r="J1991" s="5">
        <v>0.0</v>
      </c>
      <c r="K1991" s="5">
        <f t="shared" si="3"/>
        <v>0</v>
      </c>
      <c r="L1991" s="5">
        <f t="shared" si="4"/>
        <v>0</v>
      </c>
      <c r="M1991" s="5">
        <v>6228.759246448772</v>
      </c>
      <c r="N1991" s="5">
        <f t="shared" si="5"/>
        <v>0</v>
      </c>
      <c r="O1991" s="5">
        <f t="shared" si="6"/>
        <v>6228.759246</v>
      </c>
      <c r="P1991" s="5">
        <f t="shared" si="9"/>
        <v>6228.759246</v>
      </c>
      <c r="Q1991" s="5">
        <f t="shared" si="7"/>
        <v>6228.759246</v>
      </c>
      <c r="R1991" s="5">
        <f t="shared" si="8"/>
        <v>0</v>
      </c>
    </row>
    <row r="1992" ht="15.75" customHeight="1">
      <c r="A1992" s="4">
        <v>1998.0</v>
      </c>
      <c r="B1992" s="4">
        <v>527.0</v>
      </c>
      <c r="C1992" s="4" t="s">
        <v>22</v>
      </c>
      <c r="D1992" s="5" t="s">
        <v>19</v>
      </c>
      <c r="E1992" s="5" t="str">
        <f t="shared" si="1"/>
        <v/>
      </c>
      <c r="F1992" s="5" t="str">
        <f t="shared" si="2"/>
        <v/>
      </c>
      <c r="G1992" s="5">
        <v>14496.313755813953</v>
      </c>
      <c r="H1992" s="5">
        <v>4098.129372093023</v>
      </c>
      <c r="I1992" s="5">
        <v>10398.18438372093</v>
      </c>
      <c r="J1992" s="5">
        <v>0.0</v>
      </c>
      <c r="K1992" s="5">
        <f t="shared" si="3"/>
        <v>0</v>
      </c>
      <c r="L1992" s="5">
        <f t="shared" si="4"/>
        <v>0</v>
      </c>
      <c r="M1992" s="5">
        <v>47157.77884939533</v>
      </c>
      <c r="N1992" s="5">
        <f t="shared" si="5"/>
        <v>0</v>
      </c>
      <c r="O1992" s="5">
        <f t="shared" si="6"/>
        <v>47157.77885</v>
      </c>
      <c r="P1992" s="5">
        <f t="shared" si="9"/>
        <v>61654.09261</v>
      </c>
      <c r="Q1992" s="5">
        <f t="shared" si="7"/>
        <v>57555.96323</v>
      </c>
      <c r="R1992" s="5">
        <f t="shared" si="8"/>
        <v>4098.129372</v>
      </c>
    </row>
    <row r="1993" ht="15.75" customHeight="1">
      <c r="A1993" s="4">
        <v>1998.0</v>
      </c>
      <c r="B1993" s="4">
        <v>528.0</v>
      </c>
      <c r="C1993" s="4" t="s">
        <v>22</v>
      </c>
      <c r="D1993" s="5" t="s">
        <v>19</v>
      </c>
      <c r="E1993" s="5" t="str">
        <f t="shared" si="1"/>
        <v/>
      </c>
      <c r="F1993" s="5" t="str">
        <f t="shared" si="2"/>
        <v/>
      </c>
      <c r="G1993" s="5" t="s">
        <v>19</v>
      </c>
      <c r="H1993" s="5" t="s">
        <v>19</v>
      </c>
      <c r="I1993" s="5" t="s">
        <v>19</v>
      </c>
      <c r="J1993" s="5">
        <v>0.0</v>
      </c>
      <c r="K1993" s="5">
        <f t="shared" si="3"/>
        <v>0</v>
      </c>
      <c r="L1993" s="5">
        <f t="shared" si="4"/>
        <v>0</v>
      </c>
      <c r="M1993" s="5">
        <v>89906.00590622245</v>
      </c>
      <c r="N1993" s="5">
        <f t="shared" si="5"/>
        <v>0</v>
      </c>
      <c r="O1993" s="5">
        <f t="shared" si="6"/>
        <v>89906.00591</v>
      </c>
      <c r="P1993" s="5">
        <f t="shared" si="9"/>
        <v>89906.00591</v>
      </c>
      <c r="Q1993" s="5">
        <f t="shared" si="7"/>
        <v>89906.00591</v>
      </c>
      <c r="R1993" s="5">
        <f t="shared" si="8"/>
        <v>0</v>
      </c>
    </row>
    <row r="1994" ht="15.75" customHeight="1">
      <c r="A1994" s="4">
        <v>1997.0</v>
      </c>
      <c r="B1994" s="4">
        <v>100.0</v>
      </c>
      <c r="C1994" s="4" t="s">
        <v>18</v>
      </c>
      <c r="D1994" s="5">
        <v>14690.150307532278</v>
      </c>
      <c r="E1994" s="5">
        <f t="shared" si="1"/>
        <v>0</v>
      </c>
      <c r="F1994" s="5">
        <f t="shared" si="2"/>
        <v>14690.15031</v>
      </c>
      <c r="G1994" s="5">
        <v>11240.405566896552</v>
      </c>
      <c r="H1994" s="5">
        <v>7902.586451561129</v>
      </c>
      <c r="I1994" s="5">
        <v>3337.819115335423</v>
      </c>
      <c r="J1994" s="5">
        <v>85595.1962248276</v>
      </c>
      <c r="K1994" s="5">
        <f t="shared" si="3"/>
        <v>85595.19622</v>
      </c>
      <c r="L1994" s="5">
        <f t="shared" si="4"/>
        <v>0</v>
      </c>
      <c r="M1994" s="5">
        <v>59367.44913884011</v>
      </c>
      <c r="N1994" s="5">
        <f t="shared" si="5"/>
        <v>0</v>
      </c>
      <c r="O1994" s="5">
        <f t="shared" si="6"/>
        <v>59367.44914</v>
      </c>
      <c r="P1994" s="5">
        <f t="shared" si="9"/>
        <v>170893.2012</v>
      </c>
      <c r="Q1994" s="5">
        <f t="shared" si="7"/>
        <v>77395.41856</v>
      </c>
      <c r="R1994" s="5">
        <f t="shared" si="8"/>
        <v>93497.78268</v>
      </c>
    </row>
    <row r="1995" ht="15.75" customHeight="1">
      <c r="A1995" s="4">
        <v>1997.0</v>
      </c>
      <c r="B1995" s="4">
        <v>101.0</v>
      </c>
      <c r="C1995" s="4" t="s">
        <v>18</v>
      </c>
      <c r="D1995" s="5">
        <v>7350.676399874604</v>
      </c>
      <c r="E1995" s="5">
        <f t="shared" si="1"/>
        <v>0</v>
      </c>
      <c r="F1995" s="5">
        <f t="shared" si="2"/>
        <v>7350.6764</v>
      </c>
      <c r="G1995" s="5">
        <v>12522.2378753605</v>
      </c>
      <c r="H1995" s="5">
        <v>7552.339313755486</v>
      </c>
      <c r="I1995" s="5">
        <v>4969.898561605015</v>
      </c>
      <c r="J1995" s="5">
        <v>898791.6535986208</v>
      </c>
      <c r="K1995" s="5">
        <f t="shared" si="3"/>
        <v>898791.6536</v>
      </c>
      <c r="L1995" s="5">
        <f t="shared" si="4"/>
        <v>0</v>
      </c>
      <c r="M1995" s="5">
        <v>178083.14544294658</v>
      </c>
      <c r="N1995" s="5">
        <f t="shared" si="5"/>
        <v>0</v>
      </c>
      <c r="O1995" s="5">
        <f t="shared" si="6"/>
        <v>178083.1454</v>
      </c>
      <c r="P1995" s="5">
        <f t="shared" si="9"/>
        <v>1096747.713</v>
      </c>
      <c r="Q1995" s="5">
        <f t="shared" si="7"/>
        <v>190403.7204</v>
      </c>
      <c r="R1995" s="5">
        <f t="shared" si="8"/>
        <v>906343.9929</v>
      </c>
    </row>
    <row r="1996" ht="15.75" customHeight="1">
      <c r="A1996" s="4">
        <v>1997.0</v>
      </c>
      <c r="B1996" s="4">
        <v>102.0</v>
      </c>
      <c r="C1996" s="4" t="s">
        <v>18</v>
      </c>
      <c r="D1996" s="5">
        <v>31198.173530156724</v>
      </c>
      <c r="E1996" s="5">
        <f t="shared" si="1"/>
        <v>0</v>
      </c>
      <c r="F1996" s="5">
        <f t="shared" si="2"/>
        <v>31198.17353</v>
      </c>
      <c r="G1996" s="5">
        <v>21072.600992100306</v>
      </c>
      <c r="H1996" s="5">
        <v>10913.267518595607</v>
      </c>
      <c r="I1996" s="5">
        <v>10159.3334735047</v>
      </c>
      <c r="J1996" s="5">
        <v>141175.10758896553</v>
      </c>
      <c r="K1996" s="5">
        <f t="shared" si="3"/>
        <v>141175.1076</v>
      </c>
      <c r="L1996" s="5">
        <f t="shared" si="4"/>
        <v>0</v>
      </c>
      <c r="M1996" s="5">
        <v>67067.44054188085</v>
      </c>
      <c r="N1996" s="5">
        <f t="shared" si="5"/>
        <v>0</v>
      </c>
      <c r="O1996" s="5">
        <f t="shared" si="6"/>
        <v>67067.44054</v>
      </c>
      <c r="P1996" s="5">
        <f t="shared" si="9"/>
        <v>260513.3227</v>
      </c>
      <c r="Q1996" s="5">
        <f t="shared" si="7"/>
        <v>108424.9475</v>
      </c>
      <c r="R1996" s="5">
        <f t="shared" si="8"/>
        <v>152088.3751</v>
      </c>
    </row>
    <row r="1997" ht="15.75" customHeight="1">
      <c r="A1997" s="4">
        <v>1997.0</v>
      </c>
      <c r="B1997" s="4">
        <v>103.0</v>
      </c>
      <c r="C1997" s="4" t="s">
        <v>18</v>
      </c>
      <c r="D1997" s="5">
        <v>33239.17553680249</v>
      </c>
      <c r="E1997" s="5">
        <f t="shared" si="1"/>
        <v>0</v>
      </c>
      <c r="F1997" s="5">
        <f t="shared" si="2"/>
        <v>33239.17554</v>
      </c>
      <c r="G1997" s="5">
        <v>15945.271758244511</v>
      </c>
      <c r="H1997" s="5">
        <v>6547.093920300938</v>
      </c>
      <c r="I1997" s="5">
        <v>9398.177837943573</v>
      </c>
      <c r="J1997" s="5">
        <v>22483.401486896553</v>
      </c>
      <c r="K1997" s="5">
        <f t="shared" si="3"/>
        <v>22483.40149</v>
      </c>
      <c r="L1997" s="5">
        <f t="shared" si="4"/>
        <v>0</v>
      </c>
      <c r="M1997" s="5">
        <v>10239.705065705326</v>
      </c>
      <c r="N1997" s="5">
        <f t="shared" si="5"/>
        <v>0</v>
      </c>
      <c r="O1997" s="5">
        <f t="shared" si="6"/>
        <v>10239.70507</v>
      </c>
      <c r="P1997" s="5">
        <f t="shared" si="9"/>
        <v>81907.55385</v>
      </c>
      <c r="Q1997" s="5">
        <f t="shared" si="7"/>
        <v>52877.05844</v>
      </c>
      <c r="R1997" s="5">
        <f t="shared" si="8"/>
        <v>29030.49541</v>
      </c>
    </row>
    <row r="1998" ht="15.75" customHeight="1">
      <c r="A1998" s="4">
        <v>1997.0</v>
      </c>
      <c r="B1998" s="4">
        <v>104.0</v>
      </c>
      <c r="C1998" s="4" t="s">
        <v>18</v>
      </c>
      <c r="D1998" s="5">
        <v>4128.041652539184</v>
      </c>
      <c r="E1998" s="5">
        <f t="shared" si="1"/>
        <v>0</v>
      </c>
      <c r="F1998" s="5">
        <f t="shared" si="2"/>
        <v>4128.041653</v>
      </c>
      <c r="G1998" s="5">
        <v>570.5056471473354</v>
      </c>
      <c r="H1998" s="5">
        <v>335.08179781818177</v>
      </c>
      <c r="I1998" s="5">
        <v>235.4238493291536</v>
      </c>
      <c r="J1998" s="5">
        <v>27568.264628965524</v>
      </c>
      <c r="K1998" s="5">
        <f t="shared" si="3"/>
        <v>27568.26463</v>
      </c>
      <c r="L1998" s="5">
        <f t="shared" si="4"/>
        <v>0</v>
      </c>
      <c r="M1998" s="5">
        <v>1606.9019990595602</v>
      </c>
      <c r="N1998" s="5">
        <f t="shared" si="5"/>
        <v>0</v>
      </c>
      <c r="O1998" s="5">
        <f t="shared" si="6"/>
        <v>1606.901999</v>
      </c>
      <c r="P1998" s="5">
        <f t="shared" si="9"/>
        <v>33873.71393</v>
      </c>
      <c r="Q1998" s="5">
        <f t="shared" si="7"/>
        <v>5970.367501</v>
      </c>
      <c r="R1998" s="5">
        <f t="shared" si="8"/>
        <v>27903.34643</v>
      </c>
    </row>
    <row r="1999" ht="15.75" customHeight="1">
      <c r="A1999" s="4">
        <v>1997.0</v>
      </c>
      <c r="B1999" s="4">
        <v>105.0</v>
      </c>
      <c r="C1999" s="4" t="s">
        <v>18</v>
      </c>
      <c r="D1999" s="5">
        <v>23839.824190407508</v>
      </c>
      <c r="E1999" s="5">
        <f t="shared" si="1"/>
        <v>0</v>
      </c>
      <c r="F1999" s="5">
        <f t="shared" si="2"/>
        <v>23839.82419</v>
      </c>
      <c r="G1999" s="5">
        <v>3661.3463684012536</v>
      </c>
      <c r="H1999" s="5">
        <v>1182.8965190219433</v>
      </c>
      <c r="I1999" s="5">
        <v>2478.4498493793103</v>
      </c>
      <c r="J1999" s="5">
        <v>137925.50962068967</v>
      </c>
      <c r="K1999" s="5">
        <f t="shared" si="3"/>
        <v>137925.5096</v>
      </c>
      <c r="L1999" s="5">
        <f t="shared" si="4"/>
        <v>0</v>
      </c>
      <c r="M1999" s="5">
        <v>35545.88497542318</v>
      </c>
      <c r="N1999" s="5">
        <f t="shared" si="5"/>
        <v>0</v>
      </c>
      <c r="O1999" s="5">
        <f t="shared" si="6"/>
        <v>35545.88498</v>
      </c>
      <c r="P1999" s="5">
        <f t="shared" si="9"/>
        <v>200972.5652</v>
      </c>
      <c r="Q1999" s="5">
        <f t="shared" si="7"/>
        <v>61864.15902</v>
      </c>
      <c r="R1999" s="5">
        <f t="shared" si="8"/>
        <v>139108.4061</v>
      </c>
    </row>
    <row r="2000" ht="15.75" customHeight="1">
      <c r="A2000" s="4">
        <v>1997.0</v>
      </c>
      <c r="B2000" s="4">
        <v>106.0</v>
      </c>
      <c r="C2000" s="4" t="s">
        <v>18</v>
      </c>
      <c r="D2000" s="5">
        <v>21768.13042426331</v>
      </c>
      <c r="E2000" s="5">
        <f t="shared" si="1"/>
        <v>0</v>
      </c>
      <c r="F2000" s="5">
        <f t="shared" si="2"/>
        <v>21768.13042</v>
      </c>
      <c r="G2000" s="5">
        <v>8420.37448827586</v>
      </c>
      <c r="H2000" s="5">
        <v>5089.776963410658</v>
      </c>
      <c r="I2000" s="5">
        <v>3330.597524865202</v>
      </c>
      <c r="J2000" s="5">
        <v>119370.81034068964</v>
      </c>
      <c r="K2000" s="5">
        <f t="shared" si="3"/>
        <v>119370.8103</v>
      </c>
      <c r="L2000" s="5">
        <f t="shared" si="4"/>
        <v>0</v>
      </c>
      <c r="M2000" s="5">
        <v>98574.84728570524</v>
      </c>
      <c r="N2000" s="5">
        <f t="shared" si="5"/>
        <v>0</v>
      </c>
      <c r="O2000" s="5">
        <f t="shared" si="6"/>
        <v>98574.84729</v>
      </c>
      <c r="P2000" s="5">
        <f t="shared" si="9"/>
        <v>248134.1625</v>
      </c>
      <c r="Q2000" s="5">
        <f t="shared" si="7"/>
        <v>123673.5752</v>
      </c>
      <c r="R2000" s="5">
        <f t="shared" si="8"/>
        <v>124460.5873</v>
      </c>
    </row>
    <row r="2001" ht="15.75" customHeight="1">
      <c r="A2001" s="4">
        <v>1997.0</v>
      </c>
      <c r="B2001" s="4">
        <v>107.0</v>
      </c>
      <c r="C2001" s="4" t="s">
        <v>18</v>
      </c>
      <c r="D2001" s="5">
        <v>7250.928181504698</v>
      </c>
      <c r="E2001" s="5">
        <f t="shared" si="1"/>
        <v>0</v>
      </c>
      <c r="F2001" s="5">
        <f t="shared" si="2"/>
        <v>7250.928182</v>
      </c>
      <c r="G2001" s="5">
        <v>2188.141912476489</v>
      </c>
      <c r="H2001" s="5">
        <v>1481.870364489028</v>
      </c>
      <c r="I2001" s="5">
        <v>706.271547987461</v>
      </c>
      <c r="J2001" s="5">
        <v>16955.15623862069</v>
      </c>
      <c r="K2001" s="5">
        <f t="shared" si="3"/>
        <v>16955.15624</v>
      </c>
      <c r="L2001" s="5">
        <f t="shared" si="4"/>
        <v>0</v>
      </c>
      <c r="M2001" s="5">
        <v>61232.06183586203</v>
      </c>
      <c r="N2001" s="5">
        <f t="shared" si="5"/>
        <v>0</v>
      </c>
      <c r="O2001" s="5">
        <f t="shared" si="6"/>
        <v>61232.06184</v>
      </c>
      <c r="P2001" s="5">
        <f t="shared" si="9"/>
        <v>87626.28817</v>
      </c>
      <c r="Q2001" s="5">
        <f t="shared" si="7"/>
        <v>69189.26157</v>
      </c>
      <c r="R2001" s="5">
        <f t="shared" si="8"/>
        <v>18437.0266</v>
      </c>
    </row>
    <row r="2002" ht="15.75" customHeight="1">
      <c r="A2002" s="4">
        <v>1997.0</v>
      </c>
      <c r="B2002" s="4">
        <v>108.0</v>
      </c>
      <c r="C2002" s="4" t="s">
        <v>18</v>
      </c>
      <c r="D2002" s="5">
        <v>26638.68246846832</v>
      </c>
      <c r="E2002" s="5">
        <f t="shared" si="1"/>
        <v>0</v>
      </c>
      <c r="F2002" s="5">
        <f t="shared" si="2"/>
        <v>26638.68247</v>
      </c>
      <c r="G2002" s="5">
        <v>5784.493966645767</v>
      </c>
      <c r="H2002" s="5">
        <v>2716.7623348965512</v>
      </c>
      <c r="I2002" s="5">
        <v>3067.7316317492155</v>
      </c>
      <c r="J2002" s="5">
        <v>18442.450645517245</v>
      </c>
      <c r="K2002" s="5">
        <f t="shared" si="3"/>
        <v>18442.45065</v>
      </c>
      <c r="L2002" s="5">
        <f t="shared" si="4"/>
        <v>0</v>
      </c>
      <c r="M2002" s="5">
        <v>41621.79366620688</v>
      </c>
      <c r="N2002" s="5">
        <f t="shared" si="5"/>
        <v>0</v>
      </c>
      <c r="O2002" s="5">
        <f t="shared" si="6"/>
        <v>41621.79367</v>
      </c>
      <c r="P2002" s="5">
        <f t="shared" si="9"/>
        <v>92487.42075</v>
      </c>
      <c r="Q2002" s="5">
        <f t="shared" si="7"/>
        <v>71328.20777</v>
      </c>
      <c r="R2002" s="5">
        <f t="shared" si="8"/>
        <v>21159.21298</v>
      </c>
    </row>
    <row r="2003" ht="15.75" customHeight="1">
      <c r="A2003" s="4">
        <v>1997.0</v>
      </c>
      <c r="B2003" s="4">
        <v>120.0</v>
      </c>
      <c r="C2003" s="4" t="s">
        <v>18</v>
      </c>
      <c r="D2003" s="5">
        <v>49720.65038746079</v>
      </c>
      <c r="E2003" s="5">
        <f t="shared" si="1"/>
        <v>0</v>
      </c>
      <c r="F2003" s="5">
        <f t="shared" si="2"/>
        <v>49720.65039</v>
      </c>
      <c r="G2003" s="5">
        <v>9489.169877868337</v>
      </c>
      <c r="H2003" s="5">
        <v>4679.590624702194</v>
      </c>
      <c r="I2003" s="5">
        <v>4809.579253166143</v>
      </c>
      <c r="J2003" s="5">
        <v>70879.40024413794</v>
      </c>
      <c r="K2003" s="5">
        <f t="shared" si="3"/>
        <v>70879.40024</v>
      </c>
      <c r="L2003" s="5">
        <f t="shared" si="4"/>
        <v>0</v>
      </c>
      <c r="M2003" s="5">
        <v>220599.34682561108</v>
      </c>
      <c r="N2003" s="5">
        <f t="shared" si="5"/>
        <v>0</v>
      </c>
      <c r="O2003" s="5">
        <f t="shared" si="6"/>
        <v>220599.3468</v>
      </c>
      <c r="P2003" s="5">
        <f t="shared" si="9"/>
        <v>350688.5673</v>
      </c>
      <c r="Q2003" s="5">
        <f t="shared" si="7"/>
        <v>275129.5765</v>
      </c>
      <c r="R2003" s="5">
        <f t="shared" si="8"/>
        <v>75558.99087</v>
      </c>
    </row>
    <row r="2004" ht="15.75" customHeight="1">
      <c r="A2004" s="4">
        <v>1997.0</v>
      </c>
      <c r="B2004" s="4">
        <v>121.0</v>
      </c>
      <c r="C2004" s="4" t="s">
        <v>18</v>
      </c>
      <c r="D2004" s="5">
        <v>60447.420332162976</v>
      </c>
      <c r="E2004" s="5">
        <f t="shared" si="1"/>
        <v>0</v>
      </c>
      <c r="F2004" s="5">
        <f t="shared" si="2"/>
        <v>60447.42033</v>
      </c>
      <c r="G2004" s="5">
        <v>18906.12385103448</v>
      </c>
      <c r="H2004" s="5">
        <v>9357.736931310345</v>
      </c>
      <c r="I2004" s="5">
        <v>9548.386919724137</v>
      </c>
      <c r="J2004" s="5">
        <v>308549.0464662069</v>
      </c>
      <c r="K2004" s="5">
        <f t="shared" si="3"/>
        <v>308549.0465</v>
      </c>
      <c r="L2004" s="5">
        <f t="shared" si="4"/>
        <v>0</v>
      </c>
      <c r="M2004" s="5">
        <v>1969428.5697585605</v>
      </c>
      <c r="N2004" s="5">
        <f t="shared" si="5"/>
        <v>0</v>
      </c>
      <c r="O2004" s="5">
        <f t="shared" si="6"/>
        <v>1969428.57</v>
      </c>
      <c r="P2004" s="5">
        <f t="shared" si="9"/>
        <v>2357331.16</v>
      </c>
      <c r="Q2004" s="5">
        <f t="shared" si="7"/>
        <v>2039424.377</v>
      </c>
      <c r="R2004" s="5">
        <f t="shared" si="8"/>
        <v>317906.7834</v>
      </c>
    </row>
    <row r="2005" ht="15.75" customHeight="1">
      <c r="A2005" s="4">
        <v>1997.0</v>
      </c>
      <c r="B2005" s="4">
        <v>122.0</v>
      </c>
      <c r="C2005" s="4" t="s">
        <v>18</v>
      </c>
      <c r="D2005" s="5">
        <v>74995.31433442002</v>
      </c>
      <c r="E2005" s="5">
        <f t="shared" si="1"/>
        <v>0</v>
      </c>
      <c r="F2005" s="5">
        <f t="shared" si="2"/>
        <v>74995.31433</v>
      </c>
      <c r="G2005" s="5">
        <v>32345.503716112842</v>
      </c>
      <c r="H2005" s="5">
        <v>21582.4452792978</v>
      </c>
      <c r="I2005" s="5">
        <v>10763.058436815041</v>
      </c>
      <c r="J2005" s="5">
        <v>112927.73872137933</v>
      </c>
      <c r="K2005" s="5">
        <f t="shared" si="3"/>
        <v>112927.7387</v>
      </c>
      <c r="L2005" s="5">
        <f t="shared" si="4"/>
        <v>0</v>
      </c>
      <c r="M2005" s="5">
        <v>223381.6117334168</v>
      </c>
      <c r="N2005" s="5">
        <f t="shared" si="5"/>
        <v>0</v>
      </c>
      <c r="O2005" s="5">
        <f t="shared" si="6"/>
        <v>223381.6117</v>
      </c>
      <c r="P2005" s="5">
        <f t="shared" si="9"/>
        <v>443650.1685</v>
      </c>
      <c r="Q2005" s="5">
        <f t="shared" si="7"/>
        <v>309139.9845</v>
      </c>
      <c r="R2005" s="5">
        <f t="shared" si="8"/>
        <v>134510.184</v>
      </c>
    </row>
    <row r="2006" ht="15.75" customHeight="1">
      <c r="A2006" s="4">
        <v>1997.0</v>
      </c>
      <c r="B2006" s="4">
        <v>123.0</v>
      </c>
      <c r="C2006" s="4" t="s">
        <v>18</v>
      </c>
      <c r="D2006" s="5">
        <v>36791.74669874607</v>
      </c>
      <c r="E2006" s="5">
        <f t="shared" si="1"/>
        <v>0</v>
      </c>
      <c r="F2006" s="5">
        <f t="shared" si="2"/>
        <v>36791.7467</v>
      </c>
      <c r="G2006" s="5" t="s">
        <v>19</v>
      </c>
      <c r="H2006" s="5" t="s">
        <v>19</v>
      </c>
      <c r="I2006" s="5" t="s">
        <v>19</v>
      </c>
      <c r="J2006" s="5">
        <v>0.0</v>
      </c>
      <c r="K2006" s="5">
        <f t="shared" si="3"/>
        <v>0</v>
      </c>
      <c r="L2006" s="5">
        <f t="shared" si="4"/>
        <v>0</v>
      </c>
      <c r="M2006" s="5">
        <v>11054.272997304066</v>
      </c>
      <c r="N2006" s="5">
        <f t="shared" si="5"/>
        <v>0</v>
      </c>
      <c r="O2006" s="5">
        <f t="shared" si="6"/>
        <v>11054.273</v>
      </c>
      <c r="P2006" s="5">
        <f t="shared" si="9"/>
        <v>47846.0197</v>
      </c>
      <c r="Q2006" s="5">
        <f t="shared" si="7"/>
        <v>47846.0197</v>
      </c>
      <c r="R2006" s="5">
        <f t="shared" si="8"/>
        <v>0</v>
      </c>
    </row>
    <row r="2007" ht="15.75" customHeight="1">
      <c r="A2007" s="4">
        <v>1997.0</v>
      </c>
      <c r="B2007" s="4">
        <v>124.0</v>
      </c>
      <c r="C2007" s="4" t="s">
        <v>18</v>
      </c>
      <c r="D2007" s="5" t="s">
        <v>19</v>
      </c>
      <c r="E2007" s="5" t="str">
        <f t="shared" si="1"/>
        <v/>
      </c>
      <c r="F2007" s="5" t="str">
        <f t="shared" si="2"/>
        <v/>
      </c>
      <c r="G2007" s="5" t="s">
        <v>19</v>
      </c>
      <c r="H2007" s="5" t="s">
        <v>19</v>
      </c>
      <c r="I2007" s="5" t="s">
        <v>19</v>
      </c>
      <c r="J2007" s="5">
        <v>0.0</v>
      </c>
      <c r="K2007" s="5">
        <f t="shared" si="3"/>
        <v>0</v>
      </c>
      <c r="L2007" s="5">
        <f t="shared" si="4"/>
        <v>0</v>
      </c>
      <c r="M2007" s="5">
        <v>65874.89691993725</v>
      </c>
      <c r="N2007" s="5">
        <f t="shared" si="5"/>
        <v>0</v>
      </c>
      <c r="O2007" s="5">
        <f t="shared" si="6"/>
        <v>65874.89692</v>
      </c>
      <c r="P2007" s="5">
        <f t="shared" si="9"/>
        <v>65874.89692</v>
      </c>
      <c r="Q2007" s="5">
        <f t="shared" si="7"/>
        <v>65874.89692</v>
      </c>
      <c r="R2007" s="5">
        <f t="shared" si="8"/>
        <v>0</v>
      </c>
    </row>
    <row r="2008" ht="15.75" customHeight="1">
      <c r="A2008" s="4">
        <v>1997.0</v>
      </c>
      <c r="B2008" s="4">
        <v>125.0</v>
      </c>
      <c r="C2008" s="4" t="s">
        <v>18</v>
      </c>
      <c r="D2008" s="5">
        <v>29295.284441253905</v>
      </c>
      <c r="E2008" s="5">
        <f t="shared" si="1"/>
        <v>0</v>
      </c>
      <c r="F2008" s="5">
        <f t="shared" si="2"/>
        <v>29295.28444</v>
      </c>
      <c r="G2008" s="5">
        <v>3033.0679974921627</v>
      </c>
      <c r="H2008" s="5">
        <v>1863.1703413166144</v>
      </c>
      <c r="I2008" s="5">
        <v>1169.8976561755483</v>
      </c>
      <c r="J2008" s="5">
        <v>33814.90113793104</v>
      </c>
      <c r="K2008" s="5">
        <f t="shared" si="3"/>
        <v>33814.90114</v>
      </c>
      <c r="L2008" s="5">
        <f t="shared" si="4"/>
        <v>0</v>
      </c>
      <c r="M2008" s="5">
        <v>665821.3592556112</v>
      </c>
      <c r="N2008" s="5">
        <f t="shared" si="5"/>
        <v>0</v>
      </c>
      <c r="O2008" s="5">
        <f t="shared" si="6"/>
        <v>665821.3593</v>
      </c>
      <c r="P2008" s="5">
        <f t="shared" si="9"/>
        <v>731964.6128</v>
      </c>
      <c r="Q2008" s="5">
        <f t="shared" si="7"/>
        <v>696286.5414</v>
      </c>
      <c r="R2008" s="5">
        <f t="shared" si="8"/>
        <v>35678.07148</v>
      </c>
    </row>
    <row r="2009" ht="15.75" customHeight="1">
      <c r="A2009" s="4">
        <v>1997.0</v>
      </c>
      <c r="B2009" s="4">
        <v>126.0</v>
      </c>
      <c r="C2009" s="4" t="s">
        <v>18</v>
      </c>
      <c r="D2009" s="5">
        <v>19865.241335360493</v>
      </c>
      <c r="E2009" s="5">
        <f t="shared" si="1"/>
        <v>0</v>
      </c>
      <c r="F2009" s="5">
        <f t="shared" si="2"/>
        <v>19865.24134</v>
      </c>
      <c r="G2009" s="5">
        <v>3148.6134450156733</v>
      </c>
      <c r="H2009" s="5">
        <v>1977.2714707460811</v>
      </c>
      <c r="I2009" s="5">
        <v>1171.3419742695921</v>
      </c>
      <c r="J2009" s="5">
        <v>25368.191393103447</v>
      </c>
      <c r="K2009" s="5">
        <f t="shared" si="3"/>
        <v>25368.19139</v>
      </c>
      <c r="L2009" s="5">
        <f t="shared" si="4"/>
        <v>0</v>
      </c>
      <c r="M2009" s="5">
        <v>785693.0345814561</v>
      </c>
      <c r="N2009" s="5">
        <f t="shared" si="5"/>
        <v>0</v>
      </c>
      <c r="O2009" s="5">
        <f t="shared" si="6"/>
        <v>785693.0346</v>
      </c>
      <c r="P2009" s="5">
        <f t="shared" si="9"/>
        <v>834075.0808</v>
      </c>
      <c r="Q2009" s="5">
        <f t="shared" si="7"/>
        <v>806729.6179</v>
      </c>
      <c r="R2009" s="5">
        <f t="shared" si="8"/>
        <v>27345.46286</v>
      </c>
    </row>
    <row r="2010" ht="15.75" customHeight="1">
      <c r="A2010" s="4">
        <v>1997.0</v>
      </c>
      <c r="B2010" s="4">
        <v>127.0</v>
      </c>
      <c r="C2010" s="4" t="s">
        <v>18</v>
      </c>
      <c r="D2010" s="5">
        <v>5954.201342695922</v>
      </c>
      <c r="E2010" s="5">
        <f t="shared" si="1"/>
        <v>0</v>
      </c>
      <c r="F2010" s="5">
        <f t="shared" si="2"/>
        <v>5954.201343</v>
      </c>
      <c r="G2010" s="5">
        <v>989.3578944200624</v>
      </c>
      <c r="H2010" s="5">
        <v>453.5158815297804</v>
      </c>
      <c r="I2010" s="5">
        <v>535.8420128902819</v>
      </c>
      <c r="J2010" s="5">
        <v>2475.0823903448277</v>
      </c>
      <c r="K2010" s="5">
        <f t="shared" si="3"/>
        <v>2475.08239</v>
      </c>
      <c r="L2010" s="5">
        <f t="shared" si="4"/>
        <v>0</v>
      </c>
      <c r="M2010" s="5">
        <v>309790.67472835525</v>
      </c>
      <c r="N2010" s="5">
        <f t="shared" si="5"/>
        <v>0</v>
      </c>
      <c r="O2010" s="5">
        <f t="shared" si="6"/>
        <v>309790.6747</v>
      </c>
      <c r="P2010" s="5">
        <f t="shared" si="9"/>
        <v>319209.3164</v>
      </c>
      <c r="Q2010" s="5">
        <f t="shared" si="7"/>
        <v>316280.7181</v>
      </c>
      <c r="R2010" s="5">
        <f t="shared" si="8"/>
        <v>2928.598272</v>
      </c>
    </row>
    <row r="2011" ht="15.75" customHeight="1">
      <c r="A2011" s="4">
        <v>1997.0</v>
      </c>
      <c r="B2011" s="4">
        <v>128.0</v>
      </c>
      <c r="C2011" s="4" t="s">
        <v>18</v>
      </c>
      <c r="D2011" s="5">
        <v>6568.036532664572</v>
      </c>
      <c r="E2011" s="5">
        <f t="shared" si="1"/>
        <v>0</v>
      </c>
      <c r="F2011" s="5">
        <f t="shared" si="2"/>
        <v>6568.036533</v>
      </c>
      <c r="G2011" s="5" t="s">
        <v>19</v>
      </c>
      <c r="H2011" s="5" t="s">
        <v>19</v>
      </c>
      <c r="I2011" s="5" t="s">
        <v>19</v>
      </c>
      <c r="J2011" s="5">
        <v>0.0</v>
      </c>
      <c r="K2011" s="5">
        <f t="shared" si="3"/>
        <v>0</v>
      </c>
      <c r="L2011" s="5">
        <f t="shared" si="4"/>
        <v>0</v>
      </c>
      <c r="M2011" s="5">
        <v>18454.79446301065</v>
      </c>
      <c r="N2011" s="5">
        <f t="shared" si="5"/>
        <v>0</v>
      </c>
      <c r="O2011" s="5">
        <f t="shared" si="6"/>
        <v>18454.79446</v>
      </c>
      <c r="P2011" s="5">
        <f t="shared" si="9"/>
        <v>25022.831</v>
      </c>
      <c r="Q2011" s="5">
        <f t="shared" si="7"/>
        <v>25022.831</v>
      </c>
      <c r="R2011" s="5">
        <f t="shared" si="8"/>
        <v>0</v>
      </c>
    </row>
    <row r="2012" ht="15.75" customHeight="1">
      <c r="A2012" s="4">
        <v>1997.0</v>
      </c>
      <c r="B2012" s="4">
        <v>300.0</v>
      </c>
      <c r="C2012" s="4" t="s">
        <v>20</v>
      </c>
      <c r="D2012" s="5">
        <v>8633.70576545454</v>
      </c>
      <c r="E2012" s="5">
        <f t="shared" si="1"/>
        <v>0</v>
      </c>
      <c r="F2012" s="5">
        <f t="shared" si="2"/>
        <v>8633.705765</v>
      </c>
      <c r="G2012" s="5">
        <v>32387.165228526643</v>
      </c>
      <c r="H2012" s="5">
        <v>17437.0992830721</v>
      </c>
      <c r="I2012" s="5">
        <v>14950.065945454542</v>
      </c>
      <c r="J2012" s="5">
        <v>575745.1857678997</v>
      </c>
      <c r="K2012" s="5">
        <f t="shared" si="3"/>
        <v>575745.1858</v>
      </c>
      <c r="L2012" s="5">
        <f t="shared" si="4"/>
        <v>0</v>
      </c>
      <c r="M2012" s="5">
        <v>1875.4745185579932</v>
      </c>
      <c r="N2012" s="5">
        <f t="shared" si="5"/>
        <v>0</v>
      </c>
      <c r="O2012" s="5">
        <f t="shared" si="6"/>
        <v>1875.474519</v>
      </c>
      <c r="P2012" s="5">
        <f t="shared" si="9"/>
        <v>618641.5313</v>
      </c>
      <c r="Q2012" s="5">
        <f t="shared" si="7"/>
        <v>25459.24623</v>
      </c>
      <c r="R2012" s="5">
        <f t="shared" si="8"/>
        <v>593182.2851</v>
      </c>
    </row>
    <row r="2013" ht="15.75" customHeight="1">
      <c r="A2013" s="4">
        <v>1997.0</v>
      </c>
      <c r="B2013" s="4">
        <v>301.0</v>
      </c>
      <c r="C2013" s="4" t="s">
        <v>20</v>
      </c>
      <c r="D2013" s="5" t="s">
        <v>19</v>
      </c>
      <c r="E2013" s="5" t="str">
        <f t="shared" si="1"/>
        <v/>
      </c>
      <c r="F2013" s="5" t="str">
        <f t="shared" si="2"/>
        <v/>
      </c>
      <c r="G2013" s="5">
        <v>9739.138952351095</v>
      </c>
      <c r="H2013" s="5">
        <v>5596.869981630092</v>
      </c>
      <c r="I2013" s="5">
        <v>4142.268970721003</v>
      </c>
      <c r="J2013" s="5">
        <v>59733.30707887147</v>
      </c>
      <c r="K2013" s="5">
        <f t="shared" si="3"/>
        <v>59733.30708</v>
      </c>
      <c r="L2013" s="5">
        <f t="shared" si="4"/>
        <v>0</v>
      </c>
      <c r="M2013" s="5">
        <v>370.30275047021917</v>
      </c>
      <c r="N2013" s="5">
        <f t="shared" si="5"/>
        <v>0</v>
      </c>
      <c r="O2013" s="5">
        <f t="shared" si="6"/>
        <v>370.3027505</v>
      </c>
      <c r="P2013" s="5">
        <f t="shared" si="9"/>
        <v>69842.74878</v>
      </c>
      <c r="Q2013" s="5">
        <f t="shared" si="7"/>
        <v>4512.571721</v>
      </c>
      <c r="R2013" s="5">
        <f t="shared" si="8"/>
        <v>65330.17706</v>
      </c>
    </row>
    <row r="2014" ht="15.75" customHeight="1">
      <c r="A2014" s="4">
        <v>1997.0</v>
      </c>
      <c r="B2014" s="4">
        <v>302.0</v>
      </c>
      <c r="C2014" s="4" t="s">
        <v>20</v>
      </c>
      <c r="D2014" s="5">
        <v>4198.530655172412</v>
      </c>
      <c r="E2014" s="5">
        <f t="shared" si="1"/>
        <v>0</v>
      </c>
      <c r="F2014" s="5">
        <f t="shared" si="2"/>
        <v>4198.530655</v>
      </c>
      <c r="G2014" s="5">
        <v>5893.642026959247</v>
      </c>
      <c r="H2014" s="5">
        <v>3908.195244827586</v>
      </c>
      <c r="I2014" s="5">
        <v>1985.4467821316612</v>
      </c>
      <c r="J2014" s="5">
        <v>136621.81630194356</v>
      </c>
      <c r="K2014" s="5">
        <f t="shared" si="3"/>
        <v>136621.8163</v>
      </c>
      <c r="L2014" s="5">
        <f t="shared" si="4"/>
        <v>0</v>
      </c>
      <c r="M2014" s="5">
        <v>8826.274970031343</v>
      </c>
      <c r="N2014" s="5">
        <f t="shared" si="5"/>
        <v>0</v>
      </c>
      <c r="O2014" s="5">
        <f t="shared" si="6"/>
        <v>8826.27497</v>
      </c>
      <c r="P2014" s="5">
        <f t="shared" si="9"/>
        <v>155540.264</v>
      </c>
      <c r="Q2014" s="5">
        <f t="shared" si="7"/>
        <v>15010.25241</v>
      </c>
      <c r="R2014" s="5">
        <f t="shared" si="8"/>
        <v>140530.0115</v>
      </c>
    </row>
    <row r="2015" ht="15.75" customHeight="1">
      <c r="A2015" s="4">
        <v>1997.0</v>
      </c>
      <c r="B2015" s="4">
        <v>303.0</v>
      </c>
      <c r="C2015" s="4" t="s">
        <v>20</v>
      </c>
      <c r="D2015" s="5">
        <v>40115.05198714731</v>
      </c>
      <c r="E2015" s="5">
        <f t="shared" si="1"/>
        <v>0</v>
      </c>
      <c r="F2015" s="5">
        <f t="shared" si="2"/>
        <v>40115.05199</v>
      </c>
      <c r="G2015" s="5">
        <v>18238.24447586207</v>
      </c>
      <c r="H2015" s="5">
        <v>8207.906662131662</v>
      </c>
      <c r="I2015" s="5">
        <v>10030.337813730408</v>
      </c>
      <c r="J2015" s="5">
        <v>19053.342252413793</v>
      </c>
      <c r="K2015" s="5">
        <f t="shared" si="3"/>
        <v>19053.34225</v>
      </c>
      <c r="L2015" s="5">
        <f t="shared" si="4"/>
        <v>0</v>
      </c>
      <c r="M2015" s="5">
        <v>17273.53418369905</v>
      </c>
      <c r="N2015" s="5">
        <f t="shared" si="5"/>
        <v>0</v>
      </c>
      <c r="O2015" s="5">
        <f t="shared" si="6"/>
        <v>17273.53418</v>
      </c>
      <c r="P2015" s="5">
        <f t="shared" si="9"/>
        <v>94680.1729</v>
      </c>
      <c r="Q2015" s="5">
        <f t="shared" si="7"/>
        <v>67418.92398</v>
      </c>
      <c r="R2015" s="5">
        <f t="shared" si="8"/>
        <v>27261.24891</v>
      </c>
    </row>
    <row r="2016" ht="15.75" customHeight="1">
      <c r="A2016" s="4">
        <v>1997.0</v>
      </c>
      <c r="B2016" s="4">
        <v>304.0</v>
      </c>
      <c r="C2016" s="4" t="s">
        <v>20</v>
      </c>
      <c r="D2016" s="5">
        <v>32397.38927373039</v>
      </c>
      <c r="E2016" s="5">
        <f t="shared" si="1"/>
        <v>0</v>
      </c>
      <c r="F2016" s="5">
        <f t="shared" si="2"/>
        <v>32397.38927</v>
      </c>
      <c r="G2016" s="5">
        <v>13403.50739937304</v>
      </c>
      <c r="H2016" s="5">
        <v>6283.764903448276</v>
      </c>
      <c r="I2016" s="5">
        <v>7119.742495924765</v>
      </c>
      <c r="J2016" s="5">
        <v>7769.6463904702205</v>
      </c>
      <c r="K2016" s="5">
        <f t="shared" si="3"/>
        <v>7769.64639</v>
      </c>
      <c r="L2016" s="5">
        <f t="shared" si="4"/>
        <v>0</v>
      </c>
      <c r="M2016" s="5">
        <v>8573.597799122253</v>
      </c>
      <c r="N2016" s="5">
        <f t="shared" si="5"/>
        <v>0</v>
      </c>
      <c r="O2016" s="5">
        <f t="shared" si="6"/>
        <v>8573.597799</v>
      </c>
      <c r="P2016" s="5">
        <f t="shared" si="9"/>
        <v>62144.14086</v>
      </c>
      <c r="Q2016" s="5">
        <f t="shared" si="7"/>
        <v>48090.72957</v>
      </c>
      <c r="R2016" s="5">
        <f t="shared" si="8"/>
        <v>14053.41129</v>
      </c>
    </row>
    <row r="2017" ht="15.75" customHeight="1">
      <c r="A2017" s="4">
        <v>1997.0</v>
      </c>
      <c r="B2017" s="4">
        <v>305.0</v>
      </c>
      <c r="C2017" s="4" t="s">
        <v>20</v>
      </c>
      <c r="D2017" s="5">
        <v>57680.17750996862</v>
      </c>
      <c r="E2017" s="5">
        <f t="shared" si="1"/>
        <v>0</v>
      </c>
      <c r="F2017" s="5">
        <f t="shared" si="2"/>
        <v>57680.17751</v>
      </c>
      <c r="G2017" s="5">
        <v>23734.797146394983</v>
      </c>
      <c r="H2017" s="5">
        <v>11255.044986708464</v>
      </c>
      <c r="I2017" s="5">
        <v>12479.752159686519</v>
      </c>
      <c r="J2017" s="5">
        <v>290946.6944294671</v>
      </c>
      <c r="K2017" s="5">
        <f t="shared" si="3"/>
        <v>290946.6944</v>
      </c>
      <c r="L2017" s="5">
        <f t="shared" si="4"/>
        <v>0</v>
      </c>
      <c r="M2017" s="5">
        <v>5872.565972163005</v>
      </c>
      <c r="N2017" s="5">
        <f t="shared" si="5"/>
        <v>0</v>
      </c>
      <c r="O2017" s="5">
        <f t="shared" si="6"/>
        <v>5872.565972</v>
      </c>
      <c r="P2017" s="5">
        <f t="shared" si="9"/>
        <v>378234.2351</v>
      </c>
      <c r="Q2017" s="5">
        <f t="shared" si="7"/>
        <v>76032.49564</v>
      </c>
      <c r="R2017" s="5">
        <f t="shared" si="8"/>
        <v>302201.7394</v>
      </c>
    </row>
    <row r="2018" ht="15.75" customHeight="1">
      <c r="A2018" s="4">
        <v>1997.0</v>
      </c>
      <c r="B2018" s="4">
        <v>306.0</v>
      </c>
      <c r="C2018" s="4" t="s">
        <v>20</v>
      </c>
      <c r="D2018" s="5">
        <v>3809.212358056424</v>
      </c>
      <c r="E2018" s="5">
        <f t="shared" si="1"/>
        <v>0</v>
      </c>
      <c r="F2018" s="5">
        <f t="shared" si="2"/>
        <v>3809.212358</v>
      </c>
      <c r="G2018" s="5" t="s">
        <v>19</v>
      </c>
      <c r="H2018" s="5" t="s">
        <v>19</v>
      </c>
      <c r="I2018" s="5" t="s">
        <v>19</v>
      </c>
      <c r="J2018" s="5">
        <v>0.0</v>
      </c>
      <c r="K2018" s="5">
        <f t="shared" si="3"/>
        <v>0</v>
      </c>
      <c r="L2018" s="5">
        <f t="shared" si="4"/>
        <v>0</v>
      </c>
      <c r="M2018" s="5">
        <v>11000.169940438864</v>
      </c>
      <c r="N2018" s="5">
        <f t="shared" si="5"/>
        <v>0</v>
      </c>
      <c r="O2018" s="5">
        <f t="shared" si="6"/>
        <v>11000.16994</v>
      </c>
      <c r="P2018" s="5">
        <f t="shared" si="9"/>
        <v>14809.3823</v>
      </c>
      <c r="Q2018" s="5">
        <f t="shared" si="7"/>
        <v>14809.3823</v>
      </c>
      <c r="R2018" s="5">
        <f t="shared" si="8"/>
        <v>0</v>
      </c>
    </row>
    <row r="2019" ht="15.75" customHeight="1">
      <c r="A2019" s="4">
        <v>1997.0</v>
      </c>
      <c r="B2019" s="4">
        <v>307.0</v>
      </c>
      <c r="C2019" s="4" t="s">
        <v>20</v>
      </c>
      <c r="D2019" s="5" t="s">
        <v>19</v>
      </c>
      <c r="E2019" s="5" t="str">
        <f t="shared" si="1"/>
        <v/>
      </c>
      <c r="F2019" s="5" t="str">
        <f t="shared" si="2"/>
        <v/>
      </c>
      <c r="G2019" s="5" t="s">
        <v>19</v>
      </c>
      <c r="H2019" s="5" t="s">
        <v>19</v>
      </c>
      <c r="I2019" s="5" t="s">
        <v>19</v>
      </c>
      <c r="J2019" s="5">
        <v>254.5610640752351</v>
      </c>
      <c r="K2019" s="5">
        <f t="shared" si="3"/>
        <v>254.5610641</v>
      </c>
      <c r="L2019" s="5">
        <f t="shared" si="4"/>
        <v>0</v>
      </c>
      <c r="M2019" s="5">
        <v>1579.232318181817</v>
      </c>
      <c r="N2019" s="5">
        <f t="shared" si="5"/>
        <v>0</v>
      </c>
      <c r="O2019" s="5">
        <f t="shared" si="6"/>
        <v>1579.232318</v>
      </c>
      <c r="P2019" s="5">
        <f t="shared" si="9"/>
        <v>1833.793382</v>
      </c>
      <c r="Q2019" s="5">
        <f t="shared" si="7"/>
        <v>1579.232318</v>
      </c>
      <c r="R2019" s="5">
        <f t="shared" si="8"/>
        <v>254.5610641</v>
      </c>
    </row>
    <row r="2020" ht="15.75" customHeight="1">
      <c r="A2020" s="4">
        <v>1997.0</v>
      </c>
      <c r="B2020" s="4">
        <v>308.0</v>
      </c>
      <c r="C2020" s="4" t="s">
        <v>20</v>
      </c>
      <c r="D2020" s="5">
        <v>15488.761271536043</v>
      </c>
      <c r="E2020" s="5">
        <f t="shared" si="1"/>
        <v>0</v>
      </c>
      <c r="F2020" s="5">
        <f t="shared" si="2"/>
        <v>15488.76127</v>
      </c>
      <c r="G2020" s="5">
        <v>18802.529350783698</v>
      </c>
      <c r="H2020" s="5">
        <v>8396.001620438872</v>
      </c>
      <c r="I2020" s="5">
        <v>10406.527730344826</v>
      </c>
      <c r="J2020" s="5">
        <v>27376.382260438877</v>
      </c>
      <c r="K2020" s="5">
        <f t="shared" si="3"/>
        <v>27376.38226</v>
      </c>
      <c r="L2020" s="5">
        <f t="shared" si="4"/>
        <v>0</v>
      </c>
      <c r="M2020" s="5">
        <v>24477.011806081486</v>
      </c>
      <c r="N2020" s="5">
        <f t="shared" si="5"/>
        <v>0</v>
      </c>
      <c r="O2020" s="5">
        <f t="shared" si="6"/>
        <v>24477.01181</v>
      </c>
      <c r="P2020" s="5">
        <f t="shared" si="9"/>
        <v>86144.68469</v>
      </c>
      <c r="Q2020" s="5">
        <f t="shared" si="7"/>
        <v>50372.30081</v>
      </c>
      <c r="R2020" s="5">
        <f t="shared" si="8"/>
        <v>35772.38388</v>
      </c>
    </row>
    <row r="2021" ht="15.75" customHeight="1">
      <c r="A2021" s="4">
        <v>1997.0</v>
      </c>
      <c r="B2021" s="4">
        <v>309.0</v>
      </c>
      <c r="C2021" s="4" t="s">
        <v>20</v>
      </c>
      <c r="D2021" s="5" t="s">
        <v>19</v>
      </c>
      <c r="E2021" s="5" t="str">
        <f t="shared" si="1"/>
        <v/>
      </c>
      <c r="F2021" s="5" t="str">
        <f t="shared" si="2"/>
        <v/>
      </c>
      <c r="G2021" s="5">
        <v>15681.54633887147</v>
      </c>
      <c r="H2021" s="5">
        <v>6772.8117950470205</v>
      </c>
      <c r="I2021" s="5">
        <v>8908.73454382445</v>
      </c>
      <c r="J2021" s="5">
        <v>4266.664791347963</v>
      </c>
      <c r="K2021" s="5">
        <f t="shared" si="3"/>
        <v>4266.664791</v>
      </c>
      <c r="L2021" s="5">
        <f t="shared" si="4"/>
        <v>0</v>
      </c>
      <c r="M2021" s="5">
        <v>2256.668526394983</v>
      </c>
      <c r="N2021" s="5">
        <f t="shared" si="5"/>
        <v>0</v>
      </c>
      <c r="O2021" s="5">
        <f t="shared" si="6"/>
        <v>2256.668526</v>
      </c>
      <c r="P2021" s="5">
        <f t="shared" si="9"/>
        <v>22204.87966</v>
      </c>
      <c r="Q2021" s="5">
        <f t="shared" si="7"/>
        <v>11165.40307</v>
      </c>
      <c r="R2021" s="5">
        <f t="shared" si="8"/>
        <v>11039.47659</v>
      </c>
    </row>
    <row r="2022" ht="15.75" customHeight="1">
      <c r="A2022" s="4">
        <v>1997.0</v>
      </c>
      <c r="B2022" s="4">
        <v>310.0</v>
      </c>
      <c r="C2022" s="4" t="s">
        <v>20</v>
      </c>
      <c r="D2022" s="5">
        <v>32982.35909937741</v>
      </c>
      <c r="E2022" s="5">
        <f t="shared" si="1"/>
        <v>0</v>
      </c>
      <c r="F2022" s="5">
        <f t="shared" si="2"/>
        <v>32982.3591</v>
      </c>
      <c r="G2022" s="5">
        <v>6952.546977429466</v>
      </c>
      <c r="H2022" s="5">
        <v>5365.582847711598</v>
      </c>
      <c r="I2022" s="5">
        <v>1586.9641297178678</v>
      </c>
      <c r="J2022" s="5">
        <v>21958.658744576805</v>
      </c>
      <c r="K2022" s="5">
        <f t="shared" si="3"/>
        <v>21958.65874</v>
      </c>
      <c r="L2022" s="5">
        <f t="shared" si="4"/>
        <v>0</v>
      </c>
      <c r="M2022" s="5">
        <v>2664.0015519122244</v>
      </c>
      <c r="N2022" s="5">
        <f t="shared" si="5"/>
        <v>0</v>
      </c>
      <c r="O2022" s="5">
        <f t="shared" si="6"/>
        <v>2664.001552</v>
      </c>
      <c r="P2022" s="5">
        <f t="shared" si="9"/>
        <v>64557.56637</v>
      </c>
      <c r="Q2022" s="5">
        <f t="shared" si="7"/>
        <v>37233.32478</v>
      </c>
      <c r="R2022" s="5">
        <f t="shared" si="8"/>
        <v>27324.24159</v>
      </c>
    </row>
    <row r="2023" ht="15.75" customHeight="1">
      <c r="A2023" s="4">
        <v>1997.0</v>
      </c>
      <c r="B2023" s="4">
        <v>311.0</v>
      </c>
      <c r="C2023" s="4" t="s">
        <v>20</v>
      </c>
      <c r="D2023" s="5" t="s">
        <v>19</v>
      </c>
      <c r="E2023" s="5" t="str">
        <f t="shared" si="1"/>
        <v/>
      </c>
      <c r="F2023" s="5" t="str">
        <f t="shared" si="2"/>
        <v/>
      </c>
      <c r="G2023" s="5" t="s">
        <v>19</v>
      </c>
      <c r="H2023" s="5" t="s">
        <v>19</v>
      </c>
      <c r="I2023" s="5" t="s">
        <v>19</v>
      </c>
      <c r="J2023" s="5">
        <v>424497.17615398124</v>
      </c>
      <c r="K2023" s="5">
        <f t="shared" si="3"/>
        <v>424497.1762</v>
      </c>
      <c r="L2023" s="5">
        <f t="shared" si="4"/>
        <v>0</v>
      </c>
      <c r="M2023" s="5">
        <v>1585.7670726018796</v>
      </c>
      <c r="N2023" s="5">
        <f t="shared" si="5"/>
        <v>0</v>
      </c>
      <c r="O2023" s="5">
        <f t="shared" si="6"/>
        <v>1585.767073</v>
      </c>
      <c r="P2023" s="5">
        <f t="shared" si="9"/>
        <v>426082.9432</v>
      </c>
      <c r="Q2023" s="5">
        <f t="shared" si="7"/>
        <v>1585.767073</v>
      </c>
      <c r="R2023" s="5">
        <f t="shared" si="8"/>
        <v>424497.1762</v>
      </c>
    </row>
    <row r="2024" ht="15.75" customHeight="1">
      <c r="A2024" s="4">
        <v>1997.0</v>
      </c>
      <c r="B2024" s="4">
        <v>312.0</v>
      </c>
      <c r="C2024" s="4" t="s">
        <v>20</v>
      </c>
      <c r="D2024" s="5">
        <v>7425.82666442194</v>
      </c>
      <c r="E2024" s="5">
        <f t="shared" si="1"/>
        <v>0</v>
      </c>
      <c r="F2024" s="5">
        <f t="shared" si="2"/>
        <v>7425.826664</v>
      </c>
      <c r="G2024" s="5">
        <v>2034.2121416927898</v>
      </c>
      <c r="H2024" s="5">
        <v>1029.6457347335422</v>
      </c>
      <c r="I2024" s="5">
        <v>1004.5664069592476</v>
      </c>
      <c r="J2024" s="5">
        <v>19894.50055109718</v>
      </c>
      <c r="K2024" s="5">
        <f t="shared" si="3"/>
        <v>19894.50055</v>
      </c>
      <c r="L2024" s="5">
        <f t="shared" si="4"/>
        <v>0</v>
      </c>
      <c r="M2024" s="5">
        <v>3110.5431039498426</v>
      </c>
      <c r="N2024" s="5">
        <f t="shared" si="5"/>
        <v>0</v>
      </c>
      <c r="O2024" s="5">
        <f t="shared" si="6"/>
        <v>3110.543104</v>
      </c>
      <c r="P2024" s="5">
        <f t="shared" si="9"/>
        <v>32465.08246</v>
      </c>
      <c r="Q2024" s="5">
        <f t="shared" si="7"/>
        <v>11540.93618</v>
      </c>
      <c r="R2024" s="5">
        <f t="shared" si="8"/>
        <v>20924.14629</v>
      </c>
    </row>
    <row r="2025" ht="15.75" customHeight="1">
      <c r="A2025" s="4">
        <v>1997.0</v>
      </c>
      <c r="B2025" s="4">
        <v>313.0</v>
      </c>
      <c r="C2025" s="4" t="s">
        <v>20</v>
      </c>
      <c r="D2025" s="5">
        <v>49349.22397321251</v>
      </c>
      <c r="E2025" s="5">
        <f t="shared" si="1"/>
        <v>0</v>
      </c>
      <c r="F2025" s="5">
        <f t="shared" si="2"/>
        <v>49349.22397</v>
      </c>
      <c r="G2025" s="5">
        <v>15200.85922319749</v>
      </c>
      <c r="H2025" s="5">
        <v>4687.047701818181</v>
      </c>
      <c r="I2025" s="5">
        <v>10513.81152137931</v>
      </c>
      <c r="J2025" s="5">
        <v>2340.8550022570535</v>
      </c>
      <c r="K2025" s="5">
        <f t="shared" si="3"/>
        <v>2340.855002</v>
      </c>
      <c r="L2025" s="5">
        <f t="shared" si="4"/>
        <v>0</v>
      </c>
      <c r="M2025" s="5">
        <v>3818.474832789967</v>
      </c>
      <c r="N2025" s="5">
        <f t="shared" si="5"/>
        <v>0</v>
      </c>
      <c r="O2025" s="5">
        <f t="shared" si="6"/>
        <v>3818.474833</v>
      </c>
      <c r="P2025" s="5">
        <f t="shared" si="9"/>
        <v>70709.41303</v>
      </c>
      <c r="Q2025" s="5">
        <f t="shared" si="7"/>
        <v>63681.51033</v>
      </c>
      <c r="R2025" s="5">
        <f t="shared" si="8"/>
        <v>7027.902704</v>
      </c>
    </row>
    <row r="2026" ht="15.75" customHeight="1">
      <c r="A2026" s="4">
        <v>1997.0</v>
      </c>
      <c r="B2026" s="4">
        <v>314.0</v>
      </c>
      <c r="C2026" s="4" t="s">
        <v>20</v>
      </c>
      <c r="D2026" s="5">
        <v>5351.218162319746</v>
      </c>
      <c r="E2026" s="5">
        <f t="shared" si="1"/>
        <v>0</v>
      </c>
      <c r="F2026" s="5">
        <f t="shared" si="2"/>
        <v>5351.218162</v>
      </c>
      <c r="G2026" s="5">
        <v>13055.183402507837</v>
      </c>
      <c r="H2026" s="5">
        <v>7033.358144702195</v>
      </c>
      <c r="I2026" s="5">
        <v>6021.825257805642</v>
      </c>
      <c r="J2026" s="5">
        <v>8328.573944200627</v>
      </c>
      <c r="K2026" s="5">
        <f t="shared" si="3"/>
        <v>8328.573944</v>
      </c>
      <c r="L2026" s="5">
        <f t="shared" si="4"/>
        <v>0</v>
      </c>
      <c r="M2026" s="5">
        <v>1502.9935166144196</v>
      </c>
      <c r="N2026" s="5">
        <f t="shared" si="5"/>
        <v>0</v>
      </c>
      <c r="O2026" s="5">
        <f t="shared" si="6"/>
        <v>1502.993517</v>
      </c>
      <c r="P2026" s="5">
        <f t="shared" si="9"/>
        <v>28237.96903</v>
      </c>
      <c r="Q2026" s="5">
        <f t="shared" si="7"/>
        <v>12876.03694</v>
      </c>
      <c r="R2026" s="5">
        <f t="shared" si="8"/>
        <v>15361.93209</v>
      </c>
    </row>
    <row r="2027" ht="15.75" customHeight="1">
      <c r="A2027" s="4">
        <v>1997.0</v>
      </c>
      <c r="B2027" s="4">
        <v>320.0</v>
      </c>
      <c r="C2027" s="4" t="s">
        <v>20</v>
      </c>
      <c r="D2027" s="5">
        <v>193241.87728264945</v>
      </c>
      <c r="E2027" s="5">
        <f t="shared" si="1"/>
        <v>0</v>
      </c>
      <c r="F2027" s="5">
        <f t="shared" si="2"/>
        <v>193241.8773</v>
      </c>
      <c r="G2027" s="5">
        <v>57926.28067868338</v>
      </c>
      <c r="H2027" s="5">
        <v>33295.5942123511</v>
      </c>
      <c r="I2027" s="5">
        <v>24630.686466332285</v>
      </c>
      <c r="J2027" s="5">
        <v>37116.10992940439</v>
      </c>
      <c r="K2027" s="5">
        <f t="shared" si="3"/>
        <v>37116.10993</v>
      </c>
      <c r="L2027" s="5">
        <f t="shared" si="4"/>
        <v>0</v>
      </c>
      <c r="M2027" s="5">
        <v>59375.8677864263</v>
      </c>
      <c r="N2027" s="5">
        <f t="shared" si="5"/>
        <v>0</v>
      </c>
      <c r="O2027" s="5">
        <f t="shared" si="6"/>
        <v>59375.86779</v>
      </c>
      <c r="P2027" s="5">
        <f t="shared" si="9"/>
        <v>347660.1357</v>
      </c>
      <c r="Q2027" s="5">
        <f t="shared" si="7"/>
        <v>277248.4315</v>
      </c>
      <c r="R2027" s="5">
        <f t="shared" si="8"/>
        <v>70411.70414</v>
      </c>
    </row>
    <row r="2028" ht="15.75" customHeight="1">
      <c r="A2028" s="4">
        <v>1997.0</v>
      </c>
      <c r="B2028" s="4">
        <v>321.0</v>
      </c>
      <c r="C2028" s="4" t="s">
        <v>20</v>
      </c>
      <c r="D2028" s="5">
        <v>181823.1716282375</v>
      </c>
      <c r="E2028" s="5">
        <f t="shared" si="1"/>
        <v>0</v>
      </c>
      <c r="F2028" s="5">
        <f t="shared" si="2"/>
        <v>181823.1716</v>
      </c>
      <c r="G2028" s="5">
        <v>55589.026659717856</v>
      </c>
      <c r="H2028" s="5">
        <v>40105.32835106582</v>
      </c>
      <c r="I2028" s="5">
        <v>15483.698308652034</v>
      </c>
      <c r="J2028" s="5">
        <v>41504.521316614424</v>
      </c>
      <c r="K2028" s="5">
        <f t="shared" si="3"/>
        <v>41504.52132</v>
      </c>
      <c r="L2028" s="5">
        <f t="shared" si="4"/>
        <v>0</v>
      </c>
      <c r="M2028" s="5">
        <v>61910.26337567397</v>
      </c>
      <c r="N2028" s="5">
        <f t="shared" si="5"/>
        <v>0</v>
      </c>
      <c r="O2028" s="5">
        <f t="shared" si="6"/>
        <v>61910.26338</v>
      </c>
      <c r="P2028" s="5">
        <f t="shared" si="9"/>
        <v>340826.983</v>
      </c>
      <c r="Q2028" s="5">
        <f t="shared" si="7"/>
        <v>259217.1333</v>
      </c>
      <c r="R2028" s="5">
        <f t="shared" si="8"/>
        <v>81609.84967</v>
      </c>
    </row>
    <row r="2029" ht="15.75" customHeight="1">
      <c r="A2029" s="4">
        <v>1997.0</v>
      </c>
      <c r="B2029" s="4">
        <v>322.0</v>
      </c>
      <c r="C2029" s="4" t="s">
        <v>20</v>
      </c>
      <c r="D2029" s="5">
        <v>15343.721121630084</v>
      </c>
      <c r="E2029" s="5">
        <f t="shared" si="1"/>
        <v>0</v>
      </c>
      <c r="F2029" s="5">
        <f t="shared" si="2"/>
        <v>15343.72112</v>
      </c>
      <c r="G2029" s="5" t="s">
        <v>19</v>
      </c>
      <c r="H2029" s="5" t="s">
        <v>19</v>
      </c>
      <c r="I2029" s="5" t="s">
        <v>19</v>
      </c>
      <c r="J2029" s="5">
        <v>0.0</v>
      </c>
      <c r="K2029" s="5">
        <f t="shared" si="3"/>
        <v>0</v>
      </c>
      <c r="L2029" s="5">
        <f t="shared" si="4"/>
        <v>0</v>
      </c>
      <c r="M2029" s="5">
        <v>24450.872788401233</v>
      </c>
      <c r="N2029" s="5">
        <f t="shared" si="5"/>
        <v>0</v>
      </c>
      <c r="O2029" s="5">
        <f t="shared" si="6"/>
        <v>24450.87279</v>
      </c>
      <c r="P2029" s="5">
        <f t="shared" si="9"/>
        <v>39794.59391</v>
      </c>
      <c r="Q2029" s="5">
        <f t="shared" si="7"/>
        <v>39794.59391</v>
      </c>
      <c r="R2029" s="5">
        <f t="shared" si="8"/>
        <v>0</v>
      </c>
    </row>
    <row r="2030" ht="15.75" customHeight="1">
      <c r="A2030" s="4">
        <v>1997.0</v>
      </c>
      <c r="B2030" s="4">
        <v>323.0</v>
      </c>
      <c r="C2030" s="4" t="s">
        <v>20</v>
      </c>
      <c r="D2030" s="5">
        <v>4671.8195653918465</v>
      </c>
      <c r="E2030" s="5">
        <f t="shared" si="1"/>
        <v>0</v>
      </c>
      <c r="F2030" s="5">
        <f t="shared" si="2"/>
        <v>4671.819565</v>
      </c>
      <c r="G2030" s="5" t="s">
        <v>19</v>
      </c>
      <c r="H2030" s="5" t="s">
        <v>19</v>
      </c>
      <c r="I2030" s="5" t="s">
        <v>19</v>
      </c>
      <c r="J2030" s="5">
        <v>1477.5609588714733</v>
      </c>
      <c r="K2030" s="5">
        <f t="shared" si="3"/>
        <v>1477.560959</v>
      </c>
      <c r="L2030" s="5">
        <f t="shared" si="4"/>
        <v>0</v>
      </c>
      <c r="M2030" s="5">
        <v>315387.57139847206</v>
      </c>
      <c r="N2030" s="5">
        <f t="shared" si="5"/>
        <v>0</v>
      </c>
      <c r="O2030" s="5">
        <f t="shared" si="6"/>
        <v>315387.5714</v>
      </c>
      <c r="P2030" s="5">
        <f t="shared" si="9"/>
        <v>321536.9519</v>
      </c>
      <c r="Q2030" s="5">
        <f t="shared" si="7"/>
        <v>320059.391</v>
      </c>
      <c r="R2030" s="5">
        <f t="shared" si="8"/>
        <v>1477.560959</v>
      </c>
    </row>
    <row r="2031" ht="15.75" customHeight="1">
      <c r="A2031" s="4">
        <v>1997.0</v>
      </c>
      <c r="B2031" s="4">
        <v>324.0</v>
      </c>
      <c r="C2031" s="4" t="s">
        <v>20</v>
      </c>
      <c r="D2031" s="5">
        <v>16015.486026457671</v>
      </c>
      <c r="E2031" s="5">
        <f t="shared" si="1"/>
        <v>0</v>
      </c>
      <c r="F2031" s="5">
        <f t="shared" si="2"/>
        <v>16015.48603</v>
      </c>
      <c r="G2031" s="5">
        <v>1943.6479025078365</v>
      </c>
      <c r="H2031" s="5">
        <v>1032.4323267084637</v>
      </c>
      <c r="I2031" s="5">
        <v>911.2155757993728</v>
      </c>
      <c r="J2031" s="5">
        <v>437.1809578683385</v>
      </c>
      <c r="K2031" s="5">
        <f t="shared" si="3"/>
        <v>437.1809579</v>
      </c>
      <c r="L2031" s="5">
        <f t="shared" si="4"/>
        <v>0</v>
      </c>
      <c r="M2031" s="5">
        <v>20240.31269040751</v>
      </c>
      <c r="N2031" s="5">
        <f t="shared" si="5"/>
        <v>0</v>
      </c>
      <c r="O2031" s="5">
        <f t="shared" si="6"/>
        <v>20240.31269</v>
      </c>
      <c r="P2031" s="5">
        <f t="shared" si="9"/>
        <v>38636.62758</v>
      </c>
      <c r="Q2031" s="5">
        <f t="shared" si="7"/>
        <v>37167.01429</v>
      </c>
      <c r="R2031" s="5">
        <f t="shared" si="8"/>
        <v>1469.613285</v>
      </c>
    </row>
    <row r="2032" ht="15.75" customHeight="1">
      <c r="A2032" s="4">
        <v>1997.0</v>
      </c>
      <c r="B2032" s="4">
        <v>325.0</v>
      </c>
      <c r="C2032" s="4" t="s">
        <v>20</v>
      </c>
      <c r="D2032" s="5">
        <v>3679.439592351095</v>
      </c>
      <c r="E2032" s="5">
        <f t="shared" si="1"/>
        <v>0</v>
      </c>
      <c r="F2032" s="5">
        <f t="shared" si="2"/>
        <v>3679.439592</v>
      </c>
      <c r="G2032" s="5" t="s">
        <v>19</v>
      </c>
      <c r="H2032" s="5" t="s">
        <v>19</v>
      </c>
      <c r="I2032" s="5" t="s">
        <v>19</v>
      </c>
      <c r="J2032" s="5">
        <v>0.0</v>
      </c>
      <c r="K2032" s="5">
        <f t="shared" si="3"/>
        <v>0</v>
      </c>
      <c r="L2032" s="5">
        <f t="shared" si="4"/>
        <v>0</v>
      </c>
      <c r="M2032" s="5">
        <v>12627.323791034472</v>
      </c>
      <c r="N2032" s="5">
        <f t="shared" si="5"/>
        <v>0</v>
      </c>
      <c r="O2032" s="5">
        <f t="shared" si="6"/>
        <v>12627.32379</v>
      </c>
      <c r="P2032" s="5">
        <f t="shared" si="9"/>
        <v>16306.76338</v>
      </c>
      <c r="Q2032" s="5">
        <f t="shared" si="7"/>
        <v>16306.76338</v>
      </c>
      <c r="R2032" s="5">
        <f t="shared" si="8"/>
        <v>0</v>
      </c>
    </row>
    <row r="2033" ht="15.75" customHeight="1">
      <c r="A2033" s="4">
        <v>1997.0</v>
      </c>
      <c r="B2033" s="4">
        <v>326.0</v>
      </c>
      <c r="C2033" s="4" t="s">
        <v>20</v>
      </c>
      <c r="D2033" s="5">
        <v>12496.353968213158</v>
      </c>
      <c r="E2033" s="5">
        <f t="shared" si="1"/>
        <v>0</v>
      </c>
      <c r="F2033" s="5">
        <f t="shared" si="2"/>
        <v>12496.35397</v>
      </c>
      <c r="G2033" s="5" t="s">
        <v>19</v>
      </c>
      <c r="H2033" s="5" t="s">
        <v>19</v>
      </c>
      <c r="I2033" s="5" t="s">
        <v>19</v>
      </c>
      <c r="J2033" s="5">
        <v>0.0</v>
      </c>
      <c r="K2033" s="5">
        <f t="shared" si="3"/>
        <v>0</v>
      </c>
      <c r="L2033" s="5">
        <f t="shared" si="4"/>
        <v>0</v>
      </c>
      <c r="M2033" s="5">
        <v>8455.972219561125</v>
      </c>
      <c r="N2033" s="5">
        <f t="shared" si="5"/>
        <v>0</v>
      </c>
      <c r="O2033" s="5">
        <f t="shared" si="6"/>
        <v>8455.97222</v>
      </c>
      <c r="P2033" s="5">
        <f t="shared" si="9"/>
        <v>20952.32619</v>
      </c>
      <c r="Q2033" s="5">
        <f t="shared" si="7"/>
        <v>20952.32619</v>
      </c>
      <c r="R2033" s="5">
        <f t="shared" si="8"/>
        <v>0</v>
      </c>
    </row>
    <row r="2034" ht="15.75" customHeight="1">
      <c r="A2034" s="4">
        <v>1997.0</v>
      </c>
      <c r="B2034" s="4">
        <v>327.0</v>
      </c>
      <c r="C2034" s="4" t="s">
        <v>20</v>
      </c>
      <c r="D2034" s="5">
        <v>131905.77195199864</v>
      </c>
      <c r="E2034" s="5">
        <f t="shared" si="1"/>
        <v>0</v>
      </c>
      <c r="F2034" s="5">
        <f t="shared" si="2"/>
        <v>131905.772</v>
      </c>
      <c r="G2034" s="5">
        <v>11316.350010156739</v>
      </c>
      <c r="H2034" s="5">
        <v>3941.4950189278993</v>
      </c>
      <c r="I2034" s="5">
        <v>7374.85499122884</v>
      </c>
      <c r="J2034" s="5">
        <v>276.6968087774295</v>
      </c>
      <c r="K2034" s="5">
        <f t="shared" si="3"/>
        <v>276.6968088</v>
      </c>
      <c r="L2034" s="5">
        <f t="shared" si="4"/>
        <v>0</v>
      </c>
      <c r="M2034" s="5">
        <v>45022.71535305327</v>
      </c>
      <c r="N2034" s="5">
        <f t="shared" si="5"/>
        <v>0</v>
      </c>
      <c r="O2034" s="5">
        <f t="shared" si="6"/>
        <v>45022.71535</v>
      </c>
      <c r="P2034" s="5">
        <f t="shared" si="9"/>
        <v>188521.5341</v>
      </c>
      <c r="Q2034" s="5">
        <f t="shared" si="7"/>
        <v>184303.3423</v>
      </c>
      <c r="R2034" s="5">
        <f t="shared" si="8"/>
        <v>4218.191828</v>
      </c>
    </row>
    <row r="2035" ht="15.75" customHeight="1">
      <c r="A2035" s="4">
        <v>1997.0</v>
      </c>
      <c r="B2035" s="4">
        <v>328.0</v>
      </c>
      <c r="C2035" s="4" t="s">
        <v>20</v>
      </c>
      <c r="D2035" s="5">
        <v>23801.851968777417</v>
      </c>
      <c r="E2035" s="5">
        <f t="shared" si="1"/>
        <v>0</v>
      </c>
      <c r="F2035" s="5">
        <f t="shared" si="2"/>
        <v>23801.85197</v>
      </c>
      <c r="G2035" s="5">
        <v>2382.5361385579936</v>
      </c>
      <c r="H2035" s="5">
        <v>1028.2524387460815</v>
      </c>
      <c r="I2035" s="5">
        <v>1354.2836998119121</v>
      </c>
      <c r="J2035" s="5">
        <v>774.7510645768025</v>
      </c>
      <c r="K2035" s="5">
        <f t="shared" si="3"/>
        <v>774.7510646</v>
      </c>
      <c r="L2035" s="5">
        <f t="shared" si="4"/>
        <v>0</v>
      </c>
      <c r="M2035" s="5">
        <v>157051.93122884003</v>
      </c>
      <c r="N2035" s="5">
        <f t="shared" si="5"/>
        <v>0</v>
      </c>
      <c r="O2035" s="5">
        <f t="shared" si="6"/>
        <v>157051.9312</v>
      </c>
      <c r="P2035" s="5">
        <f t="shared" si="9"/>
        <v>184011.0704</v>
      </c>
      <c r="Q2035" s="5">
        <f t="shared" si="7"/>
        <v>182208.0669</v>
      </c>
      <c r="R2035" s="5">
        <f t="shared" si="8"/>
        <v>1803.003503</v>
      </c>
    </row>
    <row r="2036" ht="15.75" customHeight="1">
      <c r="A2036" s="4">
        <v>1997.0</v>
      </c>
      <c r="B2036" s="4">
        <v>331.0</v>
      </c>
      <c r="C2036" s="4" t="s">
        <v>20</v>
      </c>
      <c r="D2036" s="5">
        <v>384786.0214421892</v>
      </c>
      <c r="E2036" s="5">
        <f t="shared" si="1"/>
        <v>0</v>
      </c>
      <c r="F2036" s="5">
        <f t="shared" si="2"/>
        <v>384786.0214</v>
      </c>
      <c r="G2036" s="5">
        <v>153245.1424208464</v>
      </c>
      <c r="H2036" s="5">
        <v>36287.69734542319</v>
      </c>
      <c r="I2036" s="5">
        <v>116957.4450754232</v>
      </c>
      <c r="J2036" s="5">
        <v>8915.171178808778</v>
      </c>
      <c r="K2036" s="5">
        <f t="shared" si="3"/>
        <v>8915.171179</v>
      </c>
      <c r="L2036" s="5">
        <f t="shared" si="4"/>
        <v>0</v>
      </c>
      <c r="M2036" s="5">
        <v>58731.105350313446</v>
      </c>
      <c r="N2036" s="5">
        <f t="shared" si="5"/>
        <v>0</v>
      </c>
      <c r="O2036" s="5">
        <f t="shared" si="6"/>
        <v>58731.10535</v>
      </c>
      <c r="P2036" s="5">
        <f t="shared" si="9"/>
        <v>605677.4404</v>
      </c>
      <c r="Q2036" s="5">
        <f t="shared" si="7"/>
        <v>560474.5719</v>
      </c>
      <c r="R2036" s="5">
        <f t="shared" si="8"/>
        <v>45202.86852</v>
      </c>
    </row>
    <row r="2037" ht="15.75" customHeight="1">
      <c r="A2037" s="4">
        <v>1997.0</v>
      </c>
      <c r="B2037" s="4">
        <v>332.0</v>
      </c>
      <c r="C2037" s="4" t="s">
        <v>20</v>
      </c>
      <c r="D2037" s="5">
        <v>11000.150316551719</v>
      </c>
      <c r="E2037" s="5">
        <f t="shared" si="1"/>
        <v>0</v>
      </c>
      <c r="F2037" s="5">
        <f t="shared" si="2"/>
        <v>11000.15032</v>
      </c>
      <c r="G2037" s="5" t="s">
        <v>19</v>
      </c>
      <c r="H2037" s="5" t="s">
        <v>19</v>
      </c>
      <c r="I2037" s="5" t="s">
        <v>19</v>
      </c>
      <c r="J2037" s="5">
        <v>0.0</v>
      </c>
      <c r="K2037" s="5">
        <f t="shared" si="3"/>
        <v>0</v>
      </c>
      <c r="L2037" s="5">
        <f t="shared" si="4"/>
        <v>0</v>
      </c>
      <c r="M2037" s="5">
        <v>178198.39653216297</v>
      </c>
      <c r="N2037" s="5">
        <f t="shared" si="5"/>
        <v>0</v>
      </c>
      <c r="O2037" s="5">
        <f t="shared" si="6"/>
        <v>178198.3965</v>
      </c>
      <c r="P2037" s="5">
        <f t="shared" si="9"/>
        <v>189198.5468</v>
      </c>
      <c r="Q2037" s="5">
        <f t="shared" si="7"/>
        <v>189198.5468</v>
      </c>
      <c r="R2037" s="5">
        <f t="shared" si="8"/>
        <v>0</v>
      </c>
    </row>
    <row r="2038" ht="15.75" customHeight="1">
      <c r="A2038" s="4">
        <v>1997.0</v>
      </c>
      <c r="B2038" s="4">
        <v>333.0</v>
      </c>
      <c r="C2038" s="4" t="s">
        <v>20</v>
      </c>
      <c r="D2038" s="5">
        <v>15007.838669216291</v>
      </c>
      <c r="E2038" s="5">
        <f t="shared" si="1"/>
        <v>0</v>
      </c>
      <c r="F2038" s="5">
        <f t="shared" si="2"/>
        <v>15007.83867</v>
      </c>
      <c r="G2038" s="5" t="s">
        <v>19</v>
      </c>
      <c r="H2038" s="5" t="s">
        <v>19</v>
      </c>
      <c r="I2038" s="5" t="s">
        <v>19</v>
      </c>
      <c r="J2038" s="5">
        <v>0.0</v>
      </c>
      <c r="K2038" s="5">
        <f t="shared" si="3"/>
        <v>0</v>
      </c>
      <c r="L2038" s="5">
        <f t="shared" si="4"/>
        <v>0</v>
      </c>
      <c r="M2038" s="5">
        <v>154560.01154332282</v>
      </c>
      <c r="N2038" s="5">
        <f t="shared" si="5"/>
        <v>0</v>
      </c>
      <c r="O2038" s="5">
        <f t="shared" si="6"/>
        <v>154560.0115</v>
      </c>
      <c r="P2038" s="5">
        <f t="shared" si="9"/>
        <v>169567.8502</v>
      </c>
      <c r="Q2038" s="5">
        <f t="shared" si="7"/>
        <v>169567.8502</v>
      </c>
      <c r="R2038" s="5">
        <f t="shared" si="8"/>
        <v>0</v>
      </c>
    </row>
    <row r="2039" ht="15.75" customHeight="1">
      <c r="A2039" s="4">
        <v>1997.0</v>
      </c>
      <c r="B2039" s="4">
        <v>400.0</v>
      </c>
      <c r="C2039" s="4" t="s">
        <v>21</v>
      </c>
      <c r="D2039" s="5">
        <v>916.9457508463946</v>
      </c>
      <c r="E2039" s="5">
        <f t="shared" si="1"/>
        <v>0</v>
      </c>
      <c r="F2039" s="5">
        <f t="shared" si="2"/>
        <v>916.9457508</v>
      </c>
      <c r="G2039" s="5">
        <v>2282.0225885893415</v>
      </c>
      <c r="H2039" s="5">
        <v>1643.6339910219435</v>
      </c>
      <c r="I2039" s="5">
        <v>638.3885975673979</v>
      </c>
      <c r="J2039" s="5">
        <v>137569.6500511599</v>
      </c>
      <c r="K2039" s="5">
        <f t="shared" si="3"/>
        <v>137569.6501</v>
      </c>
      <c r="L2039" s="5">
        <f t="shared" si="4"/>
        <v>0</v>
      </c>
      <c r="M2039" s="5">
        <v>356.0558084012539</v>
      </c>
      <c r="N2039" s="5">
        <f t="shared" si="5"/>
        <v>0</v>
      </c>
      <c r="O2039" s="5">
        <f t="shared" si="6"/>
        <v>356.0558084</v>
      </c>
      <c r="P2039" s="5">
        <f t="shared" si="9"/>
        <v>141124.6742</v>
      </c>
      <c r="Q2039" s="5">
        <f t="shared" si="7"/>
        <v>1911.390157</v>
      </c>
      <c r="R2039" s="5">
        <f t="shared" si="8"/>
        <v>139213.284</v>
      </c>
    </row>
    <row r="2040" ht="15.75" customHeight="1">
      <c r="A2040" s="4">
        <v>1997.0</v>
      </c>
      <c r="B2040" s="4">
        <v>401.0</v>
      </c>
      <c r="C2040" s="4" t="s">
        <v>21</v>
      </c>
      <c r="D2040" s="5">
        <v>1367.9026774921622</v>
      </c>
      <c r="E2040" s="5">
        <f t="shared" si="1"/>
        <v>0</v>
      </c>
      <c r="F2040" s="5">
        <f t="shared" si="2"/>
        <v>1367.902677</v>
      </c>
      <c r="G2040" s="5">
        <v>2462.562350344827</v>
      </c>
      <c r="H2040" s="5">
        <v>1653.7442176802506</v>
      </c>
      <c r="I2040" s="5">
        <v>808.8181326645763</v>
      </c>
      <c r="J2040" s="5">
        <v>450199.77820796246</v>
      </c>
      <c r="K2040" s="5">
        <f t="shared" si="3"/>
        <v>450199.7782</v>
      </c>
      <c r="L2040" s="5">
        <f t="shared" si="4"/>
        <v>0</v>
      </c>
      <c r="M2040" s="5">
        <v>3319.4786304075224</v>
      </c>
      <c r="N2040" s="5">
        <f t="shared" si="5"/>
        <v>0</v>
      </c>
      <c r="O2040" s="5">
        <f t="shared" si="6"/>
        <v>3319.47863</v>
      </c>
      <c r="P2040" s="5">
        <f t="shared" si="9"/>
        <v>457349.7219</v>
      </c>
      <c r="Q2040" s="5">
        <f t="shared" si="7"/>
        <v>5496.199441</v>
      </c>
      <c r="R2040" s="5">
        <f t="shared" si="8"/>
        <v>451853.5224</v>
      </c>
    </row>
    <row r="2041" ht="15.75" customHeight="1">
      <c r="A2041" s="4">
        <v>1997.0</v>
      </c>
      <c r="B2041" s="4">
        <v>402.0</v>
      </c>
      <c r="C2041" s="4" t="s">
        <v>21</v>
      </c>
      <c r="D2041" s="5">
        <v>3186.762281630092</v>
      </c>
      <c r="E2041" s="5">
        <f t="shared" si="1"/>
        <v>0</v>
      </c>
      <c r="F2041" s="5">
        <f t="shared" si="2"/>
        <v>3186.762282</v>
      </c>
      <c r="G2041" s="5">
        <v>7864.312022068963</v>
      </c>
      <c r="H2041" s="5">
        <v>5827.8235094670845</v>
      </c>
      <c r="I2041" s="5">
        <v>2036.488512601879</v>
      </c>
      <c r="J2041" s="5">
        <v>185426.58062846394</v>
      </c>
      <c r="K2041" s="5">
        <f t="shared" si="3"/>
        <v>185426.5806</v>
      </c>
      <c r="L2041" s="5">
        <f t="shared" si="4"/>
        <v>0</v>
      </c>
      <c r="M2041" s="5">
        <v>9905.274780940432</v>
      </c>
      <c r="N2041" s="5">
        <f t="shared" si="5"/>
        <v>0</v>
      </c>
      <c r="O2041" s="5">
        <f t="shared" si="6"/>
        <v>9905.274781</v>
      </c>
      <c r="P2041" s="5">
        <f t="shared" si="9"/>
        <v>206382.9297</v>
      </c>
      <c r="Q2041" s="5">
        <f t="shared" si="7"/>
        <v>15128.52558</v>
      </c>
      <c r="R2041" s="5">
        <f t="shared" si="8"/>
        <v>191254.4041</v>
      </c>
    </row>
    <row r="2042" ht="15.75" customHeight="1">
      <c r="A2042" s="4">
        <v>1997.0</v>
      </c>
      <c r="B2042" s="4">
        <v>403.0</v>
      </c>
      <c r="C2042" s="4" t="s">
        <v>21</v>
      </c>
      <c r="D2042" s="5">
        <v>4907.914551661439</v>
      </c>
      <c r="E2042" s="5">
        <f t="shared" si="1"/>
        <v>0</v>
      </c>
      <c r="F2042" s="5">
        <f t="shared" si="2"/>
        <v>4907.914552</v>
      </c>
      <c r="G2042" s="5">
        <v>19122.77156514106</v>
      </c>
      <c r="H2042" s="5">
        <v>13205.400333843258</v>
      </c>
      <c r="I2042" s="5">
        <v>5917.371231297804</v>
      </c>
      <c r="J2042" s="5">
        <v>952882.3670388089</v>
      </c>
      <c r="K2042" s="5">
        <f t="shared" si="3"/>
        <v>952882.367</v>
      </c>
      <c r="L2042" s="5">
        <f t="shared" si="4"/>
        <v>0</v>
      </c>
      <c r="M2042" s="5">
        <v>17656.9064430094</v>
      </c>
      <c r="N2042" s="5">
        <f t="shared" si="5"/>
        <v>0</v>
      </c>
      <c r="O2042" s="5">
        <f t="shared" si="6"/>
        <v>17656.90644</v>
      </c>
      <c r="P2042" s="5">
        <f t="shared" si="9"/>
        <v>994569.9596</v>
      </c>
      <c r="Q2042" s="5">
        <f t="shared" si="7"/>
        <v>28482.19223</v>
      </c>
      <c r="R2042" s="5">
        <f t="shared" si="8"/>
        <v>966087.7674</v>
      </c>
    </row>
    <row r="2043" ht="15.75" customHeight="1">
      <c r="A2043" s="4">
        <v>1997.0</v>
      </c>
      <c r="B2043" s="4">
        <v>404.0</v>
      </c>
      <c r="C2043" s="4" t="s">
        <v>21</v>
      </c>
      <c r="D2043" s="5">
        <v>9011.622584137927</v>
      </c>
      <c r="E2043" s="5">
        <f t="shared" si="1"/>
        <v>0</v>
      </c>
      <c r="F2043" s="5">
        <f t="shared" si="2"/>
        <v>9011.622584</v>
      </c>
      <c r="G2043" s="5">
        <v>16768.533071849524</v>
      </c>
      <c r="H2043" s="5">
        <v>9432.841472200624</v>
      </c>
      <c r="I2043" s="5">
        <v>7335.691599648901</v>
      </c>
      <c r="J2043" s="5">
        <v>502437.97707755485</v>
      </c>
      <c r="K2043" s="5">
        <f t="shared" si="3"/>
        <v>502437.9771</v>
      </c>
      <c r="L2043" s="5">
        <f t="shared" si="4"/>
        <v>0</v>
      </c>
      <c r="M2043" s="5">
        <v>3054.9093838871468</v>
      </c>
      <c r="N2043" s="5">
        <f t="shared" si="5"/>
        <v>0</v>
      </c>
      <c r="O2043" s="5">
        <f t="shared" si="6"/>
        <v>3054.909384</v>
      </c>
      <c r="P2043" s="5">
        <f t="shared" si="9"/>
        <v>531273.0421</v>
      </c>
      <c r="Q2043" s="5">
        <f t="shared" si="7"/>
        <v>19402.22357</v>
      </c>
      <c r="R2043" s="5">
        <f t="shared" si="8"/>
        <v>511870.8185</v>
      </c>
    </row>
    <row r="2044" ht="15.75" customHeight="1">
      <c r="A2044" s="4">
        <v>1997.0</v>
      </c>
      <c r="B2044" s="4">
        <v>405.0</v>
      </c>
      <c r="C2044" s="4" t="s">
        <v>21</v>
      </c>
      <c r="D2044" s="5">
        <v>11424.242141692783</v>
      </c>
      <c r="E2044" s="5">
        <f t="shared" si="1"/>
        <v>0</v>
      </c>
      <c r="F2044" s="5">
        <f t="shared" si="2"/>
        <v>11424.24214</v>
      </c>
      <c r="G2044" s="5">
        <v>9944.130077492162</v>
      </c>
      <c r="H2044" s="5">
        <v>6105.132583523511</v>
      </c>
      <c r="I2044" s="5">
        <v>3838.997493968651</v>
      </c>
      <c r="J2044" s="5">
        <v>117995.2739710972</v>
      </c>
      <c r="K2044" s="5">
        <f t="shared" si="3"/>
        <v>117995.274</v>
      </c>
      <c r="L2044" s="5">
        <f t="shared" si="4"/>
        <v>0</v>
      </c>
      <c r="M2044" s="5">
        <v>3115.48832351097</v>
      </c>
      <c r="N2044" s="5">
        <f t="shared" si="5"/>
        <v>0</v>
      </c>
      <c r="O2044" s="5">
        <f t="shared" si="6"/>
        <v>3115.488324</v>
      </c>
      <c r="P2044" s="5">
        <f t="shared" si="9"/>
        <v>142479.1345</v>
      </c>
      <c r="Q2044" s="5">
        <f t="shared" si="7"/>
        <v>18378.72796</v>
      </c>
      <c r="R2044" s="5">
        <f t="shared" si="8"/>
        <v>124100.4066</v>
      </c>
    </row>
    <row r="2045" ht="15.75" customHeight="1">
      <c r="A2045" s="4">
        <v>1997.0</v>
      </c>
      <c r="B2045" s="4">
        <v>406.0</v>
      </c>
      <c r="C2045" s="4" t="s">
        <v>21</v>
      </c>
      <c r="D2045" s="5" t="s">
        <v>19</v>
      </c>
      <c r="E2045" s="5" t="str">
        <f t="shared" si="1"/>
        <v/>
      </c>
      <c r="F2045" s="5" t="str">
        <f t="shared" si="2"/>
        <v/>
      </c>
      <c r="G2045" s="5" t="s">
        <v>19</v>
      </c>
      <c r="H2045" s="5" t="s">
        <v>19</v>
      </c>
      <c r="I2045" s="5" t="s">
        <v>19</v>
      </c>
      <c r="J2045" s="5">
        <v>33750.98613749216</v>
      </c>
      <c r="K2045" s="5">
        <f t="shared" si="3"/>
        <v>33750.98614</v>
      </c>
      <c r="L2045" s="5">
        <f t="shared" si="4"/>
        <v>0</v>
      </c>
      <c r="M2045" s="5">
        <v>0.0</v>
      </c>
      <c r="N2045" s="5">
        <f t="shared" si="5"/>
        <v>0</v>
      </c>
      <c r="O2045" s="5">
        <f t="shared" si="6"/>
        <v>0</v>
      </c>
      <c r="P2045" s="5">
        <f t="shared" si="9"/>
        <v>33750.98614</v>
      </c>
      <c r="Q2045" s="5">
        <f t="shared" si="7"/>
        <v>0</v>
      </c>
      <c r="R2045" s="5">
        <f t="shared" si="8"/>
        <v>33750.98614</v>
      </c>
    </row>
    <row r="2046" ht="15.75" customHeight="1">
      <c r="A2046" s="4">
        <v>1997.0</v>
      </c>
      <c r="B2046" s="4">
        <v>407.0</v>
      </c>
      <c r="C2046" s="4" t="s">
        <v>21</v>
      </c>
      <c r="D2046" s="5" t="s">
        <v>19</v>
      </c>
      <c r="E2046" s="5" t="str">
        <f t="shared" si="1"/>
        <v/>
      </c>
      <c r="F2046" s="5" t="str">
        <f t="shared" si="2"/>
        <v/>
      </c>
      <c r="G2046" s="5">
        <v>7878.755203009403</v>
      </c>
      <c r="H2046" s="5">
        <v>5757.051922858934</v>
      </c>
      <c r="I2046" s="5">
        <v>2121.7032801504693</v>
      </c>
      <c r="J2046" s="5">
        <v>124371.48700689655</v>
      </c>
      <c r="K2046" s="5">
        <f t="shared" si="3"/>
        <v>124371.487</v>
      </c>
      <c r="L2046" s="5">
        <f t="shared" si="4"/>
        <v>0</v>
      </c>
      <c r="M2046" s="5">
        <v>932.1738872727274</v>
      </c>
      <c r="N2046" s="5">
        <f t="shared" si="5"/>
        <v>0</v>
      </c>
      <c r="O2046" s="5">
        <f t="shared" si="6"/>
        <v>932.1738873</v>
      </c>
      <c r="P2046" s="5">
        <f t="shared" si="9"/>
        <v>133182.4161</v>
      </c>
      <c r="Q2046" s="5">
        <f t="shared" si="7"/>
        <v>3053.877167</v>
      </c>
      <c r="R2046" s="5">
        <f t="shared" si="8"/>
        <v>130128.5389</v>
      </c>
    </row>
    <row r="2047" ht="15.75" customHeight="1">
      <c r="A2047" s="4">
        <v>1997.0</v>
      </c>
      <c r="B2047" s="4">
        <v>408.0</v>
      </c>
      <c r="C2047" s="4" t="s">
        <v>21</v>
      </c>
      <c r="D2047" s="5">
        <v>5298.743888087772</v>
      </c>
      <c r="E2047" s="5">
        <f t="shared" si="1"/>
        <v>0</v>
      </c>
      <c r="F2047" s="5">
        <f t="shared" si="2"/>
        <v>5298.743888</v>
      </c>
      <c r="G2047" s="5">
        <v>1993.158969780564</v>
      </c>
      <c r="H2047" s="5">
        <v>1169.8976561755483</v>
      </c>
      <c r="I2047" s="5">
        <v>823.2613136050156</v>
      </c>
      <c r="J2047" s="5">
        <v>122746.1778016928</v>
      </c>
      <c r="K2047" s="5">
        <f t="shared" si="3"/>
        <v>122746.1778</v>
      </c>
      <c r="L2047" s="5">
        <f t="shared" si="4"/>
        <v>0</v>
      </c>
      <c r="M2047" s="5">
        <v>1626.9772356112853</v>
      </c>
      <c r="N2047" s="5">
        <f t="shared" si="5"/>
        <v>0</v>
      </c>
      <c r="O2047" s="5">
        <f t="shared" si="6"/>
        <v>1626.977236</v>
      </c>
      <c r="P2047" s="5">
        <f t="shared" si="9"/>
        <v>131665.0579</v>
      </c>
      <c r="Q2047" s="5">
        <f t="shared" si="7"/>
        <v>7748.982437</v>
      </c>
      <c r="R2047" s="5">
        <f t="shared" si="8"/>
        <v>123916.0755</v>
      </c>
    </row>
    <row r="2048" ht="15.75" customHeight="1">
      <c r="A2048" s="4">
        <v>1997.0</v>
      </c>
      <c r="B2048" s="4">
        <v>409.0</v>
      </c>
      <c r="C2048" s="4" t="s">
        <v>21</v>
      </c>
      <c r="D2048" s="5">
        <v>8583.213503824447</v>
      </c>
      <c r="E2048" s="5">
        <f t="shared" si="1"/>
        <v>0</v>
      </c>
      <c r="F2048" s="5">
        <f t="shared" si="2"/>
        <v>8583.213504</v>
      </c>
      <c r="G2048" s="5">
        <v>3293.045254420062</v>
      </c>
      <c r="H2048" s="5">
        <v>1564.1964958495296</v>
      </c>
      <c r="I2048" s="5">
        <v>1728.8487585705325</v>
      </c>
      <c r="J2048" s="5">
        <v>135455.11733937307</v>
      </c>
      <c r="K2048" s="5">
        <f t="shared" si="3"/>
        <v>135455.1173</v>
      </c>
      <c r="L2048" s="5">
        <f t="shared" si="4"/>
        <v>0</v>
      </c>
      <c r="M2048" s="5">
        <v>1560.2167715360501</v>
      </c>
      <c r="N2048" s="5">
        <f t="shared" si="5"/>
        <v>0</v>
      </c>
      <c r="O2048" s="5">
        <f t="shared" si="6"/>
        <v>1560.216772</v>
      </c>
      <c r="P2048" s="5">
        <f t="shared" si="9"/>
        <v>148891.5929</v>
      </c>
      <c r="Q2048" s="5">
        <f t="shared" si="7"/>
        <v>11872.27903</v>
      </c>
      <c r="R2048" s="5">
        <f t="shared" si="8"/>
        <v>137019.3138</v>
      </c>
    </row>
    <row r="2049" ht="15.75" customHeight="1">
      <c r="A2049" s="4">
        <v>1997.0</v>
      </c>
      <c r="B2049" s="4">
        <v>420.0</v>
      </c>
      <c r="C2049" s="4" t="s">
        <v>21</v>
      </c>
      <c r="D2049" s="5">
        <v>13137.878462946703</v>
      </c>
      <c r="E2049" s="5">
        <f t="shared" si="1"/>
        <v>0</v>
      </c>
      <c r="F2049" s="5">
        <f t="shared" si="2"/>
        <v>13137.87846</v>
      </c>
      <c r="G2049" s="5" t="s">
        <v>19</v>
      </c>
      <c r="H2049" s="5" t="s">
        <v>19</v>
      </c>
      <c r="I2049" s="5" t="s">
        <v>19</v>
      </c>
      <c r="J2049" s="5">
        <v>18574.185799937306</v>
      </c>
      <c r="K2049" s="5">
        <f t="shared" si="3"/>
        <v>18574.1858</v>
      </c>
      <c r="L2049" s="5">
        <f t="shared" si="4"/>
        <v>0</v>
      </c>
      <c r="M2049" s="5">
        <v>89284.7028712852</v>
      </c>
      <c r="N2049" s="5">
        <f t="shared" si="5"/>
        <v>0</v>
      </c>
      <c r="O2049" s="5">
        <f t="shared" si="6"/>
        <v>89284.70287</v>
      </c>
      <c r="P2049" s="5">
        <f t="shared" si="9"/>
        <v>120996.7671</v>
      </c>
      <c r="Q2049" s="5">
        <f t="shared" si="7"/>
        <v>102422.5813</v>
      </c>
      <c r="R2049" s="5">
        <f t="shared" si="8"/>
        <v>18574.1858</v>
      </c>
    </row>
    <row r="2050" ht="15.75" customHeight="1">
      <c r="A2050" s="4">
        <v>1997.0</v>
      </c>
      <c r="B2050" s="4">
        <v>421.0</v>
      </c>
      <c r="C2050" s="4" t="s">
        <v>21</v>
      </c>
      <c r="D2050" s="5">
        <v>11153.667985705322</v>
      </c>
      <c r="E2050" s="5">
        <f t="shared" si="1"/>
        <v>0</v>
      </c>
      <c r="F2050" s="5">
        <f t="shared" si="2"/>
        <v>11153.66799</v>
      </c>
      <c r="G2050" s="5" t="s">
        <v>19</v>
      </c>
      <c r="H2050" s="5" t="s">
        <v>19</v>
      </c>
      <c r="I2050" s="5" t="s">
        <v>19</v>
      </c>
      <c r="J2050" s="5">
        <v>1271.9811171159877</v>
      </c>
      <c r="K2050" s="5">
        <f t="shared" si="3"/>
        <v>1271.981117</v>
      </c>
      <c r="L2050" s="5">
        <f t="shared" si="4"/>
        <v>0</v>
      </c>
      <c r="M2050" s="5">
        <v>246613.87135075475</v>
      </c>
      <c r="N2050" s="5">
        <f t="shared" si="5"/>
        <v>0</v>
      </c>
      <c r="O2050" s="5">
        <f t="shared" si="6"/>
        <v>246613.8714</v>
      </c>
      <c r="P2050" s="5">
        <f t="shared" si="9"/>
        <v>259039.5205</v>
      </c>
      <c r="Q2050" s="5">
        <f t="shared" si="7"/>
        <v>257767.5393</v>
      </c>
      <c r="R2050" s="5">
        <f t="shared" si="8"/>
        <v>1271.981117</v>
      </c>
    </row>
    <row r="2051" ht="15.75" customHeight="1">
      <c r="A2051" s="4">
        <v>1997.0</v>
      </c>
      <c r="B2051" s="4">
        <v>422.0</v>
      </c>
      <c r="C2051" s="4" t="s">
        <v>21</v>
      </c>
      <c r="D2051" s="5">
        <v>5494.1585563009385</v>
      </c>
      <c r="E2051" s="5">
        <f t="shared" si="1"/>
        <v>0</v>
      </c>
      <c r="F2051" s="5">
        <f t="shared" si="2"/>
        <v>5494.158556</v>
      </c>
      <c r="G2051" s="5">
        <v>1032.6874372413793</v>
      </c>
      <c r="H2051" s="5">
        <v>449.18292724764893</v>
      </c>
      <c r="I2051" s="5">
        <v>583.5045099937304</v>
      </c>
      <c r="J2051" s="5">
        <v>163.07450219435736</v>
      </c>
      <c r="K2051" s="5">
        <f t="shared" si="3"/>
        <v>163.0745022</v>
      </c>
      <c r="L2051" s="5">
        <f t="shared" si="4"/>
        <v>0</v>
      </c>
      <c r="M2051" s="5">
        <v>228453.07176056434</v>
      </c>
      <c r="N2051" s="5">
        <f t="shared" si="5"/>
        <v>0</v>
      </c>
      <c r="O2051" s="5">
        <f t="shared" si="6"/>
        <v>228453.0718</v>
      </c>
      <c r="P2051" s="5">
        <f t="shared" si="9"/>
        <v>235142.9923</v>
      </c>
      <c r="Q2051" s="5">
        <f t="shared" si="7"/>
        <v>234530.7348</v>
      </c>
      <c r="R2051" s="5">
        <f t="shared" si="8"/>
        <v>612.2574294</v>
      </c>
    </row>
    <row r="2052" ht="15.75" customHeight="1">
      <c r="A2052" s="4">
        <v>1997.0</v>
      </c>
      <c r="B2052" s="4">
        <v>423.0</v>
      </c>
      <c r="C2052" s="4" t="s">
        <v>21</v>
      </c>
      <c r="D2052" s="5">
        <v>13874.441443134787</v>
      </c>
      <c r="E2052" s="5">
        <f t="shared" si="1"/>
        <v>0</v>
      </c>
      <c r="F2052" s="5">
        <f t="shared" si="2"/>
        <v>13874.44144</v>
      </c>
      <c r="G2052" s="5">
        <v>14869.254778181816</v>
      </c>
      <c r="H2052" s="5">
        <v>4031.091800476489</v>
      </c>
      <c r="I2052" s="5">
        <v>10838.162977705328</v>
      </c>
      <c r="J2052" s="5">
        <v>50661.81201504703</v>
      </c>
      <c r="K2052" s="5">
        <f t="shared" si="3"/>
        <v>50661.81202</v>
      </c>
      <c r="L2052" s="5">
        <f t="shared" si="4"/>
        <v>0</v>
      </c>
      <c r="M2052" s="5">
        <v>613763.5627805637</v>
      </c>
      <c r="N2052" s="5">
        <f t="shared" si="5"/>
        <v>0</v>
      </c>
      <c r="O2052" s="5">
        <f t="shared" si="6"/>
        <v>613763.5628</v>
      </c>
      <c r="P2052" s="5">
        <f t="shared" si="9"/>
        <v>693169.071</v>
      </c>
      <c r="Q2052" s="5">
        <f t="shared" si="7"/>
        <v>638476.1672</v>
      </c>
      <c r="R2052" s="5">
        <f t="shared" si="8"/>
        <v>54692.90382</v>
      </c>
    </row>
    <row r="2053" ht="15.75" customHeight="1">
      <c r="A2053" s="4">
        <v>1997.0</v>
      </c>
      <c r="B2053" s="4">
        <v>424.0</v>
      </c>
      <c r="C2053" s="4" t="s">
        <v>21</v>
      </c>
      <c r="D2053" s="5">
        <v>19646.690104200614</v>
      </c>
      <c r="E2053" s="5">
        <f t="shared" si="1"/>
        <v>0</v>
      </c>
      <c r="F2053" s="5">
        <f t="shared" si="2"/>
        <v>19646.6901</v>
      </c>
      <c r="G2053" s="5">
        <v>5676.170109592475</v>
      </c>
      <c r="H2053" s="5">
        <v>2396.123718018808</v>
      </c>
      <c r="I2053" s="5">
        <v>3280.0463915736664</v>
      </c>
      <c r="J2053" s="5">
        <v>15568.179142821318</v>
      </c>
      <c r="K2053" s="5">
        <f t="shared" si="3"/>
        <v>15568.17914</v>
      </c>
      <c r="L2053" s="5">
        <f t="shared" si="4"/>
        <v>0</v>
      </c>
      <c r="M2053" s="5">
        <v>148880.7801073353</v>
      </c>
      <c r="N2053" s="5">
        <f t="shared" si="5"/>
        <v>0</v>
      </c>
      <c r="O2053" s="5">
        <f t="shared" si="6"/>
        <v>148880.7801</v>
      </c>
      <c r="P2053" s="5">
        <f t="shared" si="9"/>
        <v>189771.8195</v>
      </c>
      <c r="Q2053" s="5">
        <f t="shared" si="7"/>
        <v>171807.5166</v>
      </c>
      <c r="R2053" s="5">
        <f t="shared" si="8"/>
        <v>17964.30286</v>
      </c>
    </row>
    <row r="2054" ht="15.75" customHeight="1">
      <c r="A2054" s="4">
        <v>1997.0</v>
      </c>
      <c r="B2054" s="4">
        <v>425.0</v>
      </c>
      <c r="C2054" s="4" t="s">
        <v>21</v>
      </c>
      <c r="D2054" s="5">
        <v>15873.683817931025</v>
      </c>
      <c r="E2054" s="5">
        <f t="shared" si="1"/>
        <v>0</v>
      </c>
      <c r="F2054" s="5">
        <f t="shared" si="2"/>
        <v>15873.68382</v>
      </c>
      <c r="G2054" s="5">
        <v>3618.016825579937</v>
      </c>
      <c r="H2054" s="5">
        <v>1035.576073429467</v>
      </c>
      <c r="I2054" s="5">
        <v>2582.44075215047</v>
      </c>
      <c r="J2054" s="5">
        <v>0.0</v>
      </c>
      <c r="K2054" s="5">
        <f t="shared" si="3"/>
        <v>0</v>
      </c>
      <c r="L2054" s="5">
        <f t="shared" si="4"/>
        <v>0</v>
      </c>
      <c r="M2054" s="5">
        <v>333050.64700288395</v>
      </c>
      <c r="N2054" s="5">
        <f t="shared" si="5"/>
        <v>0</v>
      </c>
      <c r="O2054" s="5">
        <f t="shared" si="6"/>
        <v>333050.647</v>
      </c>
      <c r="P2054" s="5">
        <f t="shared" si="9"/>
        <v>352542.3476</v>
      </c>
      <c r="Q2054" s="5">
        <f t="shared" si="7"/>
        <v>351506.7716</v>
      </c>
      <c r="R2054" s="5">
        <f t="shared" si="8"/>
        <v>1035.576073</v>
      </c>
    </row>
    <row r="2055" ht="15.75" customHeight="1">
      <c r="A2055" s="4">
        <v>1997.0</v>
      </c>
      <c r="B2055" s="4">
        <v>426.0</v>
      </c>
      <c r="C2055" s="4" t="s">
        <v>21</v>
      </c>
      <c r="D2055" s="5" t="s">
        <v>19</v>
      </c>
      <c r="E2055" s="5" t="str">
        <f t="shared" si="1"/>
        <v/>
      </c>
      <c r="F2055" s="5" t="str">
        <f t="shared" si="2"/>
        <v/>
      </c>
      <c r="G2055" s="5" t="s">
        <v>19</v>
      </c>
      <c r="H2055" s="5" t="s">
        <v>19</v>
      </c>
      <c r="I2055" s="5" t="s">
        <v>19</v>
      </c>
      <c r="J2055" s="5">
        <v>0.0</v>
      </c>
      <c r="K2055" s="5">
        <f t="shared" si="3"/>
        <v>0</v>
      </c>
      <c r="L2055" s="5">
        <f t="shared" si="4"/>
        <v>0</v>
      </c>
      <c r="M2055" s="5">
        <v>306792.7674381817</v>
      </c>
      <c r="N2055" s="5">
        <f t="shared" si="5"/>
        <v>0</v>
      </c>
      <c r="O2055" s="5">
        <f t="shared" si="6"/>
        <v>306792.7674</v>
      </c>
      <c r="P2055" s="5">
        <f t="shared" si="9"/>
        <v>306792.7674</v>
      </c>
      <c r="Q2055" s="5">
        <f t="shared" si="7"/>
        <v>306792.7674</v>
      </c>
      <c r="R2055" s="5">
        <f t="shared" si="8"/>
        <v>0</v>
      </c>
    </row>
    <row r="2056" ht="15.75" customHeight="1">
      <c r="A2056" s="4">
        <v>1997.0</v>
      </c>
      <c r="B2056" s="4">
        <v>427.0</v>
      </c>
      <c r="C2056" s="4" t="s">
        <v>21</v>
      </c>
      <c r="D2056" s="5">
        <v>5479.126658746078</v>
      </c>
      <c r="E2056" s="5">
        <f t="shared" si="1"/>
        <v>0</v>
      </c>
      <c r="F2056" s="5">
        <f t="shared" si="2"/>
        <v>5479.126659</v>
      </c>
      <c r="G2056" s="5">
        <v>1039.9090277115984</v>
      </c>
      <c r="H2056" s="5">
        <v>485.2908795987459</v>
      </c>
      <c r="I2056" s="5">
        <v>554.6181481128524</v>
      </c>
      <c r="J2056" s="5">
        <v>0.0</v>
      </c>
      <c r="K2056" s="5">
        <f t="shared" si="3"/>
        <v>0</v>
      </c>
      <c r="L2056" s="5">
        <f t="shared" si="4"/>
        <v>0</v>
      </c>
      <c r="M2056" s="5">
        <v>396189.9740544823</v>
      </c>
      <c r="N2056" s="5">
        <f t="shared" si="5"/>
        <v>0</v>
      </c>
      <c r="O2056" s="5">
        <f t="shared" si="6"/>
        <v>396189.9741</v>
      </c>
      <c r="P2056" s="5">
        <f t="shared" si="9"/>
        <v>402709.0097</v>
      </c>
      <c r="Q2056" s="5">
        <f t="shared" si="7"/>
        <v>402223.7189</v>
      </c>
      <c r="R2056" s="5">
        <f t="shared" si="8"/>
        <v>485.2908796</v>
      </c>
    </row>
    <row r="2057" ht="15.75" customHeight="1">
      <c r="A2057" s="4">
        <v>1997.0</v>
      </c>
      <c r="B2057" s="4">
        <v>428.0</v>
      </c>
      <c r="C2057" s="4" t="s">
        <v>21</v>
      </c>
      <c r="D2057" s="5">
        <v>42803.3282874608</v>
      </c>
      <c r="E2057" s="5">
        <f t="shared" si="1"/>
        <v>0</v>
      </c>
      <c r="F2057" s="5">
        <f t="shared" si="2"/>
        <v>42803.32829</v>
      </c>
      <c r="G2057" s="5" t="s">
        <v>19</v>
      </c>
      <c r="H2057" s="5" t="s">
        <v>19</v>
      </c>
      <c r="I2057" s="5" t="s">
        <v>19</v>
      </c>
      <c r="J2057" s="5">
        <v>0.0</v>
      </c>
      <c r="K2057" s="5">
        <f t="shared" si="3"/>
        <v>0</v>
      </c>
      <c r="L2057" s="5">
        <f t="shared" si="4"/>
        <v>0</v>
      </c>
      <c r="M2057" s="5">
        <v>58527.90981084632</v>
      </c>
      <c r="N2057" s="5">
        <f t="shared" si="5"/>
        <v>0</v>
      </c>
      <c r="O2057" s="5">
        <f t="shared" si="6"/>
        <v>58527.90981</v>
      </c>
      <c r="P2057" s="5">
        <f t="shared" si="9"/>
        <v>101331.2381</v>
      </c>
      <c r="Q2057" s="5">
        <f t="shared" si="7"/>
        <v>101331.2381</v>
      </c>
      <c r="R2057" s="5">
        <f t="shared" si="8"/>
        <v>0</v>
      </c>
    </row>
    <row r="2058" ht="15.75" customHeight="1">
      <c r="A2058" s="4">
        <v>1997.0</v>
      </c>
      <c r="B2058" s="4">
        <v>429.0</v>
      </c>
      <c r="C2058" s="4" t="s">
        <v>21</v>
      </c>
      <c r="D2058" s="5">
        <v>37083.69126783698</v>
      </c>
      <c r="E2058" s="5">
        <f t="shared" si="1"/>
        <v>0</v>
      </c>
      <c r="F2058" s="5">
        <f t="shared" si="2"/>
        <v>37083.69127</v>
      </c>
      <c r="G2058" s="5">
        <v>6499.431423197491</v>
      </c>
      <c r="H2058" s="5">
        <v>3288.7123001379305</v>
      </c>
      <c r="I2058" s="5">
        <v>3210.719123059561</v>
      </c>
      <c r="J2058" s="5">
        <v>619.683108338558</v>
      </c>
      <c r="K2058" s="5">
        <f t="shared" si="3"/>
        <v>619.6831083</v>
      </c>
      <c r="L2058" s="5">
        <f t="shared" si="4"/>
        <v>0</v>
      </c>
      <c r="M2058" s="5">
        <v>37923.652509404375</v>
      </c>
      <c r="N2058" s="5">
        <f t="shared" si="5"/>
        <v>0</v>
      </c>
      <c r="O2058" s="5">
        <f t="shared" si="6"/>
        <v>37923.65251</v>
      </c>
      <c r="P2058" s="5">
        <f t="shared" si="9"/>
        <v>82126.45831</v>
      </c>
      <c r="Q2058" s="5">
        <f t="shared" si="7"/>
        <v>78218.0629</v>
      </c>
      <c r="R2058" s="5">
        <f t="shared" si="8"/>
        <v>3908.395408</v>
      </c>
    </row>
    <row r="2059" ht="15.75" customHeight="1">
      <c r="A2059" s="4">
        <v>1997.0</v>
      </c>
      <c r="B2059" s="4">
        <v>500.0</v>
      </c>
      <c r="C2059" s="4" t="s">
        <v>22</v>
      </c>
      <c r="D2059" s="5">
        <v>5407.24436012539</v>
      </c>
      <c r="E2059" s="5">
        <f t="shared" si="1"/>
        <v>0</v>
      </c>
      <c r="F2059" s="5">
        <f t="shared" si="2"/>
        <v>5407.24436</v>
      </c>
      <c r="G2059" s="5">
        <v>55661.58598244513</v>
      </c>
      <c r="H2059" s="5">
        <v>41993.784070971786</v>
      </c>
      <c r="I2059" s="5">
        <v>13667.801911473347</v>
      </c>
      <c r="J2059" s="5">
        <v>864413.5272756739</v>
      </c>
      <c r="K2059" s="5">
        <f t="shared" si="3"/>
        <v>864413.5273</v>
      </c>
      <c r="L2059" s="5">
        <f t="shared" si="4"/>
        <v>0</v>
      </c>
      <c r="M2059" s="5">
        <v>43767.78523524072</v>
      </c>
      <c r="N2059" s="5">
        <f t="shared" si="5"/>
        <v>0</v>
      </c>
      <c r="O2059" s="5">
        <f t="shared" si="6"/>
        <v>43767.78524</v>
      </c>
      <c r="P2059" s="5">
        <f t="shared" si="9"/>
        <v>969250.1429</v>
      </c>
      <c r="Q2059" s="5">
        <f t="shared" si="7"/>
        <v>62842.83151</v>
      </c>
      <c r="R2059" s="5">
        <f t="shared" si="8"/>
        <v>906407.3113</v>
      </c>
    </row>
    <row r="2060" ht="15.75" customHeight="1">
      <c r="A2060" s="4">
        <v>1997.0</v>
      </c>
      <c r="B2060" s="4">
        <v>501.0</v>
      </c>
      <c r="C2060" s="4" t="s">
        <v>22</v>
      </c>
      <c r="D2060" s="5">
        <v>5262.949917931031</v>
      </c>
      <c r="E2060" s="5">
        <f t="shared" si="1"/>
        <v>0</v>
      </c>
      <c r="F2060" s="5">
        <f t="shared" si="2"/>
        <v>5262.949918</v>
      </c>
      <c r="G2060" s="5">
        <v>10259.56443949843</v>
      </c>
      <c r="H2060" s="5">
        <v>4752.944714858933</v>
      </c>
      <c r="I2060" s="5">
        <v>5506.619724639497</v>
      </c>
      <c r="J2060" s="5">
        <v>88603.49887673982</v>
      </c>
      <c r="K2060" s="5">
        <f t="shared" si="3"/>
        <v>88603.49888</v>
      </c>
      <c r="L2060" s="5">
        <f t="shared" si="4"/>
        <v>0</v>
      </c>
      <c r="M2060" s="5">
        <v>9739.649173416925</v>
      </c>
      <c r="N2060" s="5">
        <f t="shared" si="5"/>
        <v>0</v>
      </c>
      <c r="O2060" s="5">
        <f t="shared" si="6"/>
        <v>9739.649173</v>
      </c>
      <c r="P2060" s="5">
        <f t="shared" si="9"/>
        <v>113865.6624</v>
      </c>
      <c r="Q2060" s="5">
        <f t="shared" si="7"/>
        <v>20509.21882</v>
      </c>
      <c r="R2060" s="5">
        <f t="shared" si="8"/>
        <v>93356.44359</v>
      </c>
    </row>
    <row r="2061" ht="15.75" customHeight="1">
      <c r="A2061" s="4">
        <v>1997.0</v>
      </c>
      <c r="B2061" s="4">
        <v>502.0</v>
      </c>
      <c r="C2061" s="4" t="s">
        <v>22</v>
      </c>
      <c r="D2061" s="5" t="s">
        <v>19</v>
      </c>
      <c r="E2061" s="5" t="str">
        <f t="shared" si="1"/>
        <v/>
      </c>
      <c r="F2061" s="5" t="str">
        <f t="shared" si="2"/>
        <v/>
      </c>
      <c r="G2061" s="5">
        <v>2686.5101504702193</v>
      </c>
      <c r="H2061" s="5">
        <v>1208.2034838871475</v>
      </c>
      <c r="I2061" s="5">
        <v>1478.3066665830718</v>
      </c>
      <c r="J2061" s="5">
        <v>0.0</v>
      </c>
      <c r="K2061" s="5">
        <f t="shared" si="3"/>
        <v>0</v>
      </c>
      <c r="L2061" s="5">
        <f t="shared" si="4"/>
        <v>0</v>
      </c>
      <c r="M2061" s="5">
        <v>10601.962022445136</v>
      </c>
      <c r="N2061" s="5">
        <f t="shared" si="5"/>
        <v>0</v>
      </c>
      <c r="O2061" s="5">
        <f t="shared" si="6"/>
        <v>10601.96202</v>
      </c>
      <c r="P2061" s="5">
        <f t="shared" si="9"/>
        <v>13288.47217</v>
      </c>
      <c r="Q2061" s="5">
        <f t="shared" si="7"/>
        <v>12080.26869</v>
      </c>
      <c r="R2061" s="5">
        <f t="shared" si="8"/>
        <v>1208.203484</v>
      </c>
    </row>
    <row r="2062" ht="15.75" customHeight="1">
      <c r="A2062" s="4">
        <v>1997.0</v>
      </c>
      <c r="B2062" s="4">
        <v>503.0</v>
      </c>
      <c r="C2062" s="4" t="s">
        <v>22</v>
      </c>
      <c r="D2062" s="5">
        <v>7548.877660062693</v>
      </c>
      <c r="E2062" s="5">
        <f t="shared" si="1"/>
        <v>0</v>
      </c>
      <c r="F2062" s="5">
        <f t="shared" si="2"/>
        <v>7548.87766</v>
      </c>
      <c r="G2062" s="5">
        <v>9279.351276489026</v>
      </c>
      <c r="H2062" s="5">
        <v>5018.691394608149</v>
      </c>
      <c r="I2062" s="5">
        <v>4260.659881880877</v>
      </c>
      <c r="J2062" s="5">
        <v>6082.620060188088</v>
      </c>
      <c r="K2062" s="5">
        <f t="shared" si="3"/>
        <v>6082.62006</v>
      </c>
      <c r="L2062" s="5">
        <f t="shared" si="4"/>
        <v>0</v>
      </c>
      <c r="M2062" s="5">
        <v>46422.83652846393</v>
      </c>
      <c r="N2062" s="5">
        <f t="shared" si="5"/>
        <v>0</v>
      </c>
      <c r="O2062" s="5">
        <f t="shared" si="6"/>
        <v>46422.83653</v>
      </c>
      <c r="P2062" s="5">
        <f t="shared" si="9"/>
        <v>69333.68553</v>
      </c>
      <c r="Q2062" s="5">
        <f t="shared" si="7"/>
        <v>58232.37407</v>
      </c>
      <c r="R2062" s="5">
        <f t="shared" si="8"/>
        <v>11101.31145</v>
      </c>
    </row>
    <row r="2063" ht="15.75" customHeight="1">
      <c r="A2063" s="4">
        <v>1997.0</v>
      </c>
      <c r="B2063" s="4">
        <v>504.0</v>
      </c>
      <c r="C2063" s="4" t="s">
        <v>22</v>
      </c>
      <c r="D2063" s="5">
        <v>7708.360990909088</v>
      </c>
      <c r="E2063" s="5">
        <f t="shared" si="1"/>
        <v>0</v>
      </c>
      <c r="F2063" s="5">
        <f t="shared" si="2"/>
        <v>7708.360991</v>
      </c>
      <c r="G2063" s="5">
        <v>17985.09633166144</v>
      </c>
      <c r="H2063" s="5">
        <v>11037.926299310346</v>
      </c>
      <c r="I2063" s="5">
        <v>6947.170032351094</v>
      </c>
      <c r="J2063" s="5">
        <v>239779.1355948589</v>
      </c>
      <c r="K2063" s="5">
        <f t="shared" si="3"/>
        <v>239779.1356</v>
      </c>
      <c r="L2063" s="5">
        <f t="shared" si="4"/>
        <v>0</v>
      </c>
      <c r="M2063" s="5">
        <v>46011.61797329152</v>
      </c>
      <c r="N2063" s="5">
        <f t="shared" si="5"/>
        <v>0</v>
      </c>
      <c r="O2063" s="5">
        <f t="shared" si="6"/>
        <v>46011.61797</v>
      </c>
      <c r="P2063" s="5">
        <f t="shared" si="9"/>
        <v>311484.2109</v>
      </c>
      <c r="Q2063" s="5">
        <f t="shared" si="7"/>
        <v>60667.149</v>
      </c>
      <c r="R2063" s="5">
        <f t="shared" si="8"/>
        <v>250817.0619</v>
      </c>
    </row>
    <row r="2064" ht="15.75" customHeight="1">
      <c r="A2064" s="4">
        <v>1997.0</v>
      </c>
      <c r="B2064" s="4">
        <v>505.0</v>
      </c>
      <c r="C2064" s="4" t="s">
        <v>22</v>
      </c>
      <c r="D2064" s="5">
        <v>20210.335240401244</v>
      </c>
      <c r="E2064" s="5">
        <f t="shared" si="1"/>
        <v>0</v>
      </c>
      <c r="F2064" s="5">
        <f t="shared" si="2"/>
        <v>20210.33524</v>
      </c>
      <c r="G2064" s="5">
        <v>44922.08013498432</v>
      </c>
      <c r="H2064" s="5">
        <v>23268.517888664577</v>
      </c>
      <c r="I2064" s="5">
        <v>21653.56224631974</v>
      </c>
      <c r="J2064" s="5">
        <v>52400.64540739813</v>
      </c>
      <c r="K2064" s="5">
        <f t="shared" si="3"/>
        <v>52400.64541</v>
      </c>
      <c r="L2064" s="5">
        <f t="shared" si="4"/>
        <v>0</v>
      </c>
      <c r="M2064" s="5">
        <v>17541.58667018808</v>
      </c>
      <c r="N2064" s="5">
        <f t="shared" si="5"/>
        <v>0</v>
      </c>
      <c r="O2064" s="5">
        <f t="shared" si="6"/>
        <v>17541.58667</v>
      </c>
      <c r="P2064" s="5">
        <f t="shared" si="9"/>
        <v>135074.6475</v>
      </c>
      <c r="Q2064" s="5">
        <f t="shared" si="7"/>
        <v>59405.48416</v>
      </c>
      <c r="R2064" s="5">
        <f t="shared" si="8"/>
        <v>75669.1633</v>
      </c>
    </row>
    <row r="2065" ht="15.75" customHeight="1">
      <c r="A2065" s="4">
        <v>1997.0</v>
      </c>
      <c r="B2065" s="4">
        <v>506.0</v>
      </c>
      <c r="C2065" s="4" t="s">
        <v>22</v>
      </c>
      <c r="D2065" s="5">
        <v>19779.73024711598</v>
      </c>
      <c r="E2065" s="5">
        <f t="shared" si="1"/>
        <v>0</v>
      </c>
      <c r="F2065" s="5">
        <f t="shared" si="2"/>
        <v>19779.73025</v>
      </c>
      <c r="G2065" s="5">
        <v>42381.51283322883</v>
      </c>
      <c r="H2065" s="5">
        <v>22491.172546206893</v>
      </c>
      <c r="I2065" s="5">
        <v>19890.340287021936</v>
      </c>
      <c r="J2065" s="5">
        <v>114719.3407462696</v>
      </c>
      <c r="K2065" s="5">
        <f t="shared" si="3"/>
        <v>114719.3407</v>
      </c>
      <c r="L2065" s="5">
        <f t="shared" si="4"/>
        <v>0</v>
      </c>
      <c r="M2065" s="5">
        <v>16371.48296319749</v>
      </c>
      <c r="N2065" s="5">
        <f t="shared" si="5"/>
        <v>0</v>
      </c>
      <c r="O2065" s="5">
        <f t="shared" si="6"/>
        <v>16371.48296</v>
      </c>
      <c r="P2065" s="5">
        <f t="shared" si="9"/>
        <v>193252.0668</v>
      </c>
      <c r="Q2065" s="5">
        <f t="shared" si="7"/>
        <v>56041.5535</v>
      </c>
      <c r="R2065" s="5">
        <f t="shared" si="8"/>
        <v>137210.5133</v>
      </c>
    </row>
    <row r="2066" ht="15.75" customHeight="1">
      <c r="A2066" s="4">
        <v>1997.0</v>
      </c>
      <c r="B2066" s="4">
        <v>507.0</v>
      </c>
      <c r="C2066" s="4" t="s">
        <v>22</v>
      </c>
      <c r="D2066" s="5" t="s">
        <v>19</v>
      </c>
      <c r="E2066" s="5" t="str">
        <f t="shared" si="1"/>
        <v/>
      </c>
      <c r="F2066" s="5" t="str">
        <f t="shared" si="2"/>
        <v/>
      </c>
      <c r="G2066" s="5" t="s">
        <v>19</v>
      </c>
      <c r="H2066" s="5" t="s">
        <v>19</v>
      </c>
      <c r="I2066" s="5" t="s">
        <v>19</v>
      </c>
      <c r="J2066" s="5">
        <v>0.0</v>
      </c>
      <c r="K2066" s="5">
        <f t="shared" si="3"/>
        <v>0</v>
      </c>
      <c r="L2066" s="5">
        <f t="shared" si="4"/>
        <v>0</v>
      </c>
      <c r="M2066" s="5">
        <v>0.0</v>
      </c>
      <c r="N2066" s="5">
        <f t="shared" si="5"/>
        <v>0</v>
      </c>
      <c r="O2066" s="5">
        <f t="shared" si="6"/>
        <v>0</v>
      </c>
      <c r="P2066" s="5">
        <f t="shared" si="9"/>
        <v>0</v>
      </c>
      <c r="Q2066" s="5">
        <f t="shared" si="7"/>
        <v>0</v>
      </c>
      <c r="R2066" s="5">
        <f t="shared" si="8"/>
        <v>0</v>
      </c>
    </row>
    <row r="2067" ht="15.75" customHeight="1">
      <c r="A2067" s="4">
        <v>1997.0</v>
      </c>
      <c r="B2067" s="4">
        <v>508.0</v>
      </c>
      <c r="C2067" s="4" t="s">
        <v>22</v>
      </c>
      <c r="D2067" s="5">
        <v>22730.399701104066</v>
      </c>
      <c r="E2067" s="5">
        <f t="shared" si="1"/>
        <v>0</v>
      </c>
      <c r="F2067" s="5">
        <f t="shared" si="2"/>
        <v>22730.3997</v>
      </c>
      <c r="G2067" s="5">
        <v>17504.428839874607</v>
      </c>
      <c r="H2067" s="5">
        <v>12011.314274369906</v>
      </c>
      <c r="I2067" s="5">
        <v>5493.1145655047</v>
      </c>
      <c r="J2067" s="5">
        <v>28195.1968012163</v>
      </c>
      <c r="K2067" s="5">
        <f t="shared" si="3"/>
        <v>28195.1968</v>
      </c>
      <c r="L2067" s="5">
        <f t="shared" si="4"/>
        <v>0</v>
      </c>
      <c r="M2067" s="5">
        <v>79896.64997791531</v>
      </c>
      <c r="N2067" s="5">
        <f t="shared" si="5"/>
        <v>0</v>
      </c>
      <c r="O2067" s="5">
        <f t="shared" si="6"/>
        <v>79896.64998</v>
      </c>
      <c r="P2067" s="5">
        <f t="shared" si="9"/>
        <v>148326.6753</v>
      </c>
      <c r="Q2067" s="5">
        <f t="shared" si="7"/>
        <v>108120.1642</v>
      </c>
      <c r="R2067" s="5">
        <f t="shared" si="8"/>
        <v>40206.51108</v>
      </c>
    </row>
    <row r="2068" ht="15.75" customHeight="1">
      <c r="A2068" s="4">
        <v>1997.0</v>
      </c>
      <c r="B2068" s="4">
        <v>520.0</v>
      </c>
      <c r="C2068" s="4" t="s">
        <v>22</v>
      </c>
      <c r="D2068" s="5">
        <v>5528.7554693416905</v>
      </c>
      <c r="E2068" s="5">
        <f t="shared" si="1"/>
        <v>0</v>
      </c>
      <c r="F2068" s="5">
        <f t="shared" si="2"/>
        <v>5528.755469</v>
      </c>
      <c r="G2068" s="5">
        <v>16997.62233040752</v>
      </c>
      <c r="H2068" s="5">
        <v>9450.70705905956</v>
      </c>
      <c r="I2068" s="5">
        <v>7546.915271347962</v>
      </c>
      <c r="J2068" s="5">
        <v>46436.29851504702</v>
      </c>
      <c r="K2068" s="5">
        <f t="shared" si="3"/>
        <v>46436.29852</v>
      </c>
      <c r="L2068" s="5">
        <f t="shared" si="4"/>
        <v>0</v>
      </c>
      <c r="M2068" s="5">
        <v>1007632.9505608685</v>
      </c>
      <c r="N2068" s="5">
        <f t="shared" si="5"/>
        <v>0</v>
      </c>
      <c r="O2068" s="5">
        <f t="shared" si="6"/>
        <v>1007632.951</v>
      </c>
      <c r="P2068" s="5">
        <f t="shared" si="9"/>
        <v>1076595.627</v>
      </c>
      <c r="Q2068" s="5">
        <f t="shared" si="7"/>
        <v>1020708.621</v>
      </c>
      <c r="R2068" s="5">
        <f t="shared" si="8"/>
        <v>55887.00557</v>
      </c>
    </row>
    <row r="2069" ht="15.75" customHeight="1">
      <c r="A2069" s="4">
        <v>1997.0</v>
      </c>
      <c r="B2069" s="4">
        <v>521.0</v>
      </c>
      <c r="C2069" s="4" t="s">
        <v>22</v>
      </c>
      <c r="D2069" s="5">
        <v>5354.083249843258</v>
      </c>
      <c r="E2069" s="5">
        <f t="shared" si="1"/>
        <v>0</v>
      </c>
      <c r="F2069" s="5">
        <f t="shared" si="2"/>
        <v>5354.08325</v>
      </c>
      <c r="G2069" s="5">
        <v>5605.367124764891</v>
      </c>
      <c r="H2069" s="5">
        <v>2663.275468087775</v>
      </c>
      <c r="I2069" s="5">
        <v>2942.0916566771157</v>
      </c>
      <c r="J2069" s="5">
        <v>21030.095652539185</v>
      </c>
      <c r="K2069" s="5">
        <f t="shared" si="3"/>
        <v>21030.09565</v>
      </c>
      <c r="L2069" s="5">
        <f t="shared" si="4"/>
        <v>0</v>
      </c>
      <c r="M2069" s="5">
        <v>36685.67958871472</v>
      </c>
      <c r="N2069" s="5">
        <f t="shared" si="5"/>
        <v>0</v>
      </c>
      <c r="O2069" s="5">
        <f t="shared" si="6"/>
        <v>36685.67959</v>
      </c>
      <c r="P2069" s="5">
        <f t="shared" si="9"/>
        <v>68675.22562</v>
      </c>
      <c r="Q2069" s="5">
        <f t="shared" si="7"/>
        <v>44981.8545</v>
      </c>
      <c r="R2069" s="5">
        <f t="shared" si="8"/>
        <v>23693.37112</v>
      </c>
    </row>
    <row r="2070" ht="15.75" customHeight="1">
      <c r="A2070" s="4">
        <v>1997.0</v>
      </c>
      <c r="B2070" s="4">
        <v>522.0</v>
      </c>
      <c r="C2070" s="4" t="s">
        <v>22</v>
      </c>
      <c r="D2070" s="5" t="s">
        <v>19</v>
      </c>
      <c r="E2070" s="5" t="str">
        <f t="shared" si="1"/>
        <v/>
      </c>
      <c r="F2070" s="5" t="str">
        <f t="shared" si="2"/>
        <v/>
      </c>
      <c r="G2070" s="5" t="s">
        <v>19</v>
      </c>
      <c r="H2070" s="5" t="s">
        <v>19</v>
      </c>
      <c r="I2070" s="5" t="s">
        <v>19</v>
      </c>
      <c r="J2070" s="5">
        <v>0.0</v>
      </c>
      <c r="K2070" s="5">
        <f t="shared" si="3"/>
        <v>0</v>
      </c>
      <c r="L2070" s="5">
        <f t="shared" si="4"/>
        <v>0</v>
      </c>
      <c r="M2070" s="5">
        <v>25007.072621818166</v>
      </c>
      <c r="N2070" s="5">
        <f t="shared" si="5"/>
        <v>0</v>
      </c>
      <c r="O2070" s="5">
        <f t="shared" si="6"/>
        <v>25007.07262</v>
      </c>
      <c r="P2070" s="5">
        <f t="shared" si="9"/>
        <v>25007.07262</v>
      </c>
      <c r="Q2070" s="5">
        <f t="shared" si="7"/>
        <v>25007.07262</v>
      </c>
      <c r="R2070" s="5">
        <f t="shared" si="8"/>
        <v>0</v>
      </c>
    </row>
    <row r="2071" ht="15.75" customHeight="1">
      <c r="A2071" s="4">
        <v>1997.0</v>
      </c>
      <c r="B2071" s="4">
        <v>523.0</v>
      </c>
      <c r="C2071" s="4" t="s">
        <v>22</v>
      </c>
      <c r="D2071" s="5">
        <v>2247.9555205015668</v>
      </c>
      <c r="E2071" s="5">
        <f t="shared" si="1"/>
        <v>0</v>
      </c>
      <c r="F2071" s="5">
        <f t="shared" si="2"/>
        <v>2247.955521</v>
      </c>
      <c r="G2071" s="5" t="s">
        <v>19</v>
      </c>
      <c r="H2071" s="5" t="s">
        <v>19</v>
      </c>
      <c r="I2071" s="5" t="s">
        <v>19</v>
      </c>
      <c r="J2071" s="5">
        <v>0.0</v>
      </c>
      <c r="K2071" s="5">
        <f t="shared" si="3"/>
        <v>0</v>
      </c>
      <c r="L2071" s="5">
        <f t="shared" si="4"/>
        <v>0</v>
      </c>
      <c r="M2071" s="5">
        <v>186849.03849718109</v>
      </c>
      <c r="N2071" s="5">
        <f t="shared" si="5"/>
        <v>0</v>
      </c>
      <c r="O2071" s="5">
        <f t="shared" si="6"/>
        <v>186849.0385</v>
      </c>
      <c r="P2071" s="5">
        <f t="shared" si="9"/>
        <v>189096.994</v>
      </c>
      <c r="Q2071" s="5">
        <f t="shared" si="7"/>
        <v>189096.994</v>
      </c>
      <c r="R2071" s="5">
        <f t="shared" si="8"/>
        <v>0</v>
      </c>
    </row>
    <row r="2072" ht="15.75" customHeight="1">
      <c r="A2072" s="4">
        <v>1997.0</v>
      </c>
      <c r="B2072" s="4">
        <v>524.0</v>
      </c>
      <c r="C2072" s="4" t="s">
        <v>22</v>
      </c>
      <c r="D2072" s="5">
        <v>26421.07181021943</v>
      </c>
      <c r="E2072" s="5">
        <f t="shared" si="1"/>
        <v>0</v>
      </c>
      <c r="F2072" s="5">
        <f t="shared" si="2"/>
        <v>26421.07181</v>
      </c>
      <c r="G2072" s="5">
        <v>19016.135362382443</v>
      </c>
      <c r="H2072" s="5">
        <v>12485.737445266459</v>
      </c>
      <c r="I2072" s="5">
        <v>6530.3979171159845</v>
      </c>
      <c r="J2072" s="5">
        <v>11500.657558244515</v>
      </c>
      <c r="K2072" s="5">
        <f t="shared" si="3"/>
        <v>11500.65756</v>
      </c>
      <c r="L2072" s="5">
        <f t="shared" si="4"/>
        <v>0</v>
      </c>
      <c r="M2072" s="5">
        <v>567019.5709382736</v>
      </c>
      <c r="N2072" s="5">
        <f t="shared" si="5"/>
        <v>0</v>
      </c>
      <c r="O2072" s="5">
        <f t="shared" si="6"/>
        <v>567019.5709</v>
      </c>
      <c r="P2072" s="5">
        <f t="shared" si="9"/>
        <v>623957.4357</v>
      </c>
      <c r="Q2072" s="5">
        <f t="shared" si="7"/>
        <v>599971.0407</v>
      </c>
      <c r="R2072" s="5">
        <f t="shared" si="8"/>
        <v>23986.395</v>
      </c>
    </row>
    <row r="2073" ht="15.75" customHeight="1">
      <c r="A2073" s="4">
        <v>1997.0</v>
      </c>
      <c r="B2073" s="4">
        <v>525.0</v>
      </c>
      <c r="C2073" s="4" t="s">
        <v>22</v>
      </c>
      <c r="D2073" s="5">
        <v>63609.47084142506</v>
      </c>
      <c r="E2073" s="5">
        <f t="shared" si="1"/>
        <v>0</v>
      </c>
      <c r="F2073" s="5">
        <f t="shared" si="2"/>
        <v>63609.47084</v>
      </c>
      <c r="G2073" s="5">
        <v>13744.766796865202</v>
      </c>
      <c r="H2073" s="5">
        <v>4238.8773671473355</v>
      </c>
      <c r="I2073" s="5">
        <v>9505.889429717867</v>
      </c>
      <c r="J2073" s="5">
        <v>0.0</v>
      </c>
      <c r="K2073" s="5">
        <f t="shared" si="3"/>
        <v>0</v>
      </c>
      <c r="L2073" s="5">
        <f t="shared" si="4"/>
        <v>0</v>
      </c>
      <c r="M2073" s="5">
        <v>10337.785253667706</v>
      </c>
      <c r="N2073" s="5">
        <f t="shared" si="5"/>
        <v>0</v>
      </c>
      <c r="O2073" s="5">
        <f t="shared" si="6"/>
        <v>10337.78525</v>
      </c>
      <c r="P2073" s="5">
        <f t="shared" si="9"/>
        <v>87692.02289</v>
      </c>
      <c r="Q2073" s="5">
        <f t="shared" si="7"/>
        <v>83453.14552</v>
      </c>
      <c r="R2073" s="5">
        <f t="shared" si="8"/>
        <v>4238.877367</v>
      </c>
    </row>
    <row r="2074" ht="15.75" customHeight="1">
      <c r="A2074" s="4">
        <v>1997.0</v>
      </c>
      <c r="B2074" s="4">
        <v>526.0</v>
      </c>
      <c r="C2074" s="4" t="s">
        <v>22</v>
      </c>
      <c r="D2074" s="5">
        <v>3177.5914504495286</v>
      </c>
      <c r="E2074" s="5">
        <f t="shared" si="1"/>
        <v>0</v>
      </c>
      <c r="F2074" s="5">
        <f t="shared" si="2"/>
        <v>3177.59145</v>
      </c>
      <c r="G2074" s="5" t="s">
        <v>19</v>
      </c>
      <c r="H2074" s="5" t="s">
        <v>19</v>
      </c>
      <c r="I2074" s="5" t="s">
        <v>19</v>
      </c>
      <c r="J2074" s="5">
        <v>0.0</v>
      </c>
      <c r="K2074" s="5">
        <f t="shared" si="3"/>
        <v>0</v>
      </c>
      <c r="L2074" s="5">
        <f t="shared" si="4"/>
        <v>0</v>
      </c>
      <c r="M2074" s="5">
        <v>2863.5764842006265</v>
      </c>
      <c r="N2074" s="5">
        <f t="shared" si="5"/>
        <v>0</v>
      </c>
      <c r="O2074" s="5">
        <f t="shared" si="6"/>
        <v>2863.576484</v>
      </c>
      <c r="P2074" s="5">
        <f t="shared" si="9"/>
        <v>6041.167935</v>
      </c>
      <c r="Q2074" s="5">
        <f t="shared" si="7"/>
        <v>6041.167935</v>
      </c>
      <c r="R2074" s="5">
        <f t="shared" si="8"/>
        <v>0</v>
      </c>
    </row>
    <row r="2075" ht="15.75" customHeight="1">
      <c r="A2075" s="4">
        <v>1997.0</v>
      </c>
      <c r="B2075" s="4">
        <v>527.0</v>
      </c>
      <c r="C2075" s="4" t="s">
        <v>22</v>
      </c>
      <c r="D2075" s="5">
        <v>1605.4655305203758</v>
      </c>
      <c r="E2075" s="5">
        <f t="shared" si="1"/>
        <v>0</v>
      </c>
      <c r="F2075" s="5">
        <f t="shared" si="2"/>
        <v>1605.465531</v>
      </c>
      <c r="G2075" s="5" t="s">
        <v>19</v>
      </c>
      <c r="H2075" s="5" t="s">
        <v>19</v>
      </c>
      <c r="I2075" s="5" t="s">
        <v>19</v>
      </c>
      <c r="J2075" s="5">
        <v>0.0</v>
      </c>
      <c r="K2075" s="5">
        <f t="shared" si="3"/>
        <v>0</v>
      </c>
      <c r="L2075" s="5">
        <f t="shared" si="4"/>
        <v>0</v>
      </c>
      <c r="M2075" s="5">
        <v>576.952094075235</v>
      </c>
      <c r="N2075" s="5">
        <f t="shared" si="5"/>
        <v>0</v>
      </c>
      <c r="O2075" s="5">
        <f t="shared" si="6"/>
        <v>576.9520941</v>
      </c>
      <c r="P2075" s="5">
        <f t="shared" si="9"/>
        <v>2182.417625</v>
      </c>
      <c r="Q2075" s="5">
        <f t="shared" si="7"/>
        <v>2182.417625</v>
      </c>
      <c r="R2075" s="5">
        <f t="shared" si="8"/>
        <v>0</v>
      </c>
    </row>
    <row r="2076" ht="15.75" customHeight="1">
      <c r="A2076" s="4">
        <v>1997.0</v>
      </c>
      <c r="B2076" s="4">
        <v>528.0</v>
      </c>
      <c r="C2076" s="4" t="s">
        <v>22</v>
      </c>
      <c r="D2076" s="5">
        <v>3955.034716104073</v>
      </c>
      <c r="E2076" s="5">
        <f t="shared" si="1"/>
        <v>0</v>
      </c>
      <c r="F2076" s="5">
        <f t="shared" si="2"/>
        <v>3955.034716</v>
      </c>
      <c r="G2076" s="5" t="s">
        <v>19</v>
      </c>
      <c r="H2076" s="5" t="s">
        <v>19</v>
      </c>
      <c r="I2076" s="5" t="s">
        <v>19</v>
      </c>
      <c r="J2076" s="5">
        <v>0.0</v>
      </c>
      <c r="K2076" s="5">
        <f t="shared" si="3"/>
        <v>0</v>
      </c>
      <c r="L2076" s="5">
        <f t="shared" si="4"/>
        <v>0</v>
      </c>
      <c r="M2076" s="5">
        <v>33043.77853008776</v>
      </c>
      <c r="N2076" s="5">
        <f t="shared" si="5"/>
        <v>0</v>
      </c>
      <c r="O2076" s="5">
        <f t="shared" si="6"/>
        <v>33043.77853</v>
      </c>
      <c r="P2076" s="5">
        <f t="shared" si="9"/>
        <v>36998.81325</v>
      </c>
      <c r="Q2076" s="5">
        <f t="shared" si="7"/>
        <v>36998.81325</v>
      </c>
      <c r="R2076" s="5">
        <f t="shared" si="8"/>
        <v>0</v>
      </c>
    </row>
    <row r="2077" ht="15.75" customHeight="1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  <c r="L2077" s="5"/>
      <c r="R2077" s="5"/>
    </row>
    <row r="2078" ht="15.75" customHeight="1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  <c r="L2078" s="5"/>
      <c r="R2078" s="5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2" width="10.56"/>
    <col customWidth="1" min="3" max="4" width="12.44"/>
    <col customWidth="1" min="5" max="5" width="10.44"/>
    <col customWidth="1" min="6" max="26" width="10.56"/>
  </cols>
  <sheetData>
    <row r="1" ht="15.75" customHeight="1">
      <c r="A1" s="3" t="s">
        <v>0</v>
      </c>
      <c r="B1" s="3" t="s">
        <v>23</v>
      </c>
      <c r="C1" s="3" t="s">
        <v>24</v>
      </c>
      <c r="D1" s="3" t="s">
        <v>17</v>
      </c>
      <c r="E1" s="3" t="s">
        <v>16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6">
        <v>2005.0</v>
      </c>
      <c r="B2" s="6" t="s">
        <v>18</v>
      </c>
      <c r="C2" s="5">
        <v>300588.77101082925</v>
      </c>
      <c r="D2" s="5">
        <v>300588.77101082925</v>
      </c>
      <c r="E2" s="6">
        <v>0.0</v>
      </c>
    </row>
    <row r="3" ht="15.75" customHeight="1">
      <c r="A3" s="6">
        <v>2005.0</v>
      </c>
      <c r="B3" s="6" t="s">
        <v>22</v>
      </c>
      <c r="C3" s="5">
        <v>73724.19430652258</v>
      </c>
      <c r="D3" s="5">
        <v>73724.19430652258</v>
      </c>
      <c r="E3" s="6">
        <v>0.0</v>
      </c>
    </row>
    <row r="4" ht="15.75" customHeight="1">
      <c r="A4" s="6">
        <v>2005.0</v>
      </c>
      <c r="B4" s="6" t="s">
        <v>25</v>
      </c>
      <c r="C4" s="5">
        <v>8315.04691017696</v>
      </c>
      <c r="D4" s="5">
        <v>8315.04691017696</v>
      </c>
      <c r="E4" s="6">
        <v>0.0</v>
      </c>
    </row>
    <row r="5" ht="15.75" customHeight="1">
      <c r="A5" s="6">
        <v>2005.0</v>
      </c>
      <c r="B5" s="6" t="s">
        <v>20</v>
      </c>
      <c r="C5" s="5">
        <v>131057.17653438573</v>
      </c>
      <c r="D5" s="5">
        <v>131057.17653438573</v>
      </c>
      <c r="E5" s="6">
        <v>0.0</v>
      </c>
    </row>
    <row r="6" ht="15.75" customHeight="1">
      <c r="A6" s="6">
        <v>2005.0</v>
      </c>
      <c r="B6" s="6" t="s">
        <v>26</v>
      </c>
      <c r="C6" s="5">
        <v>71245.35504390174</v>
      </c>
      <c r="D6" s="5">
        <v>71245.35504390174</v>
      </c>
      <c r="E6" s="6">
        <v>0.0</v>
      </c>
    </row>
    <row r="7" ht="15.75" customHeight="1">
      <c r="A7" s="6">
        <v>2005.0</v>
      </c>
      <c r="B7" s="6" t="s">
        <v>21</v>
      </c>
      <c r="C7" s="5">
        <v>316375.55467450985</v>
      </c>
      <c r="D7" s="5">
        <v>316375.55467450985</v>
      </c>
      <c r="E7" s="6">
        <v>0.0</v>
      </c>
    </row>
    <row r="8" ht="15.75" customHeight="1">
      <c r="A8" s="6">
        <v>2006.0</v>
      </c>
      <c r="B8" s="6" t="s">
        <v>18</v>
      </c>
      <c r="C8" s="5">
        <v>479514.304195291</v>
      </c>
      <c r="D8" s="5">
        <v>479514.304195291</v>
      </c>
      <c r="E8" s="6">
        <v>0.0</v>
      </c>
    </row>
    <row r="9" ht="15.75" customHeight="1">
      <c r="A9" s="6">
        <v>2006.0</v>
      </c>
      <c r="B9" s="6" t="s">
        <v>22</v>
      </c>
      <c r="C9" s="5">
        <v>117619.03022965204</v>
      </c>
      <c r="D9" s="5">
        <v>117619.03022965204</v>
      </c>
      <c r="E9" s="6">
        <v>0.0</v>
      </c>
    </row>
    <row r="10" ht="15.75" customHeight="1">
      <c r="A10" s="6">
        <v>2006.0</v>
      </c>
      <c r="B10" s="6" t="s">
        <v>25</v>
      </c>
      <c r="C10" s="5">
        <v>13259.726998305016</v>
      </c>
      <c r="D10" s="5">
        <v>13259.726998305016</v>
      </c>
      <c r="E10" s="6">
        <v>0.0</v>
      </c>
    </row>
    <row r="11" ht="15.75" customHeight="1">
      <c r="A11" s="6">
        <v>2006.0</v>
      </c>
      <c r="B11" s="6" t="s">
        <v>20</v>
      </c>
      <c r="C11" s="5">
        <v>208992.4928610701</v>
      </c>
      <c r="D11" s="5">
        <v>208992.4928610701</v>
      </c>
      <c r="E11" s="6">
        <v>0.0</v>
      </c>
    </row>
    <row r="12" ht="15.75" customHeight="1">
      <c r="A12" s="6">
        <v>2006.0</v>
      </c>
      <c r="B12" s="6" t="s">
        <v>26</v>
      </c>
      <c r="C12" s="5">
        <v>113612.58306591387</v>
      </c>
      <c r="D12" s="5">
        <v>113612.58306591387</v>
      </c>
      <c r="E12" s="6">
        <v>0.0</v>
      </c>
    </row>
    <row r="13" ht="15.75" customHeight="1">
      <c r="A13" s="6">
        <v>2006.0</v>
      </c>
      <c r="B13" s="6" t="s">
        <v>21</v>
      </c>
      <c r="C13" s="5">
        <v>504271.8953593466</v>
      </c>
      <c r="D13" s="5">
        <v>504271.8953593466</v>
      </c>
      <c r="E13" s="6">
        <v>0.0</v>
      </c>
    </row>
    <row r="14" ht="15.75" customHeight="1">
      <c r="A14" s="6">
        <v>2007.0</v>
      </c>
      <c r="B14" s="6" t="s">
        <v>18</v>
      </c>
      <c r="C14" s="5">
        <v>386309.3728236365</v>
      </c>
      <c r="D14" s="5">
        <v>386309.3728236365</v>
      </c>
      <c r="E14" s="6">
        <v>0.0</v>
      </c>
    </row>
    <row r="15" ht="15.75" customHeight="1">
      <c r="A15" s="6">
        <v>2007.0</v>
      </c>
      <c r="B15" s="6" t="s">
        <v>22</v>
      </c>
      <c r="C15" s="5">
        <v>94767.90860470774</v>
      </c>
      <c r="D15" s="5">
        <v>94767.90860470774</v>
      </c>
      <c r="E15" s="6">
        <v>0.0</v>
      </c>
    </row>
    <row r="16" ht="15.75" customHeight="1">
      <c r="A16" s="6">
        <v>2007.0</v>
      </c>
      <c r="B16" s="6" t="s">
        <v>25</v>
      </c>
      <c r="C16" s="5">
        <v>10677.33705331817</v>
      </c>
      <c r="D16" s="5">
        <v>10677.33705331817</v>
      </c>
      <c r="E16" s="6">
        <v>0.0</v>
      </c>
    </row>
    <row r="17" ht="15.75" customHeight="1">
      <c r="A17" s="6">
        <v>2007.0</v>
      </c>
      <c r="B17" s="6" t="s">
        <v>20</v>
      </c>
      <c r="C17" s="5">
        <v>168290.28894607603</v>
      </c>
      <c r="D17" s="5">
        <v>168290.28894607603</v>
      </c>
      <c r="E17" s="6">
        <v>0.0</v>
      </c>
    </row>
    <row r="18" ht="15.75" customHeight="1">
      <c r="A18" s="6">
        <v>2007.0</v>
      </c>
      <c r="B18" s="6" t="s">
        <v>26</v>
      </c>
      <c r="C18" s="5">
        <v>91486.03459542854</v>
      </c>
      <c r="D18" s="5">
        <v>91486.03459542854</v>
      </c>
      <c r="E18" s="6">
        <v>0.0</v>
      </c>
    </row>
    <row r="19" ht="15.75" customHeight="1">
      <c r="A19" s="6">
        <v>2007.0</v>
      </c>
      <c r="B19" s="6" t="s">
        <v>21</v>
      </c>
      <c r="C19" s="5">
        <v>405811.3041324701</v>
      </c>
      <c r="D19" s="5">
        <v>405811.3041324701</v>
      </c>
      <c r="E19" s="6">
        <v>0.0</v>
      </c>
    </row>
    <row r="20" ht="15.75" customHeight="1">
      <c r="A20" s="6">
        <v>2008.0</v>
      </c>
      <c r="B20" s="6" t="s">
        <v>18</v>
      </c>
      <c r="C20" s="5">
        <v>340139.3721046048</v>
      </c>
      <c r="D20" s="5">
        <v>340139.3721046048</v>
      </c>
      <c r="E20" s="6">
        <v>0.0</v>
      </c>
    </row>
    <row r="21" ht="15.75" customHeight="1">
      <c r="A21" s="6">
        <v>2008.0</v>
      </c>
      <c r="B21" s="6" t="s">
        <v>22</v>
      </c>
      <c r="C21" s="5">
        <v>83452.13003184032</v>
      </c>
      <c r="D21" s="5">
        <v>83452.13003184032</v>
      </c>
      <c r="E21" s="6">
        <v>0.0</v>
      </c>
    </row>
    <row r="22" ht="15.75" customHeight="1">
      <c r="A22" s="6">
        <v>2008.0</v>
      </c>
      <c r="B22" s="6" t="s">
        <v>25</v>
      </c>
      <c r="C22" s="5">
        <v>9396.387563980536</v>
      </c>
      <c r="D22" s="5">
        <v>9396.387563980536</v>
      </c>
      <c r="E22" s="6">
        <v>0.0</v>
      </c>
    </row>
    <row r="23" ht="15.75" customHeight="1">
      <c r="A23" s="6">
        <v>2008.0</v>
      </c>
      <c r="B23" s="6" t="s">
        <v>20</v>
      </c>
      <c r="C23" s="5">
        <v>148100.6706349292</v>
      </c>
      <c r="D23" s="5">
        <v>148100.6706349292</v>
      </c>
      <c r="E23" s="6">
        <v>0.0</v>
      </c>
    </row>
    <row r="24" ht="15.75" customHeight="1">
      <c r="A24" s="6">
        <v>2008.0</v>
      </c>
      <c r="B24" s="6" t="s">
        <v>26</v>
      </c>
      <c r="C24" s="5">
        <v>80510.54616499442</v>
      </c>
      <c r="D24" s="5">
        <v>80510.54616499442</v>
      </c>
      <c r="E24" s="6">
        <v>0.0</v>
      </c>
    </row>
    <row r="25" ht="15.75" customHeight="1">
      <c r="A25" s="6">
        <v>2008.0</v>
      </c>
      <c r="B25" s="6" t="s">
        <v>21</v>
      </c>
      <c r="C25" s="5">
        <v>356885.32979219535</v>
      </c>
      <c r="D25" s="5">
        <v>356885.32979219535</v>
      </c>
      <c r="E25" s="6">
        <v>0.0</v>
      </c>
    </row>
    <row r="26" ht="15.75" customHeight="1">
      <c r="A26" s="6">
        <v>2009.0</v>
      </c>
      <c r="B26" s="6" t="s">
        <v>18</v>
      </c>
      <c r="C26" s="5">
        <v>245265.28418267524</v>
      </c>
      <c r="D26" s="5">
        <v>245265.28418267524</v>
      </c>
      <c r="E26" s="6">
        <v>0.0</v>
      </c>
    </row>
    <row r="27" ht="15.75" customHeight="1">
      <c r="A27" s="6">
        <v>2009.0</v>
      </c>
      <c r="B27" s="6" t="s">
        <v>22</v>
      </c>
      <c r="C27" s="5">
        <v>60180.03245591532</v>
      </c>
      <c r="D27" s="5">
        <v>60180.03245591532</v>
      </c>
      <c r="E27" s="6">
        <v>0.0</v>
      </c>
    </row>
    <row r="28" ht="15.75" customHeight="1">
      <c r="A28" s="6">
        <v>2009.0</v>
      </c>
      <c r="B28" s="6" t="s">
        <v>25</v>
      </c>
      <c r="C28" s="5">
        <v>6773.184871881074</v>
      </c>
      <c r="D28" s="5">
        <v>6773.184871881074</v>
      </c>
      <c r="E28" s="6">
        <v>0.0</v>
      </c>
    </row>
    <row r="29" ht="15.75" customHeight="1">
      <c r="A29" s="6">
        <v>2009.0</v>
      </c>
      <c r="B29" s="6" t="s">
        <v>20</v>
      </c>
      <c r="C29" s="5">
        <v>106755.19874310095</v>
      </c>
      <c r="D29" s="5">
        <v>106755.19874310095</v>
      </c>
      <c r="E29" s="6">
        <v>0.0</v>
      </c>
    </row>
    <row r="30" ht="15.75" customHeight="1">
      <c r="A30" s="6">
        <v>2009.0</v>
      </c>
      <c r="B30" s="6" t="s">
        <v>26</v>
      </c>
      <c r="C30" s="5">
        <v>58034.304098096974</v>
      </c>
      <c r="D30" s="5">
        <v>58034.304098096974</v>
      </c>
      <c r="E30" s="6">
        <v>0.0</v>
      </c>
    </row>
    <row r="31" ht="15.75" customHeight="1">
      <c r="A31" s="6">
        <v>2009.0</v>
      </c>
      <c r="B31" s="6" t="s">
        <v>21</v>
      </c>
      <c r="C31" s="5">
        <v>257138.71938091813</v>
      </c>
      <c r="D31" s="5">
        <v>257138.71938091813</v>
      </c>
      <c r="E31" s="6">
        <v>0.0</v>
      </c>
    </row>
    <row r="32" ht="15.75" customHeight="1">
      <c r="A32" s="6">
        <v>2010.0</v>
      </c>
      <c r="B32" s="6" t="s">
        <v>18</v>
      </c>
      <c r="C32" s="5">
        <v>378892.4008672819</v>
      </c>
      <c r="D32" s="5">
        <v>378892.4008672819</v>
      </c>
      <c r="E32" s="6">
        <v>0.0</v>
      </c>
    </row>
    <row r="33" ht="15.75" customHeight="1">
      <c r="A33" s="6">
        <v>2010.0</v>
      </c>
      <c r="B33" s="6" t="s">
        <v>22</v>
      </c>
      <c r="C33" s="5">
        <v>92967.9769770225</v>
      </c>
      <c r="D33" s="5">
        <v>92967.9769770225</v>
      </c>
      <c r="E33" s="6">
        <v>0.0</v>
      </c>
    </row>
    <row r="34" ht="15.75" customHeight="1">
      <c r="A34" s="6">
        <v>2010.0</v>
      </c>
      <c r="B34" s="6" t="s">
        <v>25</v>
      </c>
      <c r="C34" s="5">
        <v>10463.284230927211</v>
      </c>
      <c r="D34" s="5">
        <v>10463.284230927211</v>
      </c>
      <c r="E34" s="6">
        <v>0.0</v>
      </c>
    </row>
    <row r="35" ht="15.75" customHeight="1">
      <c r="A35" s="6">
        <v>2010.0</v>
      </c>
      <c r="B35" s="6" t="s">
        <v>20</v>
      </c>
      <c r="C35" s="5">
        <v>164916.50659285317</v>
      </c>
      <c r="D35" s="5">
        <v>164916.50659285317</v>
      </c>
      <c r="E35" s="6">
        <v>0.0</v>
      </c>
    </row>
    <row r="36" ht="15.75" customHeight="1">
      <c r="A36" s="6">
        <v>2010.0</v>
      </c>
      <c r="B36" s="6" t="s">
        <v>26</v>
      </c>
      <c r="C36" s="5">
        <v>89651.97767498858</v>
      </c>
      <c r="D36" s="5">
        <v>89651.97767498858</v>
      </c>
      <c r="E36" s="6">
        <v>0.0</v>
      </c>
    </row>
    <row r="37" ht="15.75" customHeight="1">
      <c r="A37" s="6">
        <v>2010.0</v>
      </c>
      <c r="B37" s="6" t="s">
        <v>21</v>
      </c>
      <c r="C37" s="5">
        <v>397224.8124995066</v>
      </c>
      <c r="D37" s="5">
        <v>397224.8124995066</v>
      </c>
      <c r="E37" s="6">
        <v>0.0</v>
      </c>
    </row>
    <row r="38" ht="15.75" customHeight="1">
      <c r="A38" s="6">
        <v>2011.0</v>
      </c>
      <c r="B38" s="6" t="s">
        <v>18</v>
      </c>
      <c r="C38" s="5">
        <v>194737.42906702618</v>
      </c>
      <c r="D38" s="5">
        <v>194737.42906702618</v>
      </c>
      <c r="E38" s="6">
        <v>0.0</v>
      </c>
    </row>
    <row r="39" ht="15.75" customHeight="1">
      <c r="A39" s="6">
        <v>2011.0</v>
      </c>
      <c r="B39" s="6" t="s">
        <v>22</v>
      </c>
      <c r="C39" s="5">
        <v>47786.56775323905</v>
      </c>
      <c r="D39" s="5">
        <v>47786.56775323905</v>
      </c>
      <c r="E39" s="6">
        <v>0.0</v>
      </c>
    </row>
    <row r="40" ht="15.75" customHeight="1">
      <c r="A40" s="6">
        <v>2011.0</v>
      </c>
      <c r="B40" s="6" t="s">
        <v>25</v>
      </c>
      <c r="C40" s="5">
        <v>5375.780953309742</v>
      </c>
      <c r="D40" s="5">
        <v>5375.780953309742</v>
      </c>
      <c r="E40" s="6">
        <v>0.0</v>
      </c>
    </row>
    <row r="41" ht="15.75" customHeight="1">
      <c r="A41" s="6">
        <v>2011.0</v>
      </c>
      <c r="B41" s="6" t="s">
        <v>20</v>
      </c>
      <c r="C41" s="5">
        <v>84730.09004264408</v>
      </c>
      <c r="D41" s="5">
        <v>84730.09004264408</v>
      </c>
      <c r="E41" s="6">
        <v>0.0</v>
      </c>
    </row>
    <row r="42" ht="15.75" customHeight="1">
      <c r="A42" s="6">
        <v>2011.0</v>
      </c>
      <c r="B42" s="6" t="s">
        <v>26</v>
      </c>
      <c r="C42" s="5">
        <v>46061.00564364058</v>
      </c>
      <c r="D42" s="5">
        <v>46061.00564364058</v>
      </c>
      <c r="E42" s="6">
        <v>0.0</v>
      </c>
    </row>
    <row r="43" ht="15.75" customHeight="1">
      <c r="A43" s="6">
        <v>2011.0</v>
      </c>
      <c r="B43" s="6" t="s">
        <v>21</v>
      </c>
      <c r="C43" s="5">
        <v>203985.67077024287</v>
      </c>
      <c r="D43" s="5">
        <v>203985.67077024287</v>
      </c>
      <c r="E43" s="6">
        <v>0.0</v>
      </c>
    </row>
    <row r="44" ht="15.75" customHeight="1">
      <c r="A44" s="6">
        <v>2012.0</v>
      </c>
      <c r="B44" s="6" t="s">
        <v>18</v>
      </c>
      <c r="C44" s="5">
        <v>287989.8441363972</v>
      </c>
      <c r="D44" s="5">
        <v>287989.8441363972</v>
      </c>
      <c r="E44" s="6">
        <v>0.0</v>
      </c>
    </row>
    <row r="45" ht="15.75" customHeight="1">
      <c r="A45" s="6">
        <v>2012.0</v>
      </c>
      <c r="B45" s="6" t="s">
        <v>22</v>
      </c>
      <c r="C45" s="5">
        <v>70677.29898857608</v>
      </c>
      <c r="D45" s="5">
        <v>70677.29898857608</v>
      </c>
      <c r="E45" s="6">
        <v>0.0</v>
      </c>
    </row>
    <row r="46" ht="15.75" customHeight="1">
      <c r="A46" s="6">
        <v>2012.0</v>
      </c>
      <c r="B46" s="6" t="s">
        <v>25</v>
      </c>
      <c r="C46" s="5">
        <v>7946.549874122504</v>
      </c>
      <c r="D46" s="5">
        <v>7946.549874122504</v>
      </c>
      <c r="E46" s="6">
        <v>0.0</v>
      </c>
    </row>
    <row r="47" ht="15.75" customHeight="1">
      <c r="A47" s="6">
        <v>2012.0</v>
      </c>
      <c r="B47" s="6" t="s">
        <v>20</v>
      </c>
      <c r="C47" s="5">
        <v>125249.12979354551</v>
      </c>
      <c r="D47" s="5">
        <v>125249.12979354551</v>
      </c>
      <c r="E47" s="6">
        <v>0.0</v>
      </c>
    </row>
    <row r="48" ht="15.75" customHeight="1">
      <c r="A48" s="6">
        <v>2012.0</v>
      </c>
      <c r="B48" s="6" t="s">
        <v>26</v>
      </c>
      <c r="C48" s="5">
        <v>68087.9823375382</v>
      </c>
      <c r="D48" s="5">
        <v>68087.9823375382</v>
      </c>
      <c r="E48" s="6">
        <v>0.0</v>
      </c>
    </row>
    <row r="49" ht="15.75" customHeight="1">
      <c r="A49" s="6">
        <v>2012.0</v>
      </c>
      <c r="B49" s="6" t="s">
        <v>21</v>
      </c>
      <c r="C49" s="5">
        <v>301360.19611654046</v>
      </c>
      <c r="D49" s="5">
        <v>301360.19611654046</v>
      </c>
      <c r="E49" s="6">
        <v>0.0</v>
      </c>
    </row>
    <row r="50" ht="15.75" customHeight="1">
      <c r="A50" s="6">
        <v>2013.0</v>
      </c>
      <c r="B50" s="6" t="s">
        <v>18</v>
      </c>
      <c r="C50" s="5">
        <v>304381.81054542196</v>
      </c>
      <c r="D50" s="5">
        <v>304381.81054542196</v>
      </c>
      <c r="E50" s="6">
        <v>0.0</v>
      </c>
    </row>
    <row r="51" ht="15.75" customHeight="1">
      <c r="A51" s="6">
        <v>2013.0</v>
      </c>
      <c r="B51" s="6" t="s">
        <v>22</v>
      </c>
      <c r="C51" s="5">
        <v>74706.03167099808</v>
      </c>
      <c r="D51" s="5">
        <v>74706.03167099808</v>
      </c>
      <c r="E51" s="6">
        <v>0.0</v>
      </c>
    </row>
    <row r="52" ht="15.75" customHeight="1">
      <c r="A52" s="6">
        <v>2013.0</v>
      </c>
      <c r="B52" s="6" t="s">
        <v>25</v>
      </c>
      <c r="C52" s="5">
        <v>8396.134930797589</v>
      </c>
      <c r="D52" s="5">
        <v>8396.134930797589</v>
      </c>
      <c r="E52" s="6">
        <v>0.0</v>
      </c>
    </row>
    <row r="53" ht="15.75" customHeight="1">
      <c r="A53" s="6">
        <v>2013.0</v>
      </c>
      <c r="B53" s="6" t="s">
        <v>20</v>
      </c>
      <c r="C53" s="5">
        <v>132335.2411259751</v>
      </c>
      <c r="D53" s="5">
        <v>132335.2411259751</v>
      </c>
      <c r="E53" s="6">
        <v>0.0</v>
      </c>
    </row>
    <row r="54" ht="15.75" customHeight="1">
      <c r="A54" s="6">
        <v>2013.0</v>
      </c>
      <c r="B54" s="6" t="s">
        <v>26</v>
      </c>
      <c r="C54" s="5">
        <v>71940.13703146372</v>
      </c>
      <c r="D54" s="5">
        <v>71940.13703146372</v>
      </c>
      <c r="E54" s="6">
        <v>0.0</v>
      </c>
    </row>
    <row r="55" ht="15.75" customHeight="1">
      <c r="A55" s="6">
        <v>2013.0</v>
      </c>
      <c r="B55" s="6" t="s">
        <v>21</v>
      </c>
      <c r="C55" s="5">
        <v>318274.18923509994</v>
      </c>
      <c r="D55" s="5">
        <v>318274.18923509994</v>
      </c>
      <c r="E55" s="6">
        <v>0.0</v>
      </c>
    </row>
    <row r="56" ht="15.75" customHeight="1">
      <c r="A56" s="6">
        <v>2014.0</v>
      </c>
      <c r="B56" s="6" t="s">
        <v>18</v>
      </c>
      <c r="C56" s="5">
        <v>292404.4481848703</v>
      </c>
      <c r="D56" s="5">
        <v>292404.4481848703</v>
      </c>
      <c r="E56" s="6">
        <v>0.0</v>
      </c>
    </row>
    <row r="57" ht="15.75" customHeight="1">
      <c r="A57" s="6">
        <v>2014.0</v>
      </c>
      <c r="B57" s="6" t="s">
        <v>22</v>
      </c>
      <c r="C57" s="5">
        <v>71770.55625906047</v>
      </c>
      <c r="D57" s="5">
        <v>71770.55625906047</v>
      </c>
      <c r="E57" s="6">
        <v>0.0</v>
      </c>
    </row>
    <row r="58" ht="15.75" customHeight="1">
      <c r="A58" s="6">
        <v>2014.0</v>
      </c>
      <c r="B58" s="6" t="s">
        <v>25</v>
      </c>
      <c r="C58" s="5">
        <v>8063.809830645455</v>
      </c>
      <c r="D58" s="5">
        <v>8063.809830645455</v>
      </c>
      <c r="E58" s="6">
        <v>0.0</v>
      </c>
    </row>
    <row r="59" ht="15.75" customHeight="1">
      <c r="A59" s="6">
        <v>2014.0</v>
      </c>
      <c r="B59" s="6" t="s">
        <v>20</v>
      </c>
      <c r="C59" s="5">
        <v>127097.31645905116</v>
      </c>
      <c r="D59" s="5">
        <v>127097.31645905116</v>
      </c>
      <c r="E59" s="6">
        <v>0.0</v>
      </c>
    </row>
    <row r="60" ht="15.75" customHeight="1">
      <c r="A60" s="6">
        <v>2014.0</v>
      </c>
      <c r="B60" s="6" t="s">
        <v>26</v>
      </c>
      <c r="C60" s="5">
        <v>69092.69431633478</v>
      </c>
      <c r="D60" s="5">
        <v>69092.69431633478</v>
      </c>
      <c r="E60" s="6">
        <v>0.0</v>
      </c>
    </row>
    <row r="61" ht="15.75" customHeight="1">
      <c r="A61" s="6">
        <v>2014.0</v>
      </c>
      <c r="B61" s="6" t="s">
        <v>21</v>
      </c>
      <c r="C61" s="5">
        <v>305579.87085042073</v>
      </c>
      <c r="D61" s="5">
        <v>305579.87085042073</v>
      </c>
      <c r="E61" s="6">
        <v>0.0</v>
      </c>
    </row>
    <row r="62" ht="15.75" customHeight="1">
      <c r="A62" s="6">
        <v>2015.0</v>
      </c>
      <c r="B62" s="6" t="s">
        <v>18</v>
      </c>
      <c r="C62" s="5">
        <v>215166.20991879475</v>
      </c>
      <c r="D62" s="5">
        <v>215166.20991879475</v>
      </c>
      <c r="E62" s="6">
        <v>0.0</v>
      </c>
    </row>
    <row r="63" ht="15.75" customHeight="1">
      <c r="A63" s="6">
        <v>2015.0</v>
      </c>
      <c r="B63" s="6" t="s">
        <v>22</v>
      </c>
      <c r="C63" s="5">
        <v>52818.908242069556</v>
      </c>
      <c r="D63" s="5">
        <v>52818.908242069556</v>
      </c>
      <c r="E63" s="6">
        <v>0.0</v>
      </c>
    </row>
    <row r="64" ht="15.75" customHeight="1">
      <c r="A64" s="6">
        <v>2015.0</v>
      </c>
      <c r="B64" s="6" t="s">
        <v>25</v>
      </c>
      <c r="C64" s="5">
        <v>5930.783315757977</v>
      </c>
      <c r="D64" s="5">
        <v>5930.783315757977</v>
      </c>
      <c r="E64" s="6">
        <v>0.0</v>
      </c>
    </row>
    <row r="65" ht="15.75" customHeight="1">
      <c r="A65" s="6">
        <v>2015.0</v>
      </c>
      <c r="B65" s="6" t="s">
        <v>20</v>
      </c>
      <c r="C65" s="5">
        <v>93477.73072081694</v>
      </c>
      <c r="D65" s="5">
        <v>93477.73072081694</v>
      </c>
      <c r="E65" s="6">
        <v>0.0</v>
      </c>
    </row>
    <row r="66" ht="15.75" customHeight="1">
      <c r="A66" s="6">
        <v>2015.0</v>
      </c>
      <c r="B66" s="6" t="s">
        <v>26</v>
      </c>
      <c r="C66" s="5">
        <v>50816.40158908418</v>
      </c>
      <c r="D66" s="5">
        <v>50816.40158908418</v>
      </c>
      <c r="E66" s="6">
        <v>0.0</v>
      </c>
    </row>
    <row r="67" ht="15.75" customHeight="1">
      <c r="A67" s="6">
        <v>2015.0</v>
      </c>
      <c r="B67" s="6" t="s">
        <v>21</v>
      </c>
      <c r="C67" s="5">
        <v>224599.44514484174</v>
      </c>
      <c r="D67" s="5">
        <v>224599.44514484174</v>
      </c>
      <c r="E67" s="6">
        <v>0.0</v>
      </c>
    </row>
    <row r="68" ht="15.75" customHeight="1">
      <c r="A68" s="6">
        <v>2016.0</v>
      </c>
      <c r="B68" s="6" t="s">
        <v>18</v>
      </c>
      <c r="C68" s="5">
        <v>186203.6120944128</v>
      </c>
      <c r="D68" s="5">
        <v>186203.6120944128</v>
      </c>
      <c r="E68" s="6">
        <v>0.0</v>
      </c>
    </row>
    <row r="69" ht="15.75" customHeight="1">
      <c r="A69" s="6">
        <v>2016.0</v>
      </c>
      <c r="B69" s="6" t="s">
        <v>22</v>
      </c>
      <c r="C69" s="5">
        <v>45711.79936959219</v>
      </c>
      <c r="D69" s="5">
        <v>45711.79936959219</v>
      </c>
      <c r="E69" s="6">
        <v>0.0</v>
      </c>
    </row>
    <row r="70" ht="15.75" customHeight="1">
      <c r="A70" s="6">
        <v>2016.0</v>
      </c>
      <c r="B70" s="6" t="s">
        <v>25</v>
      </c>
      <c r="C70" s="5">
        <v>5131.255533377292</v>
      </c>
      <c r="D70" s="5">
        <v>5131.255533377292</v>
      </c>
      <c r="E70" s="6">
        <v>0.0</v>
      </c>
    </row>
    <row r="71" ht="15.75" customHeight="1">
      <c r="A71" s="6">
        <v>2016.0</v>
      </c>
      <c r="B71" s="6" t="s">
        <v>20</v>
      </c>
      <c r="C71" s="5">
        <v>80876.01543868614</v>
      </c>
      <c r="D71" s="5">
        <v>80876.01543868614</v>
      </c>
      <c r="E71" s="6">
        <v>0.0</v>
      </c>
    </row>
    <row r="72" ht="15.75" customHeight="1">
      <c r="A72" s="6">
        <v>2016.0</v>
      </c>
      <c r="B72" s="6" t="s">
        <v>26</v>
      </c>
      <c r="C72" s="5">
        <v>43965.85205659055</v>
      </c>
      <c r="D72" s="5">
        <v>43965.85205659055</v>
      </c>
      <c r="E72" s="6">
        <v>0.0</v>
      </c>
    </row>
    <row r="73" ht="15.75" customHeight="1">
      <c r="A73" s="6">
        <v>2016.0</v>
      </c>
      <c r="B73" s="6" t="s">
        <v>21</v>
      </c>
      <c r="C73" s="5">
        <v>194260.75676688665</v>
      </c>
      <c r="D73" s="5">
        <v>194260.75676688665</v>
      </c>
      <c r="E73" s="6">
        <v>0.0</v>
      </c>
    </row>
    <row r="74" ht="15.75" customHeight="1">
      <c r="A74" s="6">
        <v>2017.0</v>
      </c>
      <c r="B74" s="6" t="s">
        <v>18</v>
      </c>
      <c r="C74" s="5">
        <v>144100.76580814164</v>
      </c>
      <c r="D74" s="5">
        <v>144100.76580814164</v>
      </c>
      <c r="E74" s="6">
        <v>0.0</v>
      </c>
    </row>
    <row r="75" ht="15.75" customHeight="1">
      <c r="A75" s="6">
        <v>2017.0</v>
      </c>
      <c r="B75" s="6" t="s">
        <v>22</v>
      </c>
      <c r="C75" s="5">
        <v>35377.78985235419</v>
      </c>
      <c r="D75" s="5">
        <v>35377.78985235419</v>
      </c>
      <c r="E75" s="6">
        <v>0.0</v>
      </c>
    </row>
    <row r="76" ht="15.75" customHeight="1">
      <c r="A76" s="6">
        <v>2017.0</v>
      </c>
      <c r="B76" s="6" t="s">
        <v>25</v>
      </c>
      <c r="C76" s="5">
        <v>3970.10618892658</v>
      </c>
      <c r="D76" s="5">
        <v>3970.10618892658</v>
      </c>
      <c r="E76" s="6">
        <v>0.0</v>
      </c>
    </row>
    <row r="77" ht="15.75" customHeight="1">
      <c r="A77" s="6">
        <v>2017.0</v>
      </c>
      <c r="B77" s="6" t="s">
        <v>20</v>
      </c>
      <c r="C77" s="5">
        <v>62574.620838950264</v>
      </c>
      <c r="D77" s="5">
        <v>62574.620838950264</v>
      </c>
      <c r="E77" s="6">
        <v>0.0</v>
      </c>
    </row>
    <row r="78" ht="15.75" customHeight="1">
      <c r="A78" s="6">
        <v>2017.0</v>
      </c>
      <c r="B78" s="6" t="s">
        <v>26</v>
      </c>
      <c r="C78" s="5">
        <v>34016.84055995858</v>
      </c>
      <c r="D78" s="5">
        <v>34016.84055995858</v>
      </c>
      <c r="E78" s="6">
        <v>0.0</v>
      </c>
    </row>
    <row r="79" ht="15.75" customHeight="1">
      <c r="A79" s="6">
        <v>2017.0</v>
      </c>
      <c r="B79" s="6" t="s">
        <v>21</v>
      </c>
      <c r="C79" s="5">
        <v>150256.03038066794</v>
      </c>
      <c r="D79" s="5">
        <v>150256.03038066794</v>
      </c>
      <c r="E79" s="6">
        <v>0.0</v>
      </c>
    </row>
    <row r="80" ht="15.75" customHeight="1">
      <c r="A80" s="6">
        <v>2018.0</v>
      </c>
      <c r="B80" s="6" t="s">
        <v>18</v>
      </c>
      <c r="C80" s="5">
        <v>286937.7025861592</v>
      </c>
      <c r="D80" s="5">
        <v>286937.7025861592</v>
      </c>
      <c r="E80" s="6">
        <v>0.0</v>
      </c>
    </row>
    <row r="81" ht="15.75" customHeight="1">
      <c r="A81" s="6">
        <v>2018.0</v>
      </c>
      <c r="B81" s="6" t="s">
        <v>22</v>
      </c>
      <c r="C81" s="5">
        <v>70448.59430865446</v>
      </c>
      <c r="D81" s="5">
        <v>70448.59430865446</v>
      </c>
      <c r="E81" s="6">
        <v>0.0</v>
      </c>
    </row>
    <row r="82" ht="15.75" customHeight="1">
      <c r="A82" s="6">
        <v>2018.0</v>
      </c>
      <c r="B82" s="6" t="s">
        <v>25</v>
      </c>
      <c r="C82" s="5">
        <v>7903.8691695512425</v>
      </c>
      <c r="D82" s="5">
        <v>7903.8691695512425</v>
      </c>
      <c r="E82" s="6">
        <v>0.0</v>
      </c>
    </row>
    <row r="83" ht="15.75" customHeight="1">
      <c r="A83" s="6">
        <v>2018.0</v>
      </c>
      <c r="B83" s="6" t="s">
        <v>20</v>
      </c>
      <c r="C83" s="5">
        <v>124576.42010302511</v>
      </c>
      <c r="D83" s="5">
        <v>124576.42010302511</v>
      </c>
      <c r="E83" s="6">
        <v>0.0</v>
      </c>
    </row>
    <row r="84" ht="15.75" customHeight="1">
      <c r="A84" s="6">
        <v>2018.0</v>
      </c>
      <c r="B84" s="6" t="s">
        <v>26</v>
      </c>
      <c r="C84" s="5">
        <v>67722.28362488492</v>
      </c>
      <c r="D84" s="5">
        <v>67722.28362488492</v>
      </c>
      <c r="E84" s="6">
        <v>0.0</v>
      </c>
    </row>
    <row r="85" ht="15.75" customHeight="1">
      <c r="A85" s="6">
        <v>2018.0</v>
      </c>
      <c r="B85" s="6" t="s">
        <v>21</v>
      </c>
      <c r="C85" s="5">
        <v>299060.4311659576</v>
      </c>
      <c r="D85" s="5">
        <v>299060.4311659576</v>
      </c>
      <c r="E85" s="6">
        <v>0.0</v>
      </c>
    </row>
    <row r="86" ht="15.75" customHeight="1">
      <c r="A86" s="6">
        <v>2019.0</v>
      </c>
      <c r="B86" s="6" t="s">
        <v>18</v>
      </c>
      <c r="C86" s="5">
        <v>230850.1013204147</v>
      </c>
      <c r="D86" s="5">
        <v>230850.1013204147</v>
      </c>
      <c r="E86" s="6">
        <v>0.0</v>
      </c>
    </row>
    <row r="87" ht="15.75" customHeight="1">
      <c r="A87" s="6">
        <v>2019.0</v>
      </c>
      <c r="B87" s="6" t="s">
        <v>22</v>
      </c>
      <c r="C87" s="5">
        <v>56681.66919341216</v>
      </c>
      <c r="D87" s="5">
        <v>56681.66919341216</v>
      </c>
      <c r="E87" s="6">
        <v>0.0</v>
      </c>
    </row>
    <row r="88" ht="15.75" customHeight="1">
      <c r="A88" s="6">
        <v>2019.0</v>
      </c>
      <c r="B88" s="6" t="s">
        <v>25</v>
      </c>
      <c r="C88" s="5">
        <v>6357.221906350321</v>
      </c>
      <c r="D88" s="5">
        <v>6357.221906350321</v>
      </c>
      <c r="E88" s="6">
        <v>0.0</v>
      </c>
    </row>
    <row r="89" ht="15.75" customHeight="1">
      <c r="A89" s="6">
        <v>2019.0</v>
      </c>
      <c r="B89" s="6" t="s">
        <v>20</v>
      </c>
      <c r="C89" s="5">
        <v>100199.02023993357</v>
      </c>
      <c r="D89" s="5">
        <v>100199.02023993357</v>
      </c>
      <c r="E89" s="6">
        <v>0.0</v>
      </c>
    </row>
    <row r="90" ht="15.75" customHeight="1">
      <c r="A90" s="6">
        <v>2019.0</v>
      </c>
      <c r="B90" s="6" t="s">
        <v>26</v>
      </c>
      <c r="C90" s="5">
        <v>54470.23170205536</v>
      </c>
      <c r="D90" s="5">
        <v>54470.23170205536</v>
      </c>
      <c r="E90" s="6">
        <v>0.0</v>
      </c>
    </row>
    <row r="91" ht="15.75" customHeight="1">
      <c r="A91" s="6">
        <v>2019.0</v>
      </c>
      <c r="B91" s="6" t="s">
        <v>21</v>
      </c>
      <c r="C91" s="5">
        <v>240455.55995033693</v>
      </c>
      <c r="D91" s="5">
        <v>240455.55995033693</v>
      </c>
      <c r="E91" s="6">
        <v>0.0</v>
      </c>
    </row>
    <row r="92" ht="15.75" customHeight="1">
      <c r="A92" s="6">
        <v>2020.0</v>
      </c>
      <c r="B92" s="6" t="s">
        <v>18</v>
      </c>
      <c r="C92" s="5">
        <v>218694.72620524946</v>
      </c>
      <c r="D92" s="5">
        <v>218694.72620524946</v>
      </c>
      <c r="E92" s="6">
        <v>0.0</v>
      </c>
    </row>
    <row r="93" ht="15.75" customHeight="1">
      <c r="A93" s="6">
        <v>2020.0</v>
      </c>
      <c r="B93" s="6" t="s">
        <v>22</v>
      </c>
      <c r="C93" s="5">
        <v>53704.89108938237</v>
      </c>
      <c r="D93" s="5">
        <v>53704.89108938237</v>
      </c>
      <c r="E93" s="6">
        <v>0.0</v>
      </c>
    </row>
    <row r="94" ht="15.75" customHeight="1">
      <c r="A94" s="6">
        <v>2020.0</v>
      </c>
      <c r="B94" s="6" t="s">
        <v>25</v>
      </c>
      <c r="C94" s="5">
        <v>6018.881929230931</v>
      </c>
      <c r="D94" s="5">
        <v>6018.881929230931</v>
      </c>
      <c r="E94" s="6">
        <v>0.0</v>
      </c>
    </row>
    <row r="95" ht="15.75" customHeight="1">
      <c r="A95" s="6">
        <v>2020.0</v>
      </c>
      <c r="B95" s="6" t="s">
        <v>20</v>
      </c>
      <c r="C95" s="5">
        <v>94866.2924046035</v>
      </c>
      <c r="D95" s="5">
        <v>94866.2924046035</v>
      </c>
      <c r="E95" s="6">
        <v>0.0</v>
      </c>
    </row>
    <row r="96" ht="15.75" customHeight="1">
      <c r="A96" s="6">
        <v>2020.0</v>
      </c>
      <c r="B96" s="6" t="s">
        <v>26</v>
      </c>
      <c r="C96" s="5">
        <v>51571.25205036949</v>
      </c>
      <c r="D96" s="5">
        <v>51571.25205036949</v>
      </c>
      <c r="E96" s="6">
        <v>0.0</v>
      </c>
    </row>
    <row r="97" ht="15.75" customHeight="1">
      <c r="A97" s="6">
        <v>2020.0</v>
      </c>
      <c r="B97" s="6" t="s">
        <v>21</v>
      </c>
      <c r="C97" s="5">
        <v>227478.09265657625</v>
      </c>
      <c r="D97" s="5">
        <v>227478.09265657625</v>
      </c>
      <c r="E97" s="6">
        <v>0.0</v>
      </c>
    </row>
    <row r="98" ht="15.75" customHeight="1">
      <c r="A98" s="6">
        <v>2021.0</v>
      </c>
      <c r="B98" s="6" t="s">
        <v>18</v>
      </c>
      <c r="C98" s="5">
        <v>311461.50078201026</v>
      </c>
      <c r="D98" s="5">
        <v>311461.50078201026</v>
      </c>
      <c r="E98" s="6">
        <v>0.0</v>
      </c>
    </row>
    <row r="99" ht="15.75" customHeight="1">
      <c r="A99" s="6">
        <v>2021.0</v>
      </c>
      <c r="B99" s="6" t="s">
        <v>22</v>
      </c>
      <c r="C99" s="5">
        <v>76494.69404953801</v>
      </c>
      <c r="D99" s="5">
        <v>76494.69404953801</v>
      </c>
      <c r="E99" s="6">
        <v>0.0</v>
      </c>
    </row>
    <row r="100" ht="15.75" customHeight="1">
      <c r="A100" s="6">
        <v>2021.0</v>
      </c>
      <c r="B100" s="6" t="s">
        <v>25</v>
      </c>
      <c r="C100" s="5">
        <v>8567.806321309687</v>
      </c>
      <c r="D100" s="5">
        <v>8567.806321309687</v>
      </c>
      <c r="E100" s="6">
        <v>0.0</v>
      </c>
    </row>
    <row r="101" ht="15.75" customHeight="1">
      <c r="A101" s="6">
        <v>2021.0</v>
      </c>
      <c r="B101" s="6" t="s">
        <v>20</v>
      </c>
      <c r="C101" s="5">
        <v>135041.03075955022</v>
      </c>
      <c r="D101" s="5">
        <v>135041.03075955022</v>
      </c>
      <c r="E101" s="6">
        <v>0.0</v>
      </c>
    </row>
    <row r="102" ht="15.75" customHeight="1">
      <c r="A102" s="6">
        <v>2021.0</v>
      </c>
      <c r="B102" s="6" t="s">
        <v>26</v>
      </c>
      <c r="C102" s="5">
        <v>73411.05948085428</v>
      </c>
      <c r="D102" s="5">
        <v>73411.05948085428</v>
      </c>
      <c r="E102" s="6">
        <v>0.0</v>
      </c>
    </row>
    <row r="103" ht="15.75" customHeight="1">
      <c r="A103" s="6">
        <v>2021.0</v>
      </c>
      <c r="B103" s="6" t="s">
        <v>21</v>
      </c>
      <c r="C103" s="5">
        <v>323602.7776395123</v>
      </c>
      <c r="D103" s="5">
        <v>323602.7776395123</v>
      </c>
      <c r="E103" s="6">
        <v>0.0</v>
      </c>
    </row>
    <row r="104" ht="15.75" customHeight="1">
      <c r="A104" s="6">
        <v>2022.0</v>
      </c>
      <c r="B104" s="6" t="s">
        <v>18</v>
      </c>
      <c r="C104" s="5">
        <v>137357.61548313274</v>
      </c>
      <c r="D104" s="5">
        <v>137357.61548313274</v>
      </c>
      <c r="E104" s="6">
        <v>0.0</v>
      </c>
    </row>
    <row r="105" ht="15.75" customHeight="1">
      <c r="A105" s="6">
        <v>2022.0</v>
      </c>
      <c r="B105" s="6" t="s">
        <v>22</v>
      </c>
      <c r="C105" s="5">
        <v>33744.988117901325</v>
      </c>
      <c r="D105" s="5">
        <v>33744.988117901325</v>
      </c>
      <c r="E105" s="6">
        <v>0.0</v>
      </c>
    </row>
    <row r="106" ht="15.75" customHeight="1">
      <c r="A106" s="6">
        <v>2022.0</v>
      </c>
      <c r="B106" s="6" t="s">
        <v>25</v>
      </c>
      <c r="C106" s="5">
        <v>3773.8306074254215</v>
      </c>
      <c r="D106" s="5">
        <v>3773.8306074254215</v>
      </c>
      <c r="E106" s="6">
        <v>0.0</v>
      </c>
    </row>
    <row r="107" ht="15.75" customHeight="1">
      <c r="A107" s="6">
        <v>2022.0</v>
      </c>
      <c r="B107" s="6" t="s">
        <v>20</v>
      </c>
      <c r="C107" s="5">
        <v>59481.03353727151</v>
      </c>
      <c r="D107" s="5">
        <v>59481.03353727151</v>
      </c>
      <c r="E107" s="6">
        <v>0.0</v>
      </c>
    </row>
    <row r="108" ht="15.75" customHeight="1">
      <c r="A108" s="6">
        <v>2022.0</v>
      </c>
      <c r="B108" s="6" t="s">
        <v>26</v>
      </c>
      <c r="C108" s="5">
        <v>32335.103386187096</v>
      </c>
      <c r="D108" s="5">
        <v>32335.103386187096</v>
      </c>
      <c r="E108" s="6">
        <v>0.0</v>
      </c>
    </row>
    <row r="109" ht="15.75" customHeight="1">
      <c r="A109" s="6">
        <v>2022.0</v>
      </c>
      <c r="B109" s="6" t="s">
        <v>21</v>
      </c>
      <c r="C109" s="5">
        <v>142303.00684317973</v>
      </c>
      <c r="D109" s="5">
        <v>142303.00684317973</v>
      </c>
      <c r="E109" s="6">
        <v>0.0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2025-05-28T06:49:21Z</dcterms:created>
  <dc:creator>Elanur Ural</dc:creator>
</cp:coreProperties>
</file>